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ather\Documents\"/>
    </mc:Choice>
  </mc:AlternateContent>
  <xr:revisionPtr revIDLastSave="0" documentId="13_ncr:1_{5AEAF605-EACE-43C0-8550-CBB19F7A6FE4}" xr6:coauthVersionLast="46" xr6:coauthVersionMax="46" xr10:uidLastSave="{00000000-0000-0000-0000-000000000000}"/>
  <bookViews>
    <workbookView xWindow="-120" yWindow="-120" windowWidth="20730" windowHeight="11160" firstSheet="1" activeTab="1" xr2:uid="{D44E6946-631A-40C5-ABD8-63E7C18DE3E7}"/>
  </bookViews>
  <sheets>
    <sheet name="Table of Contents" sheetId="7" r:id="rId1"/>
    <sheet name="Standings" sheetId="5" r:id="rId2"/>
    <sheet name="Gamma Prediction" sheetId="4" r:id="rId3"/>
    <sheet name="Playoff Probabilties" sheetId="6" r:id="rId4"/>
    <sheet name="Historical Snapshot" sheetId="15" r:id="rId5"/>
    <sheet name="Historical Bracket" sheetId="16" r:id="rId6"/>
    <sheet name="Historical Luck" sheetId="14" r:id="rId7"/>
    <sheet name="East" sheetId="2" r:id="rId8"/>
    <sheet name="West" sheetId="3" r:id="rId9"/>
    <sheet name="Tracker" sheetId="17" r:id="rId10"/>
    <sheet name="Historical Standings" sheetId="12" r:id="rId11"/>
  </sheets>
  <definedNames>
    <definedName name="_xlnm._FilterDatabase" localSheetId="2" hidden="1">'Gamma Prediction'!$B$2:$G$31</definedName>
    <definedName name="_xlnm._FilterDatabase" localSheetId="6" hidden="1">'Historical Luck'!$A$6:$A$36</definedName>
    <definedName name="_xlnm._FilterDatabase" localSheetId="4" hidden="1">'Historical Snapshot'!$C$20:$C$50</definedName>
    <definedName name="_xlnm._FilterDatabase" localSheetId="1" hidden="1">Standings!$J$90:$J$105</definedName>
    <definedName name="_xlchart.v1.0" hidden="1">Standings!$B$171:$B$1170</definedName>
    <definedName name="_xlchart.v1.1" hidden="1">'Gamma Prediction'!$G$2:$G$31</definedName>
    <definedName name="ExternalData_1" localSheetId="7" hidden="1">East!$B$1:$I$16</definedName>
    <definedName name="ExternalData_1" localSheetId="8" hidden="1">West!$B$1:$I$16</definedName>
    <definedName name="Gamma">'Gamma Prediction'!$J$2</definedName>
    <definedName name="GammaFactor">'Gamma Prediction'!$L$31</definedName>
    <definedName name="GammaPower">'Gamma Prediction'!$O$32</definedName>
    <definedName name="solver_adj" localSheetId="2" hidden="1">'Gamma Prediction'!$O$32</definedName>
    <definedName name="solver_adj" localSheetId="6" hidden="1">'Historical Luck'!$U$5</definedName>
    <definedName name="solver_adj" localSheetId="1" hidden="1">Standings!$J$2</definedName>
    <definedName name="solver_cvg" localSheetId="2" hidden="1">0.0001</definedName>
    <definedName name="solver_cvg" localSheetId="6" hidden="1">0.0001</definedName>
    <definedName name="solver_cvg" localSheetId="1" hidden="1">0.0001</definedName>
    <definedName name="solver_drv" localSheetId="2" hidden="1">1</definedName>
    <definedName name="solver_drv" localSheetId="6" hidden="1">1</definedName>
    <definedName name="solver_drv" localSheetId="1" hidden="1">1</definedName>
    <definedName name="solver_eng" localSheetId="2" hidden="1">1</definedName>
    <definedName name="solver_eng" localSheetId="5" hidden="1">1</definedName>
    <definedName name="solver_eng" localSheetId="6" hidden="1">1</definedName>
    <definedName name="solver_eng" localSheetId="1" hidden="1">1</definedName>
    <definedName name="solver_est" localSheetId="2" hidden="1">1</definedName>
    <definedName name="solver_est" localSheetId="6" hidden="1">1</definedName>
    <definedName name="solver_est" localSheetId="1" hidden="1">1</definedName>
    <definedName name="solver_itr" localSheetId="2" hidden="1">2147483647</definedName>
    <definedName name="solver_itr" localSheetId="6" hidden="1">2147483647</definedName>
    <definedName name="solver_itr" localSheetId="1" hidden="1">2147483647</definedName>
    <definedName name="solver_lhs1" localSheetId="2" hidden="1">'Gamma Prediction'!$J$2</definedName>
    <definedName name="solver_lhs1" localSheetId="6" hidden="1">'Historical Luck'!$U$5</definedName>
    <definedName name="solver_lhs1" localSheetId="1" hidden="1">Standings!$K$7</definedName>
    <definedName name="solver_mip" localSheetId="2" hidden="1">2147483647</definedName>
    <definedName name="solver_mip" localSheetId="6" hidden="1">2147483647</definedName>
    <definedName name="solver_mip" localSheetId="1" hidden="1">2147483647</definedName>
    <definedName name="solver_mni" localSheetId="2" hidden="1">30</definedName>
    <definedName name="solver_mni" localSheetId="6" hidden="1">30</definedName>
    <definedName name="solver_mni" localSheetId="1" hidden="1">30</definedName>
    <definedName name="solver_mrt" localSheetId="2" hidden="1">0.075</definedName>
    <definedName name="solver_mrt" localSheetId="6" hidden="1">0.075</definedName>
    <definedName name="solver_mrt" localSheetId="1" hidden="1">0.075</definedName>
    <definedName name="solver_msl" localSheetId="2" hidden="1">2</definedName>
    <definedName name="solver_msl" localSheetId="6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6" hidden="1">1</definedName>
    <definedName name="solver_neg" localSheetId="1" hidden="1">1</definedName>
    <definedName name="solver_nod" localSheetId="2" hidden="1">2147483647</definedName>
    <definedName name="solver_nod" localSheetId="6" hidden="1">2147483647</definedName>
    <definedName name="solver_nod" localSheetId="1" hidden="1">2147483647</definedName>
    <definedName name="solver_num" localSheetId="2" hidden="1">0</definedName>
    <definedName name="solver_num" localSheetId="5" hidden="1">0</definedName>
    <definedName name="solver_num" localSheetId="6" hidden="1">1</definedName>
    <definedName name="solver_num" localSheetId="1" hidden="1">0</definedName>
    <definedName name="solver_nwt" localSheetId="2" hidden="1">1</definedName>
    <definedName name="solver_nwt" localSheetId="6" hidden="1">1</definedName>
    <definedName name="solver_nwt" localSheetId="1" hidden="1">1</definedName>
    <definedName name="solver_opt" localSheetId="2" hidden="1">'Gamma Prediction'!$M$64</definedName>
    <definedName name="solver_opt" localSheetId="5" hidden="1">'Historical Bracket'!$W$17</definedName>
    <definedName name="solver_opt" localSheetId="6" hidden="1">'Historical Luck'!$U$37</definedName>
    <definedName name="solver_opt" localSheetId="1" hidden="1">Standings!$J$3</definedName>
    <definedName name="solver_pre" localSheetId="2" hidden="1">0.000001</definedName>
    <definedName name="solver_pre" localSheetId="6" hidden="1">0.000001</definedName>
    <definedName name="solver_pre" localSheetId="1" hidden="1">0.000001</definedName>
    <definedName name="solver_rbv" localSheetId="2" hidden="1">1</definedName>
    <definedName name="solver_rbv" localSheetId="6" hidden="1">1</definedName>
    <definedName name="solver_rbv" localSheetId="1" hidden="1">1</definedName>
    <definedName name="solver_rel1" localSheetId="2" hidden="1">3</definedName>
    <definedName name="solver_rel1" localSheetId="6" hidden="1">3</definedName>
    <definedName name="solver_rel1" localSheetId="1" hidden="1">1</definedName>
    <definedName name="solver_rhs1" localSheetId="2" hidden="1">5</definedName>
    <definedName name="solver_rhs1" localSheetId="6" hidden="1">1</definedName>
    <definedName name="solver_rhs1" localSheetId="1" hidden="1">0</definedName>
    <definedName name="solver_rlx" localSheetId="2" hidden="1">2</definedName>
    <definedName name="solver_rlx" localSheetId="6" hidden="1">2</definedName>
    <definedName name="solver_rlx" localSheetId="1" hidden="1">2</definedName>
    <definedName name="solver_rsd" localSheetId="2" hidden="1">0</definedName>
    <definedName name="solver_rsd" localSheetId="6" hidden="1">0</definedName>
    <definedName name="solver_rsd" localSheetId="1" hidden="1">0</definedName>
    <definedName name="solver_scl" localSheetId="2" hidden="1">1</definedName>
    <definedName name="solver_scl" localSheetId="6" hidden="1">1</definedName>
    <definedName name="solver_scl" localSheetId="1" hidden="1">1</definedName>
    <definedName name="solver_sho" localSheetId="2" hidden="1">2</definedName>
    <definedName name="solver_sho" localSheetId="6" hidden="1">2</definedName>
    <definedName name="solver_sho" localSheetId="1" hidden="1">2</definedName>
    <definedName name="solver_ssz" localSheetId="2" hidden="1">100</definedName>
    <definedName name="solver_ssz" localSheetId="6" hidden="1">100</definedName>
    <definedName name="solver_ssz" localSheetId="1" hidden="1">100</definedName>
    <definedName name="solver_tim" localSheetId="2" hidden="1">2147483647</definedName>
    <definedName name="solver_tim" localSheetId="6" hidden="1">2147483647</definedName>
    <definedName name="solver_tim" localSheetId="1" hidden="1">2147483647</definedName>
    <definedName name="solver_tol" localSheetId="2" hidden="1">0.01</definedName>
    <definedName name="solver_tol" localSheetId="6" hidden="1">0.01</definedName>
    <definedName name="solver_tol" localSheetId="1" hidden="1">0.01</definedName>
    <definedName name="solver_typ" localSheetId="2" hidden="1">3</definedName>
    <definedName name="solver_typ" localSheetId="5" hidden="1">2</definedName>
    <definedName name="solver_typ" localSheetId="6" hidden="1">3</definedName>
    <definedName name="solver_typ" localSheetId="1" hidden="1">3</definedName>
    <definedName name="solver_val" localSheetId="2" hidden="1">0.1</definedName>
    <definedName name="solver_val" localSheetId="5" hidden="1">0</definedName>
    <definedName name="solver_val" localSheetId="6" hidden="1">0</definedName>
    <definedName name="solver_val" localSheetId="1" hidden="1">0</definedName>
    <definedName name="solver_ver" localSheetId="2" hidden="1">3</definedName>
    <definedName name="solver_ver" localSheetId="5" hidden="1">3</definedName>
    <definedName name="solver_ver" localSheetId="6" hidden="1">3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0" i="5" l="1"/>
  <c r="E90" i="5"/>
  <c r="F90" i="5"/>
  <c r="D91" i="5"/>
  <c r="E91" i="5" s="1"/>
  <c r="D92" i="5"/>
  <c r="E92" i="5" s="1"/>
  <c r="D93" i="5"/>
  <c r="E93" i="5" s="1"/>
  <c r="D94" i="5"/>
  <c r="E94" i="5"/>
  <c r="D95" i="5"/>
  <c r="E95" i="5" s="1"/>
  <c r="D96" i="5"/>
  <c r="E96" i="5" s="1"/>
  <c r="D97" i="5"/>
  <c r="E97" i="5" s="1"/>
  <c r="D98" i="5"/>
  <c r="E98" i="5"/>
  <c r="D99" i="5"/>
  <c r="E99" i="5" s="1"/>
  <c r="D100" i="5"/>
  <c r="E100" i="5" s="1"/>
  <c r="D101" i="5"/>
  <c r="E101" i="5" s="1"/>
  <c r="D102" i="5"/>
  <c r="E102" i="5"/>
  <c r="D103" i="5"/>
  <c r="E103" i="5" s="1"/>
  <c r="D104" i="5"/>
  <c r="E104" i="5" s="1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D105" i="5"/>
  <c r="E105" i="5" s="1"/>
  <c r="F105" i="5"/>
  <c r="D106" i="5"/>
  <c r="E106" i="5" s="1"/>
  <c r="D107" i="5"/>
  <c r="E107" i="5" s="1"/>
  <c r="D108" i="5"/>
  <c r="E108" i="5" s="1"/>
  <c r="D109" i="5"/>
  <c r="E109" i="5" s="1"/>
  <c r="D110" i="5"/>
  <c r="E110" i="5" s="1"/>
  <c r="D111" i="5"/>
  <c r="E111" i="5"/>
  <c r="D112" i="5"/>
  <c r="E112" i="5" s="1"/>
  <c r="D113" i="5"/>
  <c r="E113" i="5" s="1"/>
  <c r="D114" i="5"/>
  <c r="E114" i="5" s="1"/>
  <c r="D115" i="5"/>
  <c r="E115" i="5" s="1"/>
  <c r="D116" i="5"/>
  <c r="E116" i="5" s="1"/>
  <c r="D117" i="5"/>
  <c r="E117" i="5" s="1"/>
  <c r="D118" i="5"/>
  <c r="E118" i="5" s="1"/>
  <c r="D119" i="5"/>
  <c r="E119" i="5" s="1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J2" i="4"/>
  <c r="H106" i="5" l="1"/>
  <c r="H97" i="5"/>
  <c r="H91" i="5"/>
  <c r="H90" i="5"/>
  <c r="H98" i="5"/>
  <c r="H102" i="5"/>
  <c r="H94" i="5"/>
  <c r="H96" i="5"/>
  <c r="H100" i="5"/>
  <c r="H104" i="5"/>
  <c r="H99" i="5"/>
  <c r="H110" i="5"/>
  <c r="H109" i="5"/>
  <c r="H113" i="5"/>
  <c r="H117" i="5"/>
  <c r="H105" i="5"/>
  <c r="H107" i="5"/>
  <c r="H111" i="5"/>
  <c r="H115" i="5"/>
  <c r="H119" i="5"/>
  <c r="H101" i="5"/>
  <c r="H93" i="5"/>
  <c r="H108" i="5"/>
  <c r="H118" i="5"/>
  <c r="H116" i="5"/>
  <c r="H114" i="5"/>
  <c r="H112" i="5"/>
  <c r="H103" i="5"/>
  <c r="H95" i="5"/>
  <c r="H92" i="5"/>
  <c r="AA27" i="5"/>
  <c r="F2" i="15" l="1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C45" i="17"/>
  <c r="D45" i="17" s="1"/>
  <c r="E45" i="17" s="1"/>
  <c r="F45" i="17" s="1"/>
  <c r="G45" i="17" s="1"/>
  <c r="H45" i="17" s="1"/>
  <c r="I45" i="17" s="1"/>
  <c r="J45" i="17" s="1"/>
  <c r="K45" i="17" s="1"/>
  <c r="L45" i="17" s="1"/>
  <c r="M45" i="17" s="1"/>
  <c r="N45" i="17" s="1"/>
  <c r="O45" i="17" s="1"/>
  <c r="P45" i="17" s="1"/>
  <c r="Q45" i="17" s="1"/>
  <c r="R45" i="17" s="1"/>
  <c r="S45" i="17" s="1"/>
  <c r="T45" i="17" s="1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O2" i="15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K36" i="14"/>
  <c r="CJ36" i="14"/>
  <c r="CI36" i="14"/>
  <c r="CK35" i="14"/>
  <c r="CJ35" i="14"/>
  <c r="CI35" i="14"/>
  <c r="CK34" i="14"/>
  <c r="CJ34" i="14"/>
  <c r="CI34" i="14"/>
  <c r="CK33" i="14"/>
  <c r="CJ33" i="14"/>
  <c r="CI33" i="14"/>
  <c r="CK32" i="14"/>
  <c r="CJ32" i="14"/>
  <c r="CI32" i="14"/>
  <c r="CK31" i="14"/>
  <c r="CJ31" i="14"/>
  <c r="CI31" i="14"/>
  <c r="CK30" i="14"/>
  <c r="CJ30" i="14"/>
  <c r="CI30" i="14"/>
  <c r="CK29" i="14"/>
  <c r="CJ29" i="14"/>
  <c r="CI29" i="14"/>
  <c r="CK28" i="14"/>
  <c r="CJ28" i="14"/>
  <c r="CI28" i="14"/>
  <c r="CK27" i="14"/>
  <c r="CJ27" i="14"/>
  <c r="CI27" i="14"/>
  <c r="CK26" i="14"/>
  <c r="CJ26" i="14"/>
  <c r="CI26" i="14"/>
  <c r="CK25" i="14"/>
  <c r="CJ25" i="14"/>
  <c r="CI25" i="14"/>
  <c r="CK24" i="14"/>
  <c r="CJ24" i="14"/>
  <c r="CI24" i="14"/>
  <c r="CK23" i="14"/>
  <c r="CJ23" i="14"/>
  <c r="CI23" i="14"/>
  <c r="CK22" i="14"/>
  <c r="CJ22" i="14"/>
  <c r="CI22" i="14"/>
  <c r="CK21" i="14"/>
  <c r="CJ21" i="14"/>
  <c r="CI21" i="14"/>
  <c r="CK20" i="14"/>
  <c r="CJ20" i="14"/>
  <c r="CI20" i="14"/>
  <c r="CK19" i="14"/>
  <c r="CJ19" i="14"/>
  <c r="CI19" i="14"/>
  <c r="CK18" i="14"/>
  <c r="CJ18" i="14"/>
  <c r="CI18" i="14"/>
  <c r="CK17" i="14"/>
  <c r="CJ17" i="14"/>
  <c r="CI17" i="14"/>
  <c r="CK16" i="14"/>
  <c r="CJ16" i="14"/>
  <c r="CI16" i="14"/>
  <c r="CK15" i="14"/>
  <c r="CJ15" i="14"/>
  <c r="CI15" i="14"/>
  <c r="CK14" i="14"/>
  <c r="CJ14" i="14"/>
  <c r="CI14" i="14"/>
  <c r="CK13" i="14"/>
  <c r="CJ13" i="14"/>
  <c r="CI13" i="14"/>
  <c r="CK12" i="14"/>
  <c r="CJ12" i="14"/>
  <c r="CI12" i="14"/>
  <c r="CK11" i="14"/>
  <c r="CJ11" i="14"/>
  <c r="CI11" i="14"/>
  <c r="CK9" i="14"/>
  <c r="CJ9" i="14"/>
  <c r="CI9" i="14"/>
  <c r="CK8" i="14"/>
  <c r="CJ8" i="14"/>
  <c r="CI8" i="14"/>
  <c r="CK7" i="14"/>
  <c r="CJ7" i="14"/>
  <c r="CI7" i="14"/>
  <c r="CF36" i="14"/>
  <c r="CE36" i="14"/>
  <c r="CD36" i="14"/>
  <c r="CF35" i="14"/>
  <c r="CE35" i="14"/>
  <c r="CD35" i="14"/>
  <c r="CF34" i="14"/>
  <c r="CE34" i="14"/>
  <c r="CD34" i="14"/>
  <c r="CF33" i="14"/>
  <c r="CE33" i="14"/>
  <c r="CD33" i="14"/>
  <c r="CF32" i="14"/>
  <c r="CE32" i="14"/>
  <c r="CD32" i="14"/>
  <c r="CF31" i="14"/>
  <c r="CE31" i="14"/>
  <c r="CD31" i="14"/>
  <c r="CF30" i="14"/>
  <c r="CE30" i="14"/>
  <c r="CD30" i="14"/>
  <c r="CF29" i="14"/>
  <c r="CE29" i="14"/>
  <c r="CD29" i="14"/>
  <c r="CF28" i="14"/>
  <c r="CE28" i="14"/>
  <c r="CD28" i="14"/>
  <c r="CF27" i="14"/>
  <c r="CE27" i="14"/>
  <c r="CD27" i="14"/>
  <c r="CF26" i="14"/>
  <c r="CE26" i="14"/>
  <c r="CD26" i="14"/>
  <c r="CF25" i="14"/>
  <c r="CE25" i="14"/>
  <c r="CD25" i="14"/>
  <c r="CF24" i="14"/>
  <c r="CE24" i="14"/>
  <c r="CD24" i="14"/>
  <c r="CF23" i="14"/>
  <c r="CE23" i="14"/>
  <c r="CD23" i="14"/>
  <c r="CF22" i="14"/>
  <c r="CE22" i="14"/>
  <c r="CD22" i="14"/>
  <c r="CF21" i="14"/>
  <c r="CE21" i="14"/>
  <c r="CD21" i="14"/>
  <c r="CF20" i="14"/>
  <c r="CE20" i="14"/>
  <c r="CD20" i="14"/>
  <c r="CF19" i="14"/>
  <c r="CE19" i="14"/>
  <c r="CD19" i="14"/>
  <c r="CF18" i="14"/>
  <c r="CE18" i="14"/>
  <c r="CD18" i="14"/>
  <c r="CF17" i="14"/>
  <c r="CE17" i="14"/>
  <c r="CD17" i="14"/>
  <c r="CF16" i="14"/>
  <c r="CE16" i="14"/>
  <c r="CD16" i="14"/>
  <c r="CF15" i="14"/>
  <c r="CE15" i="14"/>
  <c r="CD15" i="14"/>
  <c r="CF14" i="14"/>
  <c r="CE14" i="14"/>
  <c r="CD14" i="14"/>
  <c r="CF13" i="14"/>
  <c r="CE13" i="14"/>
  <c r="CD13" i="14"/>
  <c r="CF12" i="14"/>
  <c r="CE12" i="14"/>
  <c r="CD12" i="14"/>
  <c r="CF11" i="14"/>
  <c r="CE11" i="14"/>
  <c r="CD11" i="14"/>
  <c r="CF9" i="14"/>
  <c r="CE9" i="14"/>
  <c r="CD9" i="14"/>
  <c r="CF8" i="14"/>
  <c r="CE8" i="14"/>
  <c r="CD8" i="14"/>
  <c r="CF7" i="14"/>
  <c r="CE7" i="14"/>
  <c r="CD7" i="14"/>
  <c r="CA36" i="14"/>
  <c r="BZ36" i="14"/>
  <c r="BY36" i="14"/>
  <c r="CA35" i="14"/>
  <c r="BZ35" i="14"/>
  <c r="BY35" i="14"/>
  <c r="CA34" i="14"/>
  <c r="BZ34" i="14"/>
  <c r="BY34" i="14"/>
  <c r="CA33" i="14"/>
  <c r="BZ33" i="14"/>
  <c r="BY33" i="14"/>
  <c r="CA32" i="14"/>
  <c r="BZ32" i="14"/>
  <c r="BY32" i="14"/>
  <c r="CA31" i="14"/>
  <c r="BZ31" i="14"/>
  <c r="BY31" i="14"/>
  <c r="CA30" i="14"/>
  <c r="BZ30" i="14"/>
  <c r="BY30" i="14"/>
  <c r="CA29" i="14"/>
  <c r="BZ29" i="14"/>
  <c r="BY29" i="14"/>
  <c r="CA28" i="14"/>
  <c r="BZ28" i="14"/>
  <c r="BY28" i="14"/>
  <c r="CA27" i="14"/>
  <c r="BZ27" i="14"/>
  <c r="BY27" i="14"/>
  <c r="CA26" i="14"/>
  <c r="BZ26" i="14"/>
  <c r="BY26" i="14"/>
  <c r="CA25" i="14"/>
  <c r="BZ25" i="14"/>
  <c r="BY25" i="14"/>
  <c r="CA24" i="14"/>
  <c r="BZ24" i="14"/>
  <c r="BY24" i="14"/>
  <c r="CA23" i="14"/>
  <c r="BZ23" i="14"/>
  <c r="BY23" i="14"/>
  <c r="CA22" i="14"/>
  <c r="BZ22" i="14"/>
  <c r="BY22" i="14"/>
  <c r="CA21" i="14"/>
  <c r="BZ21" i="14"/>
  <c r="BY21" i="14"/>
  <c r="CA20" i="14"/>
  <c r="BZ20" i="14"/>
  <c r="BY20" i="14"/>
  <c r="CA19" i="14"/>
  <c r="BZ19" i="14"/>
  <c r="BY19" i="14"/>
  <c r="CA18" i="14"/>
  <c r="BZ18" i="14"/>
  <c r="BY18" i="14"/>
  <c r="CA17" i="14"/>
  <c r="BZ17" i="14"/>
  <c r="BY17" i="14"/>
  <c r="CA16" i="14"/>
  <c r="BZ16" i="14"/>
  <c r="BY16" i="14"/>
  <c r="CA15" i="14"/>
  <c r="BZ15" i="14"/>
  <c r="BY15" i="14"/>
  <c r="CA14" i="14"/>
  <c r="BZ14" i="14"/>
  <c r="BY14" i="14"/>
  <c r="CA13" i="14"/>
  <c r="BZ13" i="14"/>
  <c r="BY13" i="14"/>
  <c r="CA12" i="14"/>
  <c r="BZ12" i="14"/>
  <c r="BY12" i="14"/>
  <c r="CA11" i="14"/>
  <c r="BZ11" i="14"/>
  <c r="BY11" i="14"/>
  <c r="CA10" i="14"/>
  <c r="BZ10" i="14"/>
  <c r="BY10" i="14"/>
  <c r="CA9" i="14"/>
  <c r="BZ9" i="14"/>
  <c r="BY9" i="14"/>
  <c r="CA8" i="14"/>
  <c r="BZ8" i="14"/>
  <c r="BY8" i="14"/>
  <c r="CA7" i="14"/>
  <c r="BZ7" i="14"/>
  <c r="BY7" i="14"/>
  <c r="BV36" i="14"/>
  <c r="BU36" i="14"/>
  <c r="BT36" i="14"/>
  <c r="BV35" i="14"/>
  <c r="BU35" i="14"/>
  <c r="BT35" i="14"/>
  <c r="BV34" i="14"/>
  <c r="BU34" i="14"/>
  <c r="BT34" i="14"/>
  <c r="BV33" i="14"/>
  <c r="BU33" i="14"/>
  <c r="BT33" i="14"/>
  <c r="BV32" i="14"/>
  <c r="BU32" i="14"/>
  <c r="BT32" i="14"/>
  <c r="BV31" i="14"/>
  <c r="BU31" i="14"/>
  <c r="BT31" i="14"/>
  <c r="BV30" i="14"/>
  <c r="BU30" i="14"/>
  <c r="BT30" i="14"/>
  <c r="BV29" i="14"/>
  <c r="BU29" i="14"/>
  <c r="BT29" i="14"/>
  <c r="BV28" i="14"/>
  <c r="BU28" i="14"/>
  <c r="BT28" i="14"/>
  <c r="BV27" i="14"/>
  <c r="BU27" i="14"/>
  <c r="BT27" i="14"/>
  <c r="BV26" i="14"/>
  <c r="BU26" i="14"/>
  <c r="BT26" i="14"/>
  <c r="BV25" i="14"/>
  <c r="BU25" i="14"/>
  <c r="BT25" i="14"/>
  <c r="BV24" i="14"/>
  <c r="BU24" i="14"/>
  <c r="BT24" i="14"/>
  <c r="BV23" i="14"/>
  <c r="BU23" i="14"/>
  <c r="BT23" i="14"/>
  <c r="BV22" i="14"/>
  <c r="BU22" i="14"/>
  <c r="BT22" i="14"/>
  <c r="BV21" i="14"/>
  <c r="BU21" i="14"/>
  <c r="BT21" i="14"/>
  <c r="BV20" i="14"/>
  <c r="BU20" i="14"/>
  <c r="BT20" i="14"/>
  <c r="BV19" i="14"/>
  <c r="BU19" i="14"/>
  <c r="BT19" i="14"/>
  <c r="BV18" i="14"/>
  <c r="BU18" i="14"/>
  <c r="BT18" i="14"/>
  <c r="BV17" i="14"/>
  <c r="BU17" i="14"/>
  <c r="BT17" i="14"/>
  <c r="BV16" i="14"/>
  <c r="BU16" i="14"/>
  <c r="BT16" i="14"/>
  <c r="BV15" i="14"/>
  <c r="BU15" i="14"/>
  <c r="BT15" i="14"/>
  <c r="BV14" i="14"/>
  <c r="BU14" i="14"/>
  <c r="BT14" i="14"/>
  <c r="BV13" i="14"/>
  <c r="BU13" i="14"/>
  <c r="BT13" i="14"/>
  <c r="BV12" i="14"/>
  <c r="BU12" i="14"/>
  <c r="BT12" i="14"/>
  <c r="BV11" i="14"/>
  <c r="BU11" i="14"/>
  <c r="BT11" i="14"/>
  <c r="BV10" i="14"/>
  <c r="BU10" i="14"/>
  <c r="BT10" i="14"/>
  <c r="BV9" i="14"/>
  <c r="BU9" i="14"/>
  <c r="BT9" i="14"/>
  <c r="BV8" i="14"/>
  <c r="BU8" i="14"/>
  <c r="BT8" i="14"/>
  <c r="BV7" i="14"/>
  <c r="BU7" i="14"/>
  <c r="BT7" i="14"/>
  <c r="BQ36" i="14"/>
  <c r="BP36" i="14"/>
  <c r="BO36" i="14"/>
  <c r="BQ35" i="14"/>
  <c r="BP35" i="14"/>
  <c r="BO35" i="14"/>
  <c r="BQ34" i="14"/>
  <c r="BP34" i="14"/>
  <c r="BO34" i="14"/>
  <c r="BQ33" i="14"/>
  <c r="BP33" i="14"/>
  <c r="BO33" i="14"/>
  <c r="BQ32" i="14"/>
  <c r="BP32" i="14"/>
  <c r="BO32" i="14"/>
  <c r="BQ31" i="14"/>
  <c r="BP31" i="14"/>
  <c r="BO31" i="14"/>
  <c r="BQ30" i="14"/>
  <c r="BP30" i="14"/>
  <c r="BO30" i="14"/>
  <c r="BQ29" i="14"/>
  <c r="BP29" i="14"/>
  <c r="BO29" i="14"/>
  <c r="BQ28" i="14"/>
  <c r="BP28" i="14"/>
  <c r="BO28" i="14"/>
  <c r="BQ27" i="14"/>
  <c r="BP27" i="14"/>
  <c r="BO27" i="14"/>
  <c r="BQ26" i="14"/>
  <c r="BP26" i="14"/>
  <c r="BO26" i="14"/>
  <c r="BQ25" i="14"/>
  <c r="BP25" i="14"/>
  <c r="BO25" i="14"/>
  <c r="BQ24" i="14"/>
  <c r="BP24" i="14"/>
  <c r="BO24" i="14"/>
  <c r="BQ23" i="14"/>
  <c r="BP23" i="14"/>
  <c r="BO23" i="14"/>
  <c r="BQ22" i="14"/>
  <c r="BP22" i="14"/>
  <c r="BO22" i="14"/>
  <c r="BQ21" i="14"/>
  <c r="BP21" i="14"/>
  <c r="BO21" i="14"/>
  <c r="BQ20" i="14"/>
  <c r="BP20" i="14"/>
  <c r="BO20" i="14"/>
  <c r="BQ19" i="14"/>
  <c r="BP19" i="14"/>
  <c r="BO19" i="14"/>
  <c r="BQ18" i="14"/>
  <c r="BP18" i="14"/>
  <c r="BO18" i="14"/>
  <c r="BQ17" i="14"/>
  <c r="BP17" i="14"/>
  <c r="BO17" i="14"/>
  <c r="BQ16" i="14"/>
  <c r="BP16" i="14"/>
  <c r="BO16" i="14"/>
  <c r="BQ15" i="14"/>
  <c r="BP15" i="14"/>
  <c r="BO15" i="14"/>
  <c r="BQ14" i="14"/>
  <c r="BP14" i="14"/>
  <c r="BO14" i="14"/>
  <c r="BQ13" i="14"/>
  <c r="BP13" i="14"/>
  <c r="BO13" i="14"/>
  <c r="BQ12" i="14"/>
  <c r="BP12" i="14"/>
  <c r="BO12" i="14"/>
  <c r="BQ11" i="14"/>
  <c r="BP11" i="14"/>
  <c r="BO11" i="14"/>
  <c r="BQ10" i="14"/>
  <c r="BP10" i="14"/>
  <c r="BO10" i="14"/>
  <c r="BQ9" i="14"/>
  <c r="BP9" i="14"/>
  <c r="BO9" i="14"/>
  <c r="BQ8" i="14"/>
  <c r="BP8" i="14"/>
  <c r="BO8" i="14"/>
  <c r="BQ7" i="14"/>
  <c r="BP7" i="14"/>
  <c r="BO7" i="14"/>
  <c r="BL36" i="14"/>
  <c r="BK36" i="14"/>
  <c r="BJ36" i="14"/>
  <c r="BL35" i="14"/>
  <c r="BK35" i="14"/>
  <c r="BJ35" i="14"/>
  <c r="BL34" i="14"/>
  <c r="BK34" i="14"/>
  <c r="BJ34" i="14"/>
  <c r="BL33" i="14"/>
  <c r="BK33" i="14"/>
  <c r="BJ33" i="14"/>
  <c r="BL32" i="14"/>
  <c r="BK32" i="14"/>
  <c r="BJ32" i="14"/>
  <c r="BL31" i="14"/>
  <c r="BK31" i="14"/>
  <c r="BJ31" i="14"/>
  <c r="BL30" i="14"/>
  <c r="BK30" i="14"/>
  <c r="BJ30" i="14"/>
  <c r="BL29" i="14"/>
  <c r="BK29" i="14"/>
  <c r="BJ29" i="14"/>
  <c r="BL28" i="14"/>
  <c r="BK28" i="14"/>
  <c r="BJ28" i="14"/>
  <c r="BL27" i="14"/>
  <c r="BK27" i="14"/>
  <c r="BJ27" i="14"/>
  <c r="BL26" i="14"/>
  <c r="BK26" i="14"/>
  <c r="BJ26" i="14"/>
  <c r="BL25" i="14"/>
  <c r="BK25" i="14"/>
  <c r="BJ25" i="14"/>
  <c r="BL24" i="14"/>
  <c r="BK24" i="14"/>
  <c r="BJ24" i="14"/>
  <c r="BL23" i="14"/>
  <c r="BK23" i="14"/>
  <c r="BJ23" i="14"/>
  <c r="BL22" i="14"/>
  <c r="BK22" i="14"/>
  <c r="BJ22" i="14"/>
  <c r="BL21" i="14"/>
  <c r="BK21" i="14"/>
  <c r="BJ21" i="14"/>
  <c r="BL20" i="14"/>
  <c r="BK20" i="14"/>
  <c r="BJ20" i="14"/>
  <c r="BL19" i="14"/>
  <c r="BK19" i="14"/>
  <c r="BJ19" i="14"/>
  <c r="BL18" i="14"/>
  <c r="BK18" i="14"/>
  <c r="BJ18" i="14"/>
  <c r="BL17" i="14"/>
  <c r="BK17" i="14"/>
  <c r="BJ17" i="14"/>
  <c r="BL16" i="14"/>
  <c r="BK16" i="14"/>
  <c r="BJ16" i="14"/>
  <c r="BL15" i="14"/>
  <c r="BK15" i="14"/>
  <c r="BJ15" i="14"/>
  <c r="BL14" i="14"/>
  <c r="BK14" i="14"/>
  <c r="BJ14" i="14"/>
  <c r="BL13" i="14"/>
  <c r="BK13" i="14"/>
  <c r="BJ13" i="14"/>
  <c r="BL12" i="14"/>
  <c r="BK12" i="14"/>
  <c r="BJ12" i="14"/>
  <c r="BL11" i="14"/>
  <c r="BK11" i="14"/>
  <c r="BJ11" i="14"/>
  <c r="BL10" i="14"/>
  <c r="BK10" i="14"/>
  <c r="BJ10" i="14"/>
  <c r="BL9" i="14"/>
  <c r="BK9" i="14"/>
  <c r="BJ9" i="14"/>
  <c r="BL8" i="14"/>
  <c r="BK8" i="14"/>
  <c r="BJ8" i="14"/>
  <c r="BL7" i="14"/>
  <c r="BK7" i="14"/>
  <c r="BJ7" i="14"/>
  <c r="BG36" i="14"/>
  <c r="BF36" i="14"/>
  <c r="BE36" i="14"/>
  <c r="BG35" i="14"/>
  <c r="BF35" i="14"/>
  <c r="BE35" i="14"/>
  <c r="BG34" i="14"/>
  <c r="BF34" i="14"/>
  <c r="BE34" i="14"/>
  <c r="BG33" i="14"/>
  <c r="BF33" i="14"/>
  <c r="BE33" i="14"/>
  <c r="BG32" i="14"/>
  <c r="BF32" i="14"/>
  <c r="BE32" i="14"/>
  <c r="BG31" i="14"/>
  <c r="BF31" i="14"/>
  <c r="BE31" i="14"/>
  <c r="BG30" i="14"/>
  <c r="BF30" i="14"/>
  <c r="BE30" i="14"/>
  <c r="BG29" i="14"/>
  <c r="BF29" i="14"/>
  <c r="BE29" i="14"/>
  <c r="BG28" i="14"/>
  <c r="BF28" i="14"/>
  <c r="BE28" i="14"/>
  <c r="BG27" i="14"/>
  <c r="BF27" i="14"/>
  <c r="BE27" i="14"/>
  <c r="BG26" i="14"/>
  <c r="BF26" i="14"/>
  <c r="BE26" i="14"/>
  <c r="BG25" i="14"/>
  <c r="BF25" i="14"/>
  <c r="BE25" i="14"/>
  <c r="BG24" i="14"/>
  <c r="BF24" i="14"/>
  <c r="BE24" i="14"/>
  <c r="BG23" i="14"/>
  <c r="BF23" i="14"/>
  <c r="BE23" i="14"/>
  <c r="BG22" i="14"/>
  <c r="BF22" i="14"/>
  <c r="BE22" i="14"/>
  <c r="BG21" i="14"/>
  <c r="BF21" i="14"/>
  <c r="BE21" i="14"/>
  <c r="BG20" i="14"/>
  <c r="BF20" i="14"/>
  <c r="BE20" i="14"/>
  <c r="BG19" i="14"/>
  <c r="BF19" i="14"/>
  <c r="BE19" i="14"/>
  <c r="BG18" i="14"/>
  <c r="BF18" i="14"/>
  <c r="BE18" i="14"/>
  <c r="BG17" i="14"/>
  <c r="BF17" i="14"/>
  <c r="BE17" i="14"/>
  <c r="BG16" i="14"/>
  <c r="BF16" i="14"/>
  <c r="BE16" i="14"/>
  <c r="BG15" i="14"/>
  <c r="BF15" i="14"/>
  <c r="BE15" i="14"/>
  <c r="BG14" i="14"/>
  <c r="BF14" i="14"/>
  <c r="BE14" i="14"/>
  <c r="BG13" i="14"/>
  <c r="BF13" i="14"/>
  <c r="BE13" i="14"/>
  <c r="BG12" i="14"/>
  <c r="BF12" i="14"/>
  <c r="BE12" i="14"/>
  <c r="BG11" i="14"/>
  <c r="BF11" i="14"/>
  <c r="BE11" i="14"/>
  <c r="BG10" i="14"/>
  <c r="BF10" i="14"/>
  <c r="BE10" i="14"/>
  <c r="BG9" i="14"/>
  <c r="BF9" i="14"/>
  <c r="BE9" i="14"/>
  <c r="BG8" i="14"/>
  <c r="BF8" i="14"/>
  <c r="BE8" i="14"/>
  <c r="BG7" i="14"/>
  <c r="BF7" i="14"/>
  <c r="BE7" i="14"/>
  <c r="BB36" i="14"/>
  <c r="BA36" i="14"/>
  <c r="AZ36" i="14"/>
  <c r="BB35" i="14"/>
  <c r="BA35" i="14"/>
  <c r="AZ35" i="14"/>
  <c r="BB34" i="14"/>
  <c r="BA34" i="14"/>
  <c r="AZ34" i="14"/>
  <c r="BB33" i="14"/>
  <c r="BA33" i="14"/>
  <c r="AZ33" i="14"/>
  <c r="BB32" i="14"/>
  <c r="BA32" i="14"/>
  <c r="AZ32" i="14"/>
  <c r="BB31" i="14"/>
  <c r="BA31" i="14"/>
  <c r="AZ31" i="14"/>
  <c r="BB30" i="14"/>
  <c r="BA30" i="14"/>
  <c r="AZ30" i="14"/>
  <c r="BB29" i="14"/>
  <c r="BA29" i="14"/>
  <c r="AZ29" i="14"/>
  <c r="BB28" i="14"/>
  <c r="BA28" i="14"/>
  <c r="AZ28" i="14"/>
  <c r="BB27" i="14"/>
  <c r="BA27" i="14"/>
  <c r="AZ27" i="14"/>
  <c r="BB26" i="14"/>
  <c r="BA26" i="14"/>
  <c r="AZ26" i="14"/>
  <c r="BB25" i="14"/>
  <c r="BA25" i="14"/>
  <c r="AZ25" i="14"/>
  <c r="BB24" i="14"/>
  <c r="BA24" i="14"/>
  <c r="AZ24" i="14"/>
  <c r="BB23" i="14"/>
  <c r="BA23" i="14"/>
  <c r="AZ23" i="14"/>
  <c r="BB22" i="14"/>
  <c r="BA22" i="14"/>
  <c r="AZ22" i="14"/>
  <c r="BB21" i="14"/>
  <c r="BA21" i="14"/>
  <c r="AZ21" i="14"/>
  <c r="BB20" i="14"/>
  <c r="BA20" i="14"/>
  <c r="AZ20" i="14"/>
  <c r="BB19" i="14"/>
  <c r="BA19" i="14"/>
  <c r="AZ19" i="14"/>
  <c r="BB18" i="14"/>
  <c r="BA18" i="14"/>
  <c r="AZ18" i="14"/>
  <c r="BB17" i="14"/>
  <c r="BA17" i="14"/>
  <c r="AZ17" i="14"/>
  <c r="BB16" i="14"/>
  <c r="BA16" i="14"/>
  <c r="AZ16" i="14"/>
  <c r="BB15" i="14"/>
  <c r="BA15" i="14"/>
  <c r="AZ15" i="14"/>
  <c r="BB14" i="14"/>
  <c r="BA14" i="14"/>
  <c r="AZ14" i="14"/>
  <c r="BB13" i="14"/>
  <c r="BA13" i="14"/>
  <c r="AZ13" i="14"/>
  <c r="BB12" i="14"/>
  <c r="BA12" i="14"/>
  <c r="AZ12" i="14"/>
  <c r="BB11" i="14"/>
  <c r="BA11" i="14"/>
  <c r="AZ11" i="14"/>
  <c r="BB10" i="14"/>
  <c r="BA10" i="14"/>
  <c r="AZ10" i="14"/>
  <c r="BB9" i="14"/>
  <c r="BA9" i="14"/>
  <c r="AZ9" i="14"/>
  <c r="BB8" i="14"/>
  <c r="BA8" i="14"/>
  <c r="AZ8" i="14"/>
  <c r="BB7" i="14"/>
  <c r="BA7" i="14"/>
  <c r="AZ7" i="14"/>
  <c r="AW36" i="14"/>
  <c r="AV36" i="14"/>
  <c r="AU36" i="14"/>
  <c r="AW35" i="14"/>
  <c r="AV35" i="14"/>
  <c r="AU35" i="14"/>
  <c r="AW34" i="14"/>
  <c r="AV34" i="14"/>
  <c r="AU34" i="14"/>
  <c r="AW33" i="14"/>
  <c r="AV33" i="14"/>
  <c r="AU33" i="14"/>
  <c r="AW32" i="14"/>
  <c r="AV32" i="14"/>
  <c r="AU32" i="14"/>
  <c r="AW31" i="14"/>
  <c r="AV31" i="14"/>
  <c r="AU31" i="14"/>
  <c r="AW30" i="14"/>
  <c r="AV30" i="14"/>
  <c r="AU30" i="14"/>
  <c r="AW29" i="14"/>
  <c r="AV29" i="14"/>
  <c r="AU29" i="14"/>
  <c r="AW28" i="14"/>
  <c r="AV28" i="14"/>
  <c r="AU28" i="14"/>
  <c r="AW27" i="14"/>
  <c r="AV27" i="14"/>
  <c r="AU27" i="14"/>
  <c r="AW26" i="14"/>
  <c r="AV26" i="14"/>
  <c r="AU26" i="14"/>
  <c r="AW25" i="14"/>
  <c r="AV25" i="14"/>
  <c r="AU25" i="14"/>
  <c r="AW24" i="14"/>
  <c r="AV24" i="14"/>
  <c r="AU24" i="14"/>
  <c r="AW23" i="14"/>
  <c r="AV23" i="14"/>
  <c r="AU23" i="14"/>
  <c r="AW22" i="14"/>
  <c r="AV22" i="14"/>
  <c r="AU22" i="14"/>
  <c r="AW21" i="14"/>
  <c r="AV21" i="14"/>
  <c r="AU21" i="14"/>
  <c r="AW20" i="14"/>
  <c r="AV20" i="14"/>
  <c r="AU20" i="14"/>
  <c r="AW19" i="14"/>
  <c r="AV19" i="14"/>
  <c r="AU19" i="14"/>
  <c r="AW18" i="14"/>
  <c r="AV18" i="14"/>
  <c r="AU18" i="14"/>
  <c r="AW17" i="14"/>
  <c r="AV17" i="14"/>
  <c r="AU17" i="14"/>
  <c r="AW16" i="14"/>
  <c r="AV16" i="14"/>
  <c r="AU16" i="14"/>
  <c r="AW15" i="14"/>
  <c r="AV15" i="14"/>
  <c r="AU15" i="14"/>
  <c r="AW14" i="14"/>
  <c r="AV14" i="14"/>
  <c r="AU14" i="14"/>
  <c r="AW13" i="14"/>
  <c r="AV13" i="14"/>
  <c r="AU13" i="14"/>
  <c r="AW12" i="14"/>
  <c r="AV12" i="14"/>
  <c r="AU12" i="14"/>
  <c r="AW11" i="14"/>
  <c r="AV11" i="14"/>
  <c r="AU11" i="14"/>
  <c r="AW10" i="14"/>
  <c r="AV10" i="14"/>
  <c r="AU10" i="14"/>
  <c r="AW9" i="14"/>
  <c r="AV9" i="14"/>
  <c r="AU9" i="14"/>
  <c r="AW8" i="14"/>
  <c r="AV8" i="14"/>
  <c r="AU8" i="14"/>
  <c r="AW7" i="14"/>
  <c r="AV7" i="14"/>
  <c r="AU7" i="14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AR36" i="14"/>
  <c r="AQ36" i="14"/>
  <c r="AP36" i="14"/>
  <c r="AR35" i="14"/>
  <c r="AQ35" i="14"/>
  <c r="AP35" i="14"/>
  <c r="AR34" i="14"/>
  <c r="AQ34" i="14"/>
  <c r="AP34" i="14"/>
  <c r="AR33" i="14"/>
  <c r="AQ33" i="14"/>
  <c r="AP33" i="14"/>
  <c r="AR32" i="14"/>
  <c r="AQ32" i="14"/>
  <c r="AP32" i="14"/>
  <c r="AR31" i="14"/>
  <c r="AQ31" i="14"/>
  <c r="AP31" i="14"/>
  <c r="AR30" i="14"/>
  <c r="AQ30" i="14"/>
  <c r="AP30" i="14"/>
  <c r="AR29" i="14"/>
  <c r="AQ29" i="14"/>
  <c r="AP29" i="14"/>
  <c r="AR28" i="14"/>
  <c r="AQ28" i="14"/>
  <c r="AP28" i="14"/>
  <c r="AR27" i="14"/>
  <c r="AQ27" i="14"/>
  <c r="AP27" i="14"/>
  <c r="AR26" i="14"/>
  <c r="AQ26" i="14"/>
  <c r="AP26" i="14"/>
  <c r="AR25" i="14"/>
  <c r="AQ25" i="14"/>
  <c r="AP25" i="14"/>
  <c r="AR24" i="14"/>
  <c r="AQ24" i="14"/>
  <c r="AP24" i="14"/>
  <c r="AR23" i="14"/>
  <c r="AQ23" i="14"/>
  <c r="AP23" i="14"/>
  <c r="AR22" i="14"/>
  <c r="AQ22" i="14"/>
  <c r="AP22" i="14"/>
  <c r="AR21" i="14"/>
  <c r="AQ21" i="14"/>
  <c r="AP21" i="14"/>
  <c r="AR20" i="14"/>
  <c r="AQ20" i="14"/>
  <c r="AP20" i="14"/>
  <c r="AR19" i="14"/>
  <c r="AQ19" i="14"/>
  <c r="AP19" i="14"/>
  <c r="AR18" i="14"/>
  <c r="AQ18" i="14"/>
  <c r="AP18" i="14"/>
  <c r="AR17" i="14"/>
  <c r="AQ17" i="14"/>
  <c r="AP17" i="14"/>
  <c r="AR16" i="14"/>
  <c r="AQ16" i="14"/>
  <c r="AP16" i="14"/>
  <c r="AR15" i="14"/>
  <c r="AQ15" i="14"/>
  <c r="AP15" i="14"/>
  <c r="AR14" i="14"/>
  <c r="AQ14" i="14"/>
  <c r="AP14" i="14"/>
  <c r="AR13" i="14"/>
  <c r="AQ13" i="14"/>
  <c r="AP13" i="14"/>
  <c r="AR12" i="14"/>
  <c r="AQ12" i="14"/>
  <c r="AP12" i="14"/>
  <c r="AR11" i="14"/>
  <c r="AQ11" i="14"/>
  <c r="AP11" i="14"/>
  <c r="AR10" i="14"/>
  <c r="AQ10" i="14"/>
  <c r="AP10" i="14"/>
  <c r="AR9" i="14"/>
  <c r="AQ9" i="14"/>
  <c r="AP9" i="14"/>
  <c r="AR8" i="14"/>
  <c r="AQ8" i="14"/>
  <c r="AP8" i="14"/>
  <c r="AR7" i="14"/>
  <c r="AQ7" i="14"/>
  <c r="AP7" i="14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AM36" i="14"/>
  <c r="AL36" i="14"/>
  <c r="AK36" i="14"/>
  <c r="AM35" i="14"/>
  <c r="AL35" i="14"/>
  <c r="AK35" i="14"/>
  <c r="AM34" i="14"/>
  <c r="AL34" i="14"/>
  <c r="AK34" i="14"/>
  <c r="AM33" i="14"/>
  <c r="AL33" i="14"/>
  <c r="AK33" i="14"/>
  <c r="AM32" i="14"/>
  <c r="AL32" i="14"/>
  <c r="AK32" i="14"/>
  <c r="AM31" i="14"/>
  <c r="AL31" i="14"/>
  <c r="AK31" i="14"/>
  <c r="AM30" i="14"/>
  <c r="AL30" i="14"/>
  <c r="AK30" i="14"/>
  <c r="AM29" i="14"/>
  <c r="AL29" i="14"/>
  <c r="AK29" i="14"/>
  <c r="AM28" i="14"/>
  <c r="AL28" i="14"/>
  <c r="AK28" i="14"/>
  <c r="AM27" i="14"/>
  <c r="AL27" i="14"/>
  <c r="AK27" i="14"/>
  <c r="AM26" i="14"/>
  <c r="AL26" i="14"/>
  <c r="AK26" i="14"/>
  <c r="AM25" i="14"/>
  <c r="AL25" i="14"/>
  <c r="AK25" i="14"/>
  <c r="AM24" i="14"/>
  <c r="AL24" i="14"/>
  <c r="AK24" i="14"/>
  <c r="AM23" i="14"/>
  <c r="AL23" i="14"/>
  <c r="AK23" i="14"/>
  <c r="AM22" i="14"/>
  <c r="AL22" i="14"/>
  <c r="AK22" i="14"/>
  <c r="AM21" i="14"/>
  <c r="AL21" i="14"/>
  <c r="AK21" i="14"/>
  <c r="AM20" i="14"/>
  <c r="AL20" i="14"/>
  <c r="AK20" i="14"/>
  <c r="AM19" i="14"/>
  <c r="AL19" i="14"/>
  <c r="AK19" i="14"/>
  <c r="AM18" i="14"/>
  <c r="AL18" i="14"/>
  <c r="AK18" i="14"/>
  <c r="AM17" i="14"/>
  <c r="AL17" i="14"/>
  <c r="AK17" i="14"/>
  <c r="AM16" i="14"/>
  <c r="AL16" i="14"/>
  <c r="AK16" i="14"/>
  <c r="AM15" i="14"/>
  <c r="AL15" i="14"/>
  <c r="AK15" i="14"/>
  <c r="AM14" i="14"/>
  <c r="AL14" i="14"/>
  <c r="AK14" i="14"/>
  <c r="AM13" i="14"/>
  <c r="AL13" i="14"/>
  <c r="AK13" i="14"/>
  <c r="AM12" i="14"/>
  <c r="AL12" i="14"/>
  <c r="AK12" i="14"/>
  <c r="AM11" i="14"/>
  <c r="AL11" i="14"/>
  <c r="AK11" i="14"/>
  <c r="AM10" i="14"/>
  <c r="AL10" i="14"/>
  <c r="AK10" i="14"/>
  <c r="AM9" i="14"/>
  <c r="AL9" i="14"/>
  <c r="AK9" i="14"/>
  <c r="AM8" i="14"/>
  <c r="AL8" i="14"/>
  <c r="AK8" i="14"/>
  <c r="AM7" i="14"/>
  <c r="AL7" i="14"/>
  <c r="AK7" i="14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V66" i="16" l="1"/>
  <c r="X8" i="15"/>
  <c r="X4" i="15"/>
  <c r="X10" i="15"/>
  <c r="X9" i="15"/>
  <c r="X7" i="15"/>
  <c r="X6" i="15"/>
  <c r="X5" i="15"/>
  <c r="X3" i="15"/>
  <c r="W12" i="15"/>
  <c r="AH8" i="14"/>
  <c r="AH9" i="14"/>
  <c r="AH10" i="14"/>
  <c r="AG8" i="14"/>
  <c r="AG9" i="14"/>
  <c r="AG10" i="14"/>
  <c r="AF8" i="14"/>
  <c r="AF9" i="14"/>
  <c r="AF10" i="14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J86" i="12"/>
  <c r="T2" i="15" s="1"/>
  <c r="J87" i="12"/>
  <c r="T3" i="15" s="1"/>
  <c r="J88" i="12"/>
  <c r="T4" i="15" s="1"/>
  <c r="J89" i="12"/>
  <c r="T5" i="15" s="1"/>
  <c r="J90" i="12"/>
  <c r="T6" i="15" s="1"/>
  <c r="J91" i="12"/>
  <c r="T7" i="15" s="1"/>
  <c r="J92" i="12"/>
  <c r="T8" i="15" s="1"/>
  <c r="J93" i="12"/>
  <c r="T9" i="15" s="1"/>
  <c r="J94" i="12"/>
  <c r="T10" i="15" s="1"/>
  <c r="J95" i="12"/>
  <c r="T11" i="15" s="1"/>
  <c r="J96" i="12"/>
  <c r="T12" i="15" s="1"/>
  <c r="J97" i="12"/>
  <c r="T13" i="15" s="1"/>
  <c r="J98" i="12"/>
  <c r="T14" i="15" s="1"/>
  <c r="J99" i="12"/>
  <c r="T15" i="15" s="1"/>
  <c r="J100" i="12"/>
  <c r="T16" i="15" s="1"/>
  <c r="J69" i="12"/>
  <c r="J2" i="15" s="1"/>
  <c r="J70" i="12"/>
  <c r="J3" i="15" s="1"/>
  <c r="J71" i="12"/>
  <c r="J4" i="15" s="1"/>
  <c r="J72" i="12"/>
  <c r="J5" i="15" s="1"/>
  <c r="J73" i="12"/>
  <c r="J6" i="15" s="1"/>
  <c r="J74" i="12"/>
  <c r="J7" i="15" s="1"/>
  <c r="J75" i="12"/>
  <c r="J8" i="15" s="1"/>
  <c r="J76" i="12"/>
  <c r="J9" i="15" s="1"/>
  <c r="J77" i="12"/>
  <c r="J10" i="15" s="1"/>
  <c r="J78" i="12"/>
  <c r="J11" i="15" s="1"/>
  <c r="J79" i="12"/>
  <c r="J12" i="15" s="1"/>
  <c r="J80" i="12"/>
  <c r="J13" i="15" s="1"/>
  <c r="J81" i="12"/>
  <c r="J14" i="15" s="1"/>
  <c r="J82" i="12"/>
  <c r="J15" i="15" s="1"/>
  <c r="J83" i="12"/>
  <c r="J16" i="15" s="1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18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2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2" i="12"/>
  <c r="B3" i="16"/>
  <c r="L35" i="16" s="1"/>
  <c r="AH36" i="14"/>
  <c r="AG36" i="14"/>
  <c r="AF36" i="14"/>
  <c r="AH35" i="14"/>
  <c r="AG35" i="14"/>
  <c r="AF35" i="14"/>
  <c r="AH34" i="14"/>
  <c r="AG34" i="14"/>
  <c r="AF34" i="14"/>
  <c r="AH33" i="14"/>
  <c r="AG33" i="14"/>
  <c r="AF33" i="14"/>
  <c r="AH32" i="14"/>
  <c r="AG32" i="14"/>
  <c r="AF32" i="14"/>
  <c r="AH31" i="14"/>
  <c r="AG31" i="14"/>
  <c r="AF31" i="14"/>
  <c r="AH30" i="14"/>
  <c r="AG30" i="14"/>
  <c r="AF30" i="14"/>
  <c r="AH29" i="14"/>
  <c r="AG29" i="14"/>
  <c r="AF29" i="14"/>
  <c r="AH28" i="14"/>
  <c r="AG28" i="14"/>
  <c r="AF28" i="14"/>
  <c r="AH27" i="14"/>
  <c r="AG27" i="14"/>
  <c r="AF27" i="14"/>
  <c r="AH26" i="14"/>
  <c r="AG26" i="14"/>
  <c r="AF26" i="14"/>
  <c r="AH25" i="14"/>
  <c r="AG25" i="14"/>
  <c r="AF25" i="14"/>
  <c r="AH24" i="14"/>
  <c r="AG24" i="14"/>
  <c r="AF24" i="14"/>
  <c r="AH23" i="14"/>
  <c r="AG23" i="14"/>
  <c r="AF23" i="14"/>
  <c r="AH22" i="14"/>
  <c r="AG22" i="14"/>
  <c r="AF22" i="14"/>
  <c r="AH21" i="14"/>
  <c r="AG21" i="14"/>
  <c r="AF21" i="14"/>
  <c r="AH20" i="14"/>
  <c r="AG20" i="14"/>
  <c r="AF20" i="14"/>
  <c r="AH19" i="14"/>
  <c r="AG19" i="14"/>
  <c r="AF19" i="14"/>
  <c r="AH18" i="14"/>
  <c r="AG18" i="14"/>
  <c r="AF18" i="14"/>
  <c r="AH17" i="14"/>
  <c r="AG17" i="14"/>
  <c r="AF17" i="14"/>
  <c r="AH16" i="14"/>
  <c r="AG16" i="14"/>
  <c r="AF16" i="14"/>
  <c r="AH15" i="14"/>
  <c r="AG15" i="14"/>
  <c r="AF15" i="14"/>
  <c r="AH14" i="14"/>
  <c r="AG14" i="14"/>
  <c r="AF14" i="14"/>
  <c r="AH13" i="14"/>
  <c r="AG13" i="14"/>
  <c r="AF13" i="14"/>
  <c r="AH12" i="14"/>
  <c r="AG12" i="14"/>
  <c r="AF12" i="14"/>
  <c r="AH11" i="14"/>
  <c r="AG11" i="14"/>
  <c r="AF11" i="14"/>
  <c r="AH7" i="14"/>
  <c r="AG7" i="14"/>
  <c r="AF7" i="14"/>
  <c r="AC36" i="14"/>
  <c r="AB36" i="14"/>
  <c r="AA36" i="14"/>
  <c r="AC35" i="14"/>
  <c r="AB35" i="14"/>
  <c r="AA35" i="14"/>
  <c r="AC34" i="14"/>
  <c r="AB34" i="14"/>
  <c r="AA34" i="14"/>
  <c r="AC33" i="14"/>
  <c r="AB33" i="14"/>
  <c r="AA33" i="14"/>
  <c r="AC32" i="14"/>
  <c r="AB32" i="14"/>
  <c r="AA32" i="14"/>
  <c r="AC31" i="14"/>
  <c r="AB31" i="14"/>
  <c r="AA31" i="14"/>
  <c r="AC30" i="14"/>
  <c r="AB30" i="14"/>
  <c r="AA30" i="14"/>
  <c r="AC29" i="14"/>
  <c r="AB29" i="14"/>
  <c r="AA29" i="14"/>
  <c r="AC28" i="14"/>
  <c r="AB28" i="14"/>
  <c r="AA28" i="14"/>
  <c r="AC27" i="14"/>
  <c r="AB27" i="14"/>
  <c r="AA27" i="14"/>
  <c r="AC26" i="14"/>
  <c r="AB26" i="14"/>
  <c r="AA26" i="14"/>
  <c r="AC25" i="14"/>
  <c r="AB25" i="14"/>
  <c r="AA25" i="14"/>
  <c r="AC24" i="14"/>
  <c r="AB24" i="14"/>
  <c r="AA24" i="14"/>
  <c r="AC23" i="14"/>
  <c r="AB23" i="14"/>
  <c r="AA23" i="14"/>
  <c r="AC22" i="14"/>
  <c r="AB22" i="14"/>
  <c r="AA22" i="14"/>
  <c r="AC21" i="14"/>
  <c r="AB21" i="14"/>
  <c r="AA21" i="14"/>
  <c r="AC20" i="14"/>
  <c r="AB20" i="14"/>
  <c r="AA20" i="14"/>
  <c r="AC19" i="14"/>
  <c r="AB19" i="14"/>
  <c r="AA19" i="14"/>
  <c r="AC18" i="14"/>
  <c r="AB18" i="14"/>
  <c r="AA18" i="14"/>
  <c r="AC17" i="14"/>
  <c r="AB17" i="14"/>
  <c r="AA17" i="14"/>
  <c r="AC16" i="14"/>
  <c r="AB16" i="14"/>
  <c r="AA16" i="14"/>
  <c r="AC15" i="14"/>
  <c r="AB15" i="14"/>
  <c r="AA15" i="14"/>
  <c r="AC14" i="14"/>
  <c r="AB14" i="14"/>
  <c r="AA14" i="14"/>
  <c r="AC13" i="14"/>
  <c r="AB13" i="14"/>
  <c r="AA13" i="14"/>
  <c r="AC12" i="14"/>
  <c r="AB12" i="14"/>
  <c r="AA12" i="14"/>
  <c r="AC11" i="14"/>
  <c r="AB11" i="14"/>
  <c r="AA11" i="14"/>
  <c r="AC10" i="14"/>
  <c r="AB10" i="14"/>
  <c r="AA10" i="14"/>
  <c r="AC9" i="14"/>
  <c r="AB9" i="14"/>
  <c r="AA9" i="14"/>
  <c r="AC8" i="14"/>
  <c r="AB8" i="14"/>
  <c r="AA8" i="14"/>
  <c r="AC7" i="14"/>
  <c r="AB7" i="14"/>
  <c r="AA7" i="14"/>
  <c r="X36" i="14"/>
  <c r="W36" i="14"/>
  <c r="V36" i="14"/>
  <c r="X35" i="14"/>
  <c r="W35" i="14"/>
  <c r="V35" i="14"/>
  <c r="X34" i="14"/>
  <c r="W34" i="14"/>
  <c r="V34" i="14"/>
  <c r="X33" i="14"/>
  <c r="W33" i="14"/>
  <c r="V33" i="14"/>
  <c r="X32" i="14"/>
  <c r="W32" i="14"/>
  <c r="V32" i="14"/>
  <c r="X31" i="14"/>
  <c r="W31" i="14"/>
  <c r="V31" i="14"/>
  <c r="X30" i="14"/>
  <c r="W30" i="14"/>
  <c r="V30" i="14"/>
  <c r="X29" i="14"/>
  <c r="W29" i="14"/>
  <c r="V29" i="14"/>
  <c r="X28" i="14"/>
  <c r="W28" i="14"/>
  <c r="V28" i="14"/>
  <c r="X27" i="14"/>
  <c r="W27" i="14"/>
  <c r="V27" i="14"/>
  <c r="X26" i="14"/>
  <c r="W26" i="14"/>
  <c r="V26" i="14"/>
  <c r="X25" i="14"/>
  <c r="W25" i="14"/>
  <c r="V25" i="14"/>
  <c r="X24" i="14"/>
  <c r="W24" i="14"/>
  <c r="V24" i="14"/>
  <c r="X23" i="14"/>
  <c r="W23" i="14"/>
  <c r="V23" i="14"/>
  <c r="X22" i="14"/>
  <c r="W22" i="14"/>
  <c r="V22" i="14"/>
  <c r="X21" i="14"/>
  <c r="W21" i="14"/>
  <c r="V21" i="14"/>
  <c r="X20" i="14"/>
  <c r="W20" i="14"/>
  <c r="V20" i="14"/>
  <c r="X19" i="14"/>
  <c r="W19" i="14"/>
  <c r="V19" i="14"/>
  <c r="X18" i="14"/>
  <c r="W18" i="14"/>
  <c r="V18" i="14"/>
  <c r="X17" i="14"/>
  <c r="W17" i="14"/>
  <c r="V17" i="14"/>
  <c r="X16" i="14"/>
  <c r="W16" i="14"/>
  <c r="V16" i="14"/>
  <c r="X15" i="14"/>
  <c r="W15" i="14"/>
  <c r="V15" i="14"/>
  <c r="X14" i="14"/>
  <c r="W14" i="14"/>
  <c r="V14" i="14"/>
  <c r="X13" i="14"/>
  <c r="W13" i="14"/>
  <c r="V13" i="14"/>
  <c r="X12" i="14"/>
  <c r="W12" i="14"/>
  <c r="V12" i="14"/>
  <c r="X11" i="14"/>
  <c r="W11" i="14"/>
  <c r="V11" i="14"/>
  <c r="X10" i="14"/>
  <c r="W10" i="14"/>
  <c r="V10" i="14"/>
  <c r="X9" i="14"/>
  <c r="W9" i="14"/>
  <c r="V9" i="14"/>
  <c r="X8" i="14"/>
  <c r="W8" i="14"/>
  <c r="V8" i="14"/>
  <c r="X7" i="14"/>
  <c r="W7" i="14"/>
  <c r="V7" i="14"/>
  <c r="S36" i="14"/>
  <c r="R36" i="14"/>
  <c r="Q36" i="14"/>
  <c r="S35" i="14"/>
  <c r="R35" i="14"/>
  <c r="Q35" i="14"/>
  <c r="S34" i="14"/>
  <c r="R34" i="14"/>
  <c r="Q34" i="14"/>
  <c r="S33" i="14"/>
  <c r="R33" i="14"/>
  <c r="Q33" i="14"/>
  <c r="S32" i="14"/>
  <c r="R32" i="14"/>
  <c r="Q32" i="14"/>
  <c r="S31" i="14"/>
  <c r="R31" i="14"/>
  <c r="Q31" i="14"/>
  <c r="S30" i="14"/>
  <c r="R30" i="14"/>
  <c r="Q30" i="14"/>
  <c r="S29" i="14"/>
  <c r="R29" i="14"/>
  <c r="Q29" i="14"/>
  <c r="S28" i="14"/>
  <c r="R28" i="14"/>
  <c r="Q28" i="14"/>
  <c r="S27" i="14"/>
  <c r="R27" i="14"/>
  <c r="Q27" i="14"/>
  <c r="S26" i="14"/>
  <c r="R26" i="14"/>
  <c r="Q26" i="14"/>
  <c r="S25" i="14"/>
  <c r="R25" i="14"/>
  <c r="Q25" i="14"/>
  <c r="S24" i="14"/>
  <c r="R24" i="14"/>
  <c r="Q24" i="14"/>
  <c r="S23" i="14"/>
  <c r="R23" i="14"/>
  <c r="Q23" i="14"/>
  <c r="S22" i="14"/>
  <c r="R22" i="14"/>
  <c r="Q22" i="14"/>
  <c r="S21" i="14"/>
  <c r="R21" i="14"/>
  <c r="Q21" i="14"/>
  <c r="S20" i="14"/>
  <c r="R20" i="14"/>
  <c r="Q20" i="14"/>
  <c r="S19" i="14"/>
  <c r="R19" i="14"/>
  <c r="Q19" i="14"/>
  <c r="S18" i="14"/>
  <c r="R18" i="14"/>
  <c r="Q18" i="14"/>
  <c r="S17" i="14"/>
  <c r="R17" i="14"/>
  <c r="Q17" i="14"/>
  <c r="S16" i="14"/>
  <c r="R16" i="14"/>
  <c r="Q16" i="14"/>
  <c r="S15" i="14"/>
  <c r="R15" i="14"/>
  <c r="Q15" i="14"/>
  <c r="S14" i="14"/>
  <c r="R14" i="14"/>
  <c r="Q14" i="14"/>
  <c r="S13" i="14"/>
  <c r="R13" i="14"/>
  <c r="Q13" i="14"/>
  <c r="S12" i="14"/>
  <c r="R12" i="14"/>
  <c r="Q12" i="14"/>
  <c r="S11" i="14"/>
  <c r="R11" i="14"/>
  <c r="Q11" i="14"/>
  <c r="S10" i="14"/>
  <c r="R10" i="14"/>
  <c r="Q10" i="14"/>
  <c r="S9" i="14"/>
  <c r="R9" i="14"/>
  <c r="Q9" i="14"/>
  <c r="S8" i="14"/>
  <c r="R8" i="14"/>
  <c r="Q8" i="14"/>
  <c r="S7" i="14"/>
  <c r="R7" i="14"/>
  <c r="Q7" i="14"/>
  <c r="N36" i="14"/>
  <c r="M36" i="14"/>
  <c r="L36" i="14"/>
  <c r="N35" i="14"/>
  <c r="M35" i="14"/>
  <c r="L35" i="14"/>
  <c r="N34" i="14"/>
  <c r="M34" i="14"/>
  <c r="L34" i="14"/>
  <c r="N33" i="14"/>
  <c r="M33" i="14"/>
  <c r="L33" i="14"/>
  <c r="N32" i="14"/>
  <c r="M32" i="14"/>
  <c r="L32" i="14"/>
  <c r="N31" i="14"/>
  <c r="M31" i="14"/>
  <c r="L31" i="14"/>
  <c r="N30" i="14"/>
  <c r="M30" i="14"/>
  <c r="L30" i="14"/>
  <c r="N29" i="14"/>
  <c r="M29" i="14"/>
  <c r="L29" i="14"/>
  <c r="N28" i="14"/>
  <c r="M28" i="14"/>
  <c r="L28" i="14"/>
  <c r="N27" i="14"/>
  <c r="M27" i="14"/>
  <c r="L27" i="14"/>
  <c r="N26" i="14"/>
  <c r="M26" i="14"/>
  <c r="L26" i="14"/>
  <c r="N25" i="14"/>
  <c r="M25" i="14"/>
  <c r="L25" i="14"/>
  <c r="N24" i="14"/>
  <c r="M24" i="14"/>
  <c r="L24" i="14"/>
  <c r="N23" i="14"/>
  <c r="M23" i="14"/>
  <c r="L23" i="14"/>
  <c r="N22" i="14"/>
  <c r="M22" i="14"/>
  <c r="L22" i="14"/>
  <c r="N21" i="14"/>
  <c r="M21" i="14"/>
  <c r="L21" i="14"/>
  <c r="N20" i="14"/>
  <c r="M20" i="14"/>
  <c r="L20" i="14"/>
  <c r="N19" i="14"/>
  <c r="M19" i="14"/>
  <c r="L19" i="14"/>
  <c r="N18" i="14"/>
  <c r="M18" i="14"/>
  <c r="L18" i="14"/>
  <c r="N17" i="14"/>
  <c r="M17" i="14"/>
  <c r="L17" i="14"/>
  <c r="N16" i="14"/>
  <c r="M16" i="14"/>
  <c r="L16" i="14"/>
  <c r="N15" i="14"/>
  <c r="M15" i="14"/>
  <c r="L15" i="14"/>
  <c r="N14" i="14"/>
  <c r="M14" i="14"/>
  <c r="L14" i="14"/>
  <c r="N13" i="14"/>
  <c r="M13" i="14"/>
  <c r="L13" i="14"/>
  <c r="N12" i="14"/>
  <c r="M12" i="14"/>
  <c r="L12" i="14"/>
  <c r="N11" i="14"/>
  <c r="M11" i="14"/>
  <c r="L11" i="14"/>
  <c r="N10" i="14"/>
  <c r="M10" i="14"/>
  <c r="L10" i="14"/>
  <c r="N9" i="14"/>
  <c r="M9" i="14"/>
  <c r="L9" i="14"/>
  <c r="N8" i="14"/>
  <c r="M8" i="14"/>
  <c r="L8" i="14"/>
  <c r="N7" i="14"/>
  <c r="M7" i="14"/>
  <c r="L7" i="14"/>
  <c r="I36" i="14"/>
  <c r="H36" i="14"/>
  <c r="G36" i="14"/>
  <c r="I35" i="14"/>
  <c r="H35" i="14"/>
  <c r="G35" i="14"/>
  <c r="I34" i="14"/>
  <c r="H34" i="14"/>
  <c r="G34" i="14"/>
  <c r="I33" i="14"/>
  <c r="H33" i="14"/>
  <c r="G33" i="14"/>
  <c r="I32" i="14"/>
  <c r="H32" i="14"/>
  <c r="G32" i="14"/>
  <c r="I31" i="14"/>
  <c r="H31" i="14"/>
  <c r="G31" i="14"/>
  <c r="I30" i="14"/>
  <c r="H30" i="14"/>
  <c r="G30" i="14"/>
  <c r="I29" i="14"/>
  <c r="H29" i="14"/>
  <c r="G29" i="14"/>
  <c r="I28" i="14"/>
  <c r="H28" i="14"/>
  <c r="G28" i="14"/>
  <c r="I27" i="14"/>
  <c r="H27" i="14"/>
  <c r="G27" i="14"/>
  <c r="I26" i="14"/>
  <c r="H26" i="14"/>
  <c r="G26" i="14"/>
  <c r="I25" i="14"/>
  <c r="H25" i="14"/>
  <c r="G25" i="14"/>
  <c r="I24" i="14"/>
  <c r="H24" i="14"/>
  <c r="G24" i="14"/>
  <c r="I23" i="14"/>
  <c r="H23" i="14"/>
  <c r="G23" i="14"/>
  <c r="I22" i="14"/>
  <c r="H22" i="14"/>
  <c r="G22" i="14"/>
  <c r="I21" i="14"/>
  <c r="H21" i="14"/>
  <c r="G21" i="14"/>
  <c r="I20" i="14"/>
  <c r="H20" i="14"/>
  <c r="G20" i="14"/>
  <c r="I19" i="14"/>
  <c r="H19" i="14"/>
  <c r="G19" i="14"/>
  <c r="I18" i="14"/>
  <c r="H18" i="14"/>
  <c r="G18" i="14"/>
  <c r="I17" i="14"/>
  <c r="H17" i="14"/>
  <c r="G17" i="14"/>
  <c r="I16" i="14"/>
  <c r="H16" i="14"/>
  <c r="G16" i="14"/>
  <c r="I15" i="14"/>
  <c r="H15" i="14"/>
  <c r="G15" i="14"/>
  <c r="I14" i="14"/>
  <c r="H14" i="14"/>
  <c r="G14" i="14"/>
  <c r="I13" i="14"/>
  <c r="H13" i="14"/>
  <c r="G13" i="14"/>
  <c r="I12" i="14"/>
  <c r="H12" i="14"/>
  <c r="G12" i="14"/>
  <c r="I11" i="14"/>
  <c r="H11" i="14"/>
  <c r="G11" i="14"/>
  <c r="I10" i="14"/>
  <c r="H10" i="14"/>
  <c r="G10" i="14"/>
  <c r="I9" i="14"/>
  <c r="H9" i="14"/>
  <c r="G9" i="14"/>
  <c r="I8" i="14"/>
  <c r="H8" i="14"/>
  <c r="G8" i="14"/>
  <c r="I7" i="14"/>
  <c r="H7" i="14"/>
  <c r="G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7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B32" i="16" l="1"/>
  <c r="Q32" i="16" s="1"/>
  <c r="AF15" i="16" s="1"/>
  <c r="F73" i="16"/>
  <c r="F29" i="16"/>
  <c r="H73" i="16"/>
  <c r="H29" i="16"/>
  <c r="J85" i="16"/>
  <c r="J67" i="16"/>
  <c r="J35" i="16"/>
  <c r="J17" i="16"/>
  <c r="L91" i="16"/>
  <c r="L67" i="16"/>
  <c r="L41" i="16"/>
  <c r="L61" i="16"/>
  <c r="B20" i="16"/>
  <c r="Q20" i="16" s="1"/>
  <c r="L17" i="16"/>
  <c r="L11" i="16"/>
  <c r="L32" i="16"/>
  <c r="L94" i="16"/>
  <c r="AA94" i="16" s="1"/>
  <c r="AF48" i="16" s="1"/>
  <c r="L20" i="16"/>
  <c r="AA20" i="16" s="1"/>
  <c r="AF53" i="16" s="1"/>
  <c r="L82" i="16"/>
  <c r="L58" i="16"/>
  <c r="AA58" i="16" s="1"/>
  <c r="AF36" i="16" s="1"/>
  <c r="L70" i="16"/>
  <c r="AA70" i="16" s="1"/>
  <c r="AF45" i="16" s="1"/>
  <c r="L44" i="16"/>
  <c r="AA44" i="16" s="1"/>
  <c r="AF42" i="16" s="1"/>
  <c r="L8" i="16"/>
  <c r="Q2" i="16"/>
  <c r="G64" i="16"/>
  <c r="G48" i="16"/>
  <c r="D67" i="16"/>
  <c r="D85" i="16"/>
  <c r="D17" i="16"/>
  <c r="D35" i="16"/>
  <c r="B91" i="16"/>
  <c r="B85" i="16"/>
  <c r="B67" i="16"/>
  <c r="B61" i="16"/>
  <c r="B41" i="16"/>
  <c r="B35" i="16"/>
  <c r="B17" i="16"/>
  <c r="B11" i="16"/>
  <c r="B94" i="16"/>
  <c r="Q94" i="16" s="1"/>
  <c r="AF24" i="16" s="1"/>
  <c r="B82" i="16"/>
  <c r="B70" i="16"/>
  <c r="B58" i="16"/>
  <c r="Q58" i="16" s="1"/>
  <c r="AF12" i="16" s="1"/>
  <c r="B44" i="16"/>
  <c r="B8" i="16"/>
  <c r="AF3" i="16"/>
  <c r="X13" i="15"/>
  <c r="X12" i="15"/>
  <c r="E34" i="14"/>
  <c r="E30" i="14"/>
  <c r="F30" i="14" s="1"/>
  <c r="E26" i="14"/>
  <c r="F26" i="14" s="1"/>
  <c r="E22" i="14"/>
  <c r="F22" i="14" s="1"/>
  <c r="E18" i="14"/>
  <c r="E14" i="14"/>
  <c r="F14" i="14" s="1"/>
  <c r="E10" i="14"/>
  <c r="E7" i="14"/>
  <c r="E33" i="14"/>
  <c r="E29" i="14"/>
  <c r="E25" i="14"/>
  <c r="F25" i="14" s="1"/>
  <c r="E21" i="14"/>
  <c r="F21" i="14" s="1"/>
  <c r="E17" i="14"/>
  <c r="E13" i="14"/>
  <c r="F13" i="14" s="1"/>
  <c r="E9" i="14"/>
  <c r="E36" i="14"/>
  <c r="F36" i="14" s="1"/>
  <c r="E32" i="14"/>
  <c r="F32" i="14" s="1"/>
  <c r="E28" i="14"/>
  <c r="F28" i="14" s="1"/>
  <c r="E24" i="14"/>
  <c r="F24" i="14" s="1"/>
  <c r="E20" i="14"/>
  <c r="F20" i="14" s="1"/>
  <c r="E16" i="14"/>
  <c r="F16" i="14" s="1"/>
  <c r="E12" i="14"/>
  <c r="F12" i="14" s="1"/>
  <c r="E8" i="14"/>
  <c r="F8" i="14" s="1"/>
  <c r="F7" i="14"/>
  <c r="E35" i="14"/>
  <c r="F35" i="14" s="1"/>
  <c r="E31" i="14"/>
  <c r="F31" i="14" s="1"/>
  <c r="E27" i="14"/>
  <c r="F27" i="14" s="1"/>
  <c r="E23" i="14"/>
  <c r="F23" i="14" s="1"/>
  <c r="E19" i="14"/>
  <c r="F19" i="14" s="1"/>
  <c r="E15" i="14"/>
  <c r="F15" i="14" s="1"/>
  <c r="E11" i="14"/>
  <c r="F11" i="14" s="1"/>
  <c r="F18" i="14"/>
  <c r="F10" i="14"/>
  <c r="F34" i="14"/>
  <c r="F33" i="14"/>
  <c r="F29" i="14"/>
  <c r="F17" i="14"/>
  <c r="F9" i="14"/>
  <c r="C37" i="14"/>
  <c r="R127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29" i="5"/>
  <c r="I8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66" i="5"/>
  <c r="E64" i="5"/>
  <c r="R64" i="5" s="1"/>
  <c r="C64" i="5"/>
  <c r="P64" i="5" s="1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66" i="5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D2" i="4"/>
  <c r="C2" i="4"/>
  <c r="B2" i="4"/>
  <c r="A2" i="4"/>
  <c r="S29" i="5"/>
  <c r="F29" i="5"/>
  <c r="S28" i="5"/>
  <c r="R28" i="5"/>
  <c r="Q28" i="5"/>
  <c r="P28" i="5"/>
  <c r="O28" i="5"/>
  <c r="F28" i="5"/>
  <c r="E28" i="5"/>
  <c r="D28" i="5"/>
  <c r="C28" i="5"/>
  <c r="B28" i="5"/>
  <c r="U20" i="5"/>
  <c r="T20" i="5"/>
  <c r="S20" i="5"/>
  <c r="R20" i="5"/>
  <c r="Q20" i="5"/>
  <c r="P20" i="5"/>
  <c r="O20" i="5"/>
  <c r="H20" i="5"/>
  <c r="G20" i="5"/>
  <c r="F20" i="5"/>
  <c r="E20" i="5"/>
  <c r="D20" i="5"/>
  <c r="C20" i="5"/>
  <c r="B20" i="5"/>
  <c r="U19" i="5"/>
  <c r="T19" i="5"/>
  <c r="S19" i="5"/>
  <c r="R19" i="5"/>
  <c r="Q19" i="5"/>
  <c r="P19" i="5"/>
  <c r="O19" i="5"/>
  <c r="H19" i="5"/>
  <c r="G19" i="5"/>
  <c r="F19" i="5"/>
  <c r="E19" i="5"/>
  <c r="D19" i="5"/>
  <c r="C19" i="5"/>
  <c r="B19" i="5"/>
  <c r="U18" i="5"/>
  <c r="T18" i="5"/>
  <c r="S18" i="5"/>
  <c r="R18" i="5"/>
  <c r="Q18" i="5"/>
  <c r="P18" i="5"/>
  <c r="O18" i="5"/>
  <c r="H18" i="5"/>
  <c r="G18" i="5"/>
  <c r="F18" i="5"/>
  <c r="E18" i="5"/>
  <c r="D18" i="5"/>
  <c r="C18" i="5"/>
  <c r="B18" i="5"/>
  <c r="U17" i="5"/>
  <c r="T17" i="5"/>
  <c r="S17" i="5"/>
  <c r="R17" i="5"/>
  <c r="Q17" i="5"/>
  <c r="P17" i="5"/>
  <c r="O17" i="5"/>
  <c r="H17" i="5"/>
  <c r="G17" i="5"/>
  <c r="F17" i="5"/>
  <c r="E17" i="5"/>
  <c r="D17" i="5"/>
  <c r="C17" i="5"/>
  <c r="B17" i="5"/>
  <c r="U16" i="5"/>
  <c r="T16" i="5"/>
  <c r="S16" i="5"/>
  <c r="R16" i="5"/>
  <c r="Q16" i="5"/>
  <c r="P16" i="5"/>
  <c r="O16" i="5"/>
  <c r="H16" i="5"/>
  <c r="G16" i="5"/>
  <c r="F16" i="5"/>
  <c r="E16" i="5"/>
  <c r="D16" i="5"/>
  <c r="C16" i="5"/>
  <c r="B16" i="5"/>
  <c r="U15" i="5"/>
  <c r="T15" i="5"/>
  <c r="S15" i="5"/>
  <c r="R15" i="5"/>
  <c r="Q15" i="5"/>
  <c r="P15" i="5"/>
  <c r="O15" i="5"/>
  <c r="H15" i="5"/>
  <c r="G15" i="5"/>
  <c r="F15" i="5"/>
  <c r="E15" i="5"/>
  <c r="D15" i="5"/>
  <c r="C15" i="5"/>
  <c r="B15" i="5"/>
  <c r="U14" i="5"/>
  <c r="T14" i="5"/>
  <c r="S14" i="5"/>
  <c r="R14" i="5"/>
  <c r="Q14" i="5"/>
  <c r="P14" i="5"/>
  <c r="O14" i="5"/>
  <c r="H14" i="5"/>
  <c r="G14" i="5"/>
  <c r="F14" i="5"/>
  <c r="E14" i="5"/>
  <c r="D14" i="5"/>
  <c r="C14" i="5"/>
  <c r="B14" i="5"/>
  <c r="U13" i="5"/>
  <c r="T13" i="5"/>
  <c r="S13" i="5"/>
  <c r="R13" i="5"/>
  <c r="Q13" i="5"/>
  <c r="P13" i="5"/>
  <c r="O13" i="5"/>
  <c r="H13" i="5"/>
  <c r="G13" i="5"/>
  <c r="F13" i="5"/>
  <c r="E13" i="5"/>
  <c r="D13" i="5"/>
  <c r="C13" i="5"/>
  <c r="B13" i="5"/>
  <c r="U12" i="5"/>
  <c r="T12" i="5"/>
  <c r="S12" i="5"/>
  <c r="R12" i="5"/>
  <c r="Q12" i="5"/>
  <c r="P12" i="5"/>
  <c r="O12" i="5"/>
  <c r="H12" i="5"/>
  <c r="G12" i="5"/>
  <c r="F12" i="5"/>
  <c r="E12" i="5"/>
  <c r="D12" i="5"/>
  <c r="C12" i="5"/>
  <c r="B12" i="5"/>
  <c r="U11" i="5"/>
  <c r="T11" i="5"/>
  <c r="S11" i="5"/>
  <c r="R11" i="5"/>
  <c r="Q11" i="5"/>
  <c r="P11" i="5"/>
  <c r="O11" i="5"/>
  <c r="H11" i="5"/>
  <c r="G11" i="5"/>
  <c r="F11" i="5"/>
  <c r="E11" i="5"/>
  <c r="D11" i="5"/>
  <c r="C11" i="5"/>
  <c r="B11" i="5"/>
  <c r="U10" i="5"/>
  <c r="T10" i="5"/>
  <c r="S10" i="5"/>
  <c r="R10" i="5"/>
  <c r="Q10" i="5"/>
  <c r="P10" i="5"/>
  <c r="O10" i="5"/>
  <c r="H10" i="5"/>
  <c r="G10" i="5"/>
  <c r="F10" i="5"/>
  <c r="E10" i="5"/>
  <c r="D10" i="5"/>
  <c r="C10" i="5"/>
  <c r="B10" i="5"/>
  <c r="U9" i="5"/>
  <c r="T9" i="5"/>
  <c r="S9" i="5"/>
  <c r="R9" i="5"/>
  <c r="Q9" i="5"/>
  <c r="P9" i="5"/>
  <c r="O9" i="5"/>
  <c r="H9" i="5"/>
  <c r="G9" i="5"/>
  <c r="F9" i="5"/>
  <c r="E9" i="5"/>
  <c r="D9" i="5"/>
  <c r="C9" i="5"/>
  <c r="B9" i="5"/>
  <c r="U8" i="5"/>
  <c r="T8" i="5"/>
  <c r="S8" i="5"/>
  <c r="R8" i="5"/>
  <c r="Q8" i="5"/>
  <c r="P8" i="5"/>
  <c r="O8" i="5"/>
  <c r="H8" i="5"/>
  <c r="G8" i="5"/>
  <c r="F8" i="5"/>
  <c r="E8" i="5"/>
  <c r="D8" i="5"/>
  <c r="C8" i="5"/>
  <c r="B8" i="5"/>
  <c r="U7" i="5"/>
  <c r="T7" i="5"/>
  <c r="S7" i="5"/>
  <c r="R7" i="5"/>
  <c r="Q7" i="5"/>
  <c r="P7" i="5"/>
  <c r="O7" i="5"/>
  <c r="H7" i="5"/>
  <c r="G7" i="5"/>
  <c r="F7" i="5"/>
  <c r="E7" i="5"/>
  <c r="D7" i="5"/>
  <c r="C7" i="5"/>
  <c r="B7" i="5"/>
  <c r="U6" i="5"/>
  <c r="T6" i="5"/>
  <c r="S6" i="5"/>
  <c r="R6" i="5"/>
  <c r="Q6" i="5"/>
  <c r="P6" i="5"/>
  <c r="O6" i="5"/>
  <c r="H6" i="5"/>
  <c r="G6" i="5"/>
  <c r="F6" i="5"/>
  <c r="E6" i="5"/>
  <c r="D6" i="5"/>
  <c r="C6" i="5"/>
  <c r="B6" i="5"/>
  <c r="X5" i="5"/>
  <c r="W5" i="5"/>
  <c r="V5" i="5"/>
  <c r="U5" i="5"/>
  <c r="T5" i="5"/>
  <c r="S5" i="5"/>
  <c r="R5" i="5"/>
  <c r="Q5" i="5"/>
  <c r="P5" i="5"/>
  <c r="O5" i="5"/>
  <c r="K5" i="5"/>
  <c r="J5" i="5"/>
  <c r="I5" i="5"/>
  <c r="H5" i="5"/>
  <c r="G5" i="5"/>
  <c r="F5" i="5"/>
  <c r="E5" i="5"/>
  <c r="D5" i="5"/>
  <c r="C5" i="5"/>
  <c r="B5" i="5"/>
  <c r="F15" i="4" l="1"/>
  <c r="J15" i="2" s="1"/>
  <c r="CM5" i="14"/>
  <c r="AO5" i="14"/>
  <c r="AY5" i="14"/>
  <c r="BX5" i="14"/>
  <c r="BI5" i="14"/>
  <c r="CC5" i="14"/>
  <c r="BS5" i="14"/>
  <c r="BD5" i="14"/>
  <c r="BN5" i="14"/>
  <c r="CH5" i="14"/>
  <c r="AT5" i="14"/>
  <c r="AF27" i="16"/>
  <c r="J38" i="16"/>
  <c r="D128" i="16" s="1"/>
  <c r="J64" i="16"/>
  <c r="D129" i="16" s="1"/>
  <c r="AA32" i="16"/>
  <c r="AF39" i="16" s="1"/>
  <c r="J14" i="16"/>
  <c r="D127" i="16" s="1"/>
  <c r="D64" i="16"/>
  <c r="D88" i="16"/>
  <c r="D120" i="16" s="1"/>
  <c r="C120" i="16" s="1"/>
  <c r="D38" i="16"/>
  <c r="D14" i="16"/>
  <c r="D117" i="16" s="1"/>
  <c r="E18" i="15"/>
  <c r="AJ30" i="16"/>
  <c r="AJ33" i="16"/>
  <c r="AJ45" i="16"/>
  <c r="AJ36" i="16"/>
  <c r="AJ48" i="16"/>
  <c r="AJ53" i="16"/>
  <c r="AJ39" i="16"/>
  <c r="AJ42" i="16"/>
  <c r="AJ6" i="16"/>
  <c r="AJ9" i="16"/>
  <c r="AJ15" i="16"/>
  <c r="AJ12" i="16"/>
  <c r="AJ21" i="16"/>
  <c r="AJ27" i="16"/>
  <c r="AJ24" i="16"/>
  <c r="AJ18" i="16"/>
  <c r="Q70" i="16"/>
  <c r="AF21" i="16" s="1"/>
  <c r="C2" i="14"/>
  <c r="B2" i="14" s="1"/>
  <c r="C4" i="14"/>
  <c r="B4" i="14" s="1"/>
  <c r="P5" i="14"/>
  <c r="K5" i="14"/>
  <c r="U5" i="14"/>
  <c r="Z5" i="14"/>
  <c r="F37" i="14"/>
  <c r="AE5" i="14"/>
  <c r="AD25" i="14" s="1"/>
  <c r="AE25" i="14" s="1"/>
  <c r="E4" i="14"/>
  <c r="D4" i="14" s="1"/>
  <c r="C3" i="14"/>
  <c r="B3" i="14" s="1"/>
  <c r="E3" i="14"/>
  <c r="D3" i="14" s="1"/>
  <c r="AJ5" i="14"/>
  <c r="AI16" i="14" s="1"/>
  <c r="AJ16" i="14" s="1"/>
  <c r="E2" i="14"/>
  <c r="D2" i="14" s="1"/>
  <c r="Q8" i="16"/>
  <c r="Q82" i="16"/>
  <c r="AF9" i="16" s="1"/>
  <c r="AA8" i="16"/>
  <c r="J88" i="16"/>
  <c r="D130" i="16" s="1"/>
  <c r="AA82" i="16"/>
  <c r="AF33" i="16" s="1"/>
  <c r="Q44" i="16"/>
  <c r="AF18" i="16" s="1"/>
  <c r="I33" i="4"/>
  <c r="H3" i="4"/>
  <c r="I34" i="4"/>
  <c r="H4" i="4"/>
  <c r="I35" i="4"/>
  <c r="H5" i="4"/>
  <c r="I36" i="4"/>
  <c r="H6" i="4"/>
  <c r="I37" i="4"/>
  <c r="H7" i="4"/>
  <c r="I38" i="4"/>
  <c r="H8" i="4"/>
  <c r="I39" i="4"/>
  <c r="H9" i="4"/>
  <c r="I40" i="4"/>
  <c r="H10" i="4"/>
  <c r="I41" i="4"/>
  <c r="H11" i="4"/>
  <c r="I42" i="4"/>
  <c r="H12" i="4"/>
  <c r="I43" i="4"/>
  <c r="H13" i="4"/>
  <c r="I44" i="4"/>
  <c r="H14" i="4"/>
  <c r="I45" i="4"/>
  <c r="H15" i="4"/>
  <c r="I46" i="4"/>
  <c r="H16" i="4"/>
  <c r="I47" i="4"/>
  <c r="I48" i="4"/>
  <c r="H18" i="4"/>
  <c r="I49" i="4"/>
  <c r="H19" i="4"/>
  <c r="I50" i="4"/>
  <c r="H20" i="4"/>
  <c r="I51" i="4"/>
  <c r="H21" i="4"/>
  <c r="I52" i="4"/>
  <c r="H22" i="4"/>
  <c r="I53" i="4"/>
  <c r="H23" i="4"/>
  <c r="I54" i="4"/>
  <c r="H24" i="4"/>
  <c r="I55" i="4"/>
  <c r="H25" i="4"/>
  <c r="I56" i="4"/>
  <c r="H26" i="4"/>
  <c r="I57" i="4"/>
  <c r="H27" i="4"/>
  <c r="I58" i="4"/>
  <c r="H28" i="4"/>
  <c r="I59" i="4"/>
  <c r="H29" i="4"/>
  <c r="I60" i="4"/>
  <c r="H30" i="4"/>
  <c r="I61" i="4"/>
  <c r="H31" i="4"/>
  <c r="I62" i="4"/>
  <c r="E19" i="4"/>
  <c r="H17" i="4"/>
  <c r="H2" i="4"/>
  <c r="F28" i="4"/>
  <c r="J13" i="3" s="1"/>
  <c r="E29" i="4"/>
  <c r="F30" i="4"/>
  <c r="J15" i="3" s="1"/>
  <c r="E24" i="4"/>
  <c r="F25" i="4"/>
  <c r="J10" i="3" s="1"/>
  <c r="E26" i="4"/>
  <c r="E18" i="4"/>
  <c r="E21" i="4"/>
  <c r="F2" i="4"/>
  <c r="J2" i="2" s="1"/>
  <c r="E3" i="4"/>
  <c r="E4" i="4"/>
  <c r="E9" i="4"/>
  <c r="F10" i="4"/>
  <c r="K41" i="4" s="1"/>
  <c r="E11" i="4"/>
  <c r="F14" i="4"/>
  <c r="J14" i="2" s="1"/>
  <c r="F7" i="4"/>
  <c r="J7" i="2" s="1"/>
  <c r="E8" i="4"/>
  <c r="E14" i="4"/>
  <c r="F5" i="4"/>
  <c r="J5" i="2" s="1"/>
  <c r="E17" i="4"/>
  <c r="E20" i="4"/>
  <c r="F24" i="4"/>
  <c r="J9" i="3" s="1"/>
  <c r="E25" i="4"/>
  <c r="E28" i="4"/>
  <c r="E23" i="4"/>
  <c r="E22" i="4"/>
  <c r="F26" i="4"/>
  <c r="J11" i="3" s="1"/>
  <c r="E30" i="4"/>
  <c r="E27" i="4"/>
  <c r="E31" i="4"/>
  <c r="E10" i="4"/>
  <c r="F3" i="4"/>
  <c r="K34" i="4" s="1"/>
  <c r="E5" i="4"/>
  <c r="E6" i="4"/>
  <c r="E12" i="4"/>
  <c r="E13" i="4"/>
  <c r="E2" i="4"/>
  <c r="F4" i="4"/>
  <c r="J4" i="2" s="1"/>
  <c r="E7" i="4"/>
  <c r="E15" i="4"/>
  <c r="E16" i="4"/>
  <c r="J3" i="2" l="1"/>
  <c r="J10" i="2"/>
  <c r="D119" i="16"/>
  <c r="D118" i="16"/>
  <c r="C118" i="16" s="1"/>
  <c r="I18" i="5"/>
  <c r="F9" i="4"/>
  <c r="J9" i="2" s="1"/>
  <c r="F8" i="4"/>
  <c r="J8" i="2" s="1"/>
  <c r="F21" i="4"/>
  <c r="J6" i="3" s="1"/>
  <c r="F27" i="4"/>
  <c r="J12" i="3" s="1"/>
  <c r="F19" i="4"/>
  <c r="J4" i="3" s="1"/>
  <c r="F13" i="4"/>
  <c r="J13" i="2" s="1"/>
  <c r="F12" i="4"/>
  <c r="J12" i="2" s="1"/>
  <c r="F6" i="4"/>
  <c r="J6" i="2" s="1"/>
  <c r="F31" i="4"/>
  <c r="J16" i="3" s="1"/>
  <c r="F17" i="4"/>
  <c r="J2" i="3" s="1"/>
  <c r="F23" i="4"/>
  <c r="J8" i="3" s="1"/>
  <c r="F16" i="4"/>
  <c r="J16" i="2" s="1"/>
  <c r="F11" i="4"/>
  <c r="J11" i="2" s="1"/>
  <c r="L11" i="2" s="1"/>
  <c r="F29" i="4"/>
  <c r="J14" i="3" s="1"/>
  <c r="F18" i="4"/>
  <c r="J3" i="3" s="1"/>
  <c r="F22" i="4"/>
  <c r="J7" i="3" s="1"/>
  <c r="F20" i="4"/>
  <c r="J5" i="3" s="1"/>
  <c r="AS13" i="14"/>
  <c r="AT13" i="14" s="1"/>
  <c r="AS12" i="14"/>
  <c r="AT12" i="14" s="1"/>
  <c r="AS36" i="14"/>
  <c r="AT36" i="14" s="1"/>
  <c r="AS29" i="14"/>
  <c r="AT29" i="14" s="1"/>
  <c r="AS23" i="14"/>
  <c r="AT23" i="14" s="1"/>
  <c r="AS27" i="14"/>
  <c r="AT27" i="14" s="1"/>
  <c r="AS22" i="14"/>
  <c r="AT22" i="14" s="1"/>
  <c r="AS21" i="14"/>
  <c r="AT21" i="14" s="1"/>
  <c r="AS31" i="14"/>
  <c r="AT31" i="14" s="1"/>
  <c r="AS26" i="14"/>
  <c r="AT26" i="14" s="1"/>
  <c r="AS35" i="14"/>
  <c r="AT35" i="14" s="1"/>
  <c r="AS15" i="14"/>
  <c r="AT15" i="14" s="1"/>
  <c r="AS9" i="14"/>
  <c r="AT9" i="14" s="1"/>
  <c r="AS17" i="14"/>
  <c r="AT17" i="14" s="1"/>
  <c r="AS32" i="14"/>
  <c r="AT32" i="14" s="1"/>
  <c r="AS28" i="14"/>
  <c r="AT28" i="14" s="1"/>
  <c r="AS34" i="14"/>
  <c r="AT34" i="14" s="1"/>
  <c r="AS14" i="14"/>
  <c r="AT14" i="14" s="1"/>
  <c r="AS33" i="14"/>
  <c r="AT33" i="14" s="1"/>
  <c r="AS25" i="14"/>
  <c r="AT25" i="14" s="1"/>
  <c r="AS16" i="14"/>
  <c r="AT16" i="14" s="1"/>
  <c r="AS11" i="14"/>
  <c r="AT11" i="14" s="1"/>
  <c r="AS8" i="14"/>
  <c r="AT8" i="14" s="1"/>
  <c r="AS19" i="14"/>
  <c r="AT19" i="14" s="1"/>
  <c r="AS10" i="14"/>
  <c r="AT10" i="14" s="1"/>
  <c r="AS20" i="14"/>
  <c r="AT20" i="14" s="1"/>
  <c r="AS30" i="14"/>
  <c r="AT30" i="14" s="1"/>
  <c r="AS18" i="14"/>
  <c r="AT18" i="14" s="1"/>
  <c r="AS7" i="14"/>
  <c r="AT7" i="14" s="1"/>
  <c r="AS24" i="14"/>
  <c r="AT24" i="14" s="1"/>
  <c r="BR34" i="14"/>
  <c r="BS34" i="14" s="1"/>
  <c r="BR22" i="14"/>
  <c r="BS22" i="14" s="1"/>
  <c r="BR15" i="14"/>
  <c r="BS15" i="14" s="1"/>
  <c r="BR31" i="14"/>
  <c r="BS31" i="14" s="1"/>
  <c r="BR24" i="14"/>
  <c r="BS24" i="14" s="1"/>
  <c r="BR17" i="14"/>
  <c r="BS17" i="14" s="1"/>
  <c r="BR33" i="14"/>
  <c r="BS33" i="14" s="1"/>
  <c r="BR9" i="14"/>
  <c r="BS9" i="14" s="1"/>
  <c r="BR14" i="14"/>
  <c r="BS14" i="14" s="1"/>
  <c r="BR19" i="14"/>
  <c r="BS19" i="14" s="1"/>
  <c r="BR35" i="14"/>
  <c r="BS35" i="14" s="1"/>
  <c r="BR28" i="14"/>
  <c r="BS28" i="14" s="1"/>
  <c r="BR21" i="14"/>
  <c r="BS21" i="14" s="1"/>
  <c r="BR16" i="14"/>
  <c r="BS16" i="14" s="1"/>
  <c r="BR30" i="14"/>
  <c r="BS30" i="14" s="1"/>
  <c r="BR26" i="14"/>
  <c r="BS26" i="14" s="1"/>
  <c r="BR7" i="14"/>
  <c r="BS7" i="14" s="1"/>
  <c r="BR23" i="14"/>
  <c r="BS23" i="14" s="1"/>
  <c r="BR8" i="14"/>
  <c r="BS8" i="14" s="1"/>
  <c r="BR32" i="14"/>
  <c r="BS32" i="14" s="1"/>
  <c r="BR25" i="14"/>
  <c r="BS25" i="14" s="1"/>
  <c r="BR20" i="14"/>
  <c r="BS20" i="14" s="1"/>
  <c r="BR27" i="14"/>
  <c r="BS27" i="14" s="1"/>
  <c r="BR36" i="14"/>
  <c r="BS36" i="14" s="1"/>
  <c r="BR12" i="14"/>
  <c r="BS12" i="14" s="1"/>
  <c r="BR10" i="14"/>
  <c r="BS10" i="14" s="1"/>
  <c r="BR13" i="14"/>
  <c r="BS13" i="14" s="1"/>
  <c r="BR18" i="14"/>
  <c r="BS18" i="14" s="1"/>
  <c r="BR11" i="14"/>
  <c r="BS11" i="14" s="1"/>
  <c r="BR29" i="14"/>
  <c r="BS29" i="14" s="1"/>
  <c r="AX20" i="14"/>
  <c r="AY20" i="14" s="1"/>
  <c r="AX25" i="14"/>
  <c r="AY25" i="14" s="1"/>
  <c r="AX22" i="14"/>
  <c r="AY22" i="14" s="1"/>
  <c r="AX30" i="14"/>
  <c r="AY30" i="14" s="1"/>
  <c r="AX9" i="14"/>
  <c r="AY9" i="14" s="1"/>
  <c r="AX33" i="14"/>
  <c r="AY33" i="14" s="1"/>
  <c r="AX10" i="14"/>
  <c r="AY10" i="14" s="1"/>
  <c r="AX26" i="14"/>
  <c r="AY26" i="14" s="1"/>
  <c r="AX13" i="14"/>
  <c r="AY13" i="14" s="1"/>
  <c r="AX14" i="14"/>
  <c r="AY14" i="14" s="1"/>
  <c r="AX18" i="14"/>
  <c r="AY18" i="14" s="1"/>
  <c r="AX17" i="14"/>
  <c r="AY17" i="14" s="1"/>
  <c r="AX31" i="14"/>
  <c r="AY31" i="14" s="1"/>
  <c r="AX32" i="14"/>
  <c r="AY32" i="14" s="1"/>
  <c r="AX7" i="14"/>
  <c r="AY7" i="14" s="1"/>
  <c r="AX16" i="14"/>
  <c r="AY16" i="14" s="1"/>
  <c r="AX11" i="14"/>
  <c r="AY11" i="14" s="1"/>
  <c r="AX12" i="14"/>
  <c r="AY12" i="14" s="1"/>
  <c r="AX36" i="14"/>
  <c r="AY36" i="14" s="1"/>
  <c r="AX19" i="14"/>
  <c r="AY19" i="14" s="1"/>
  <c r="AX21" i="14"/>
  <c r="AY21" i="14" s="1"/>
  <c r="AX15" i="14"/>
  <c r="AY15" i="14" s="1"/>
  <c r="AX24" i="14"/>
  <c r="AY24" i="14" s="1"/>
  <c r="AX35" i="14"/>
  <c r="AY35" i="14" s="1"/>
  <c r="AX27" i="14"/>
  <c r="AY27" i="14" s="1"/>
  <c r="AX34" i="14"/>
  <c r="AY34" i="14" s="1"/>
  <c r="AX23" i="14"/>
  <c r="AY23" i="14" s="1"/>
  <c r="AX28" i="14"/>
  <c r="AY28" i="14" s="1"/>
  <c r="AX29" i="14"/>
  <c r="AY29" i="14" s="1"/>
  <c r="AX8" i="14"/>
  <c r="AY8" i="14" s="1"/>
  <c r="CG13" i="14"/>
  <c r="CH13" i="14" s="1"/>
  <c r="CG26" i="14"/>
  <c r="CH26" i="14" s="1"/>
  <c r="CG7" i="14"/>
  <c r="CH7" i="14" s="1"/>
  <c r="CG31" i="14"/>
  <c r="CH31" i="14" s="1"/>
  <c r="CG20" i="14"/>
  <c r="CH20" i="14" s="1"/>
  <c r="CG17" i="14"/>
  <c r="CH17" i="14" s="1"/>
  <c r="CG33" i="14"/>
  <c r="CH33" i="14" s="1"/>
  <c r="CG32" i="14"/>
  <c r="CH32" i="14" s="1"/>
  <c r="CG30" i="14"/>
  <c r="CH30" i="14" s="1"/>
  <c r="CG18" i="14"/>
  <c r="CH18" i="14" s="1"/>
  <c r="CG15" i="14"/>
  <c r="CH15" i="14" s="1"/>
  <c r="CG8" i="14"/>
  <c r="CH8" i="14" s="1"/>
  <c r="CG24" i="14"/>
  <c r="CH24" i="14" s="1"/>
  <c r="CG21" i="14"/>
  <c r="CH21" i="14" s="1"/>
  <c r="CG11" i="14"/>
  <c r="CH11" i="14" s="1"/>
  <c r="CG36" i="14"/>
  <c r="CH36" i="14" s="1"/>
  <c r="CG14" i="14"/>
  <c r="CH14" i="14" s="1"/>
  <c r="CG22" i="14"/>
  <c r="CH22" i="14" s="1"/>
  <c r="CG19" i="14"/>
  <c r="CH19" i="14" s="1"/>
  <c r="CG12" i="14"/>
  <c r="CH12" i="14" s="1"/>
  <c r="CG28" i="14"/>
  <c r="CH28" i="14" s="1"/>
  <c r="CG25" i="14"/>
  <c r="CH25" i="14" s="1"/>
  <c r="CG27" i="14"/>
  <c r="CH27" i="14" s="1"/>
  <c r="CG9" i="14"/>
  <c r="CH9" i="14" s="1"/>
  <c r="CG34" i="14"/>
  <c r="CH34" i="14" s="1"/>
  <c r="CG29" i="14"/>
  <c r="CH29" i="14" s="1"/>
  <c r="CG23" i="14"/>
  <c r="CH23" i="14" s="1"/>
  <c r="CG35" i="14"/>
  <c r="CH35" i="14" s="1"/>
  <c r="CG16" i="14"/>
  <c r="CH16" i="14" s="1"/>
  <c r="CB17" i="14"/>
  <c r="CC17" i="14" s="1"/>
  <c r="CB35" i="14"/>
  <c r="CC35" i="14" s="1"/>
  <c r="CB24" i="14"/>
  <c r="CC24" i="14" s="1"/>
  <c r="CB12" i="14"/>
  <c r="CC12" i="14" s="1"/>
  <c r="CB23" i="14"/>
  <c r="CC23" i="14" s="1"/>
  <c r="CB8" i="14"/>
  <c r="CC8" i="14" s="1"/>
  <c r="CB28" i="14"/>
  <c r="CC28" i="14" s="1"/>
  <c r="CB7" i="14"/>
  <c r="CC7" i="14" s="1"/>
  <c r="CB19" i="14"/>
  <c r="CC19" i="14" s="1"/>
  <c r="CB16" i="14"/>
  <c r="CC16" i="14" s="1"/>
  <c r="CB32" i="14"/>
  <c r="CC32" i="14" s="1"/>
  <c r="CB11" i="14"/>
  <c r="CC11" i="14" s="1"/>
  <c r="CB20" i="14"/>
  <c r="CC20" i="14" s="1"/>
  <c r="CB36" i="14"/>
  <c r="CC36" i="14" s="1"/>
  <c r="CB33" i="14"/>
  <c r="CC33" i="14" s="1"/>
  <c r="CB15" i="14"/>
  <c r="CC15" i="14" s="1"/>
  <c r="CB31" i="14"/>
  <c r="CC31" i="14" s="1"/>
  <c r="CB27" i="14"/>
  <c r="CC27" i="14" s="1"/>
  <c r="CB10" i="14"/>
  <c r="CC10" i="14" s="1"/>
  <c r="CB30" i="14"/>
  <c r="CC30" i="14" s="1"/>
  <c r="CB34" i="14"/>
  <c r="CC34" i="14" s="1"/>
  <c r="CB21" i="14"/>
  <c r="CC21" i="14" s="1"/>
  <c r="CB22" i="14"/>
  <c r="CC22" i="14" s="1"/>
  <c r="CB26" i="14"/>
  <c r="CC26" i="14" s="1"/>
  <c r="CB29" i="14"/>
  <c r="CC29" i="14" s="1"/>
  <c r="CB14" i="14"/>
  <c r="CC14" i="14" s="1"/>
  <c r="CB25" i="14"/>
  <c r="CC25" i="14" s="1"/>
  <c r="CB18" i="14"/>
  <c r="CC18" i="14" s="1"/>
  <c r="CB13" i="14"/>
  <c r="CC13" i="14" s="1"/>
  <c r="CB9" i="14"/>
  <c r="CC9" i="14" s="1"/>
  <c r="BM30" i="14"/>
  <c r="BN30" i="14" s="1"/>
  <c r="BM20" i="14"/>
  <c r="BN20" i="14" s="1"/>
  <c r="BM23" i="14"/>
  <c r="BN23" i="14" s="1"/>
  <c r="BM7" i="14"/>
  <c r="BN7" i="14" s="1"/>
  <c r="BM13" i="14"/>
  <c r="BN13" i="14" s="1"/>
  <c r="BM12" i="14"/>
  <c r="BN12" i="14" s="1"/>
  <c r="BM17" i="14"/>
  <c r="BN17" i="14" s="1"/>
  <c r="BM10" i="14"/>
  <c r="BN10" i="14" s="1"/>
  <c r="BM22" i="14"/>
  <c r="BN22" i="14" s="1"/>
  <c r="BM32" i="14"/>
  <c r="BN32" i="14" s="1"/>
  <c r="BM8" i="14"/>
  <c r="BN8" i="14" s="1"/>
  <c r="BM19" i="14"/>
  <c r="BN19" i="14" s="1"/>
  <c r="BM29" i="14"/>
  <c r="BN29" i="14" s="1"/>
  <c r="BM9" i="14"/>
  <c r="BN9" i="14" s="1"/>
  <c r="BM27" i="14"/>
  <c r="BN27" i="14" s="1"/>
  <c r="BM33" i="14"/>
  <c r="BN33" i="14" s="1"/>
  <c r="BM18" i="14"/>
  <c r="BN18" i="14" s="1"/>
  <c r="BM26" i="14"/>
  <c r="BN26" i="14" s="1"/>
  <c r="BM28" i="14"/>
  <c r="BN28" i="14" s="1"/>
  <c r="BM35" i="14"/>
  <c r="BN35" i="14" s="1"/>
  <c r="BM15" i="14"/>
  <c r="BN15" i="14" s="1"/>
  <c r="BM25" i="14"/>
  <c r="BN25" i="14" s="1"/>
  <c r="BM36" i="14"/>
  <c r="BN36" i="14" s="1"/>
  <c r="BM14" i="14"/>
  <c r="BN14" i="14" s="1"/>
  <c r="BM21" i="14"/>
  <c r="BN21" i="14" s="1"/>
  <c r="BM34" i="14"/>
  <c r="BN34" i="14" s="1"/>
  <c r="BM24" i="14"/>
  <c r="BN24" i="14" s="1"/>
  <c r="BM16" i="14"/>
  <c r="BN16" i="14" s="1"/>
  <c r="BM31" i="14"/>
  <c r="BN31" i="14" s="1"/>
  <c r="BM11" i="14"/>
  <c r="BN11" i="14" s="1"/>
  <c r="BH32" i="14"/>
  <c r="BI32" i="14" s="1"/>
  <c r="BH25" i="14"/>
  <c r="BI25" i="14" s="1"/>
  <c r="BH18" i="14"/>
  <c r="BI18" i="14" s="1"/>
  <c r="BH14" i="14"/>
  <c r="BI14" i="14" s="1"/>
  <c r="BH7" i="14"/>
  <c r="BI7" i="14" s="1"/>
  <c r="BH16" i="14"/>
  <c r="BI16" i="14" s="1"/>
  <c r="BH13" i="14"/>
  <c r="BI13" i="14" s="1"/>
  <c r="BH23" i="14"/>
  <c r="BI23" i="14" s="1"/>
  <c r="BH24" i="14"/>
  <c r="BI24" i="14" s="1"/>
  <c r="BH33" i="14"/>
  <c r="BI33" i="14" s="1"/>
  <c r="BH10" i="14"/>
  <c r="BI10" i="14" s="1"/>
  <c r="BH22" i="14"/>
  <c r="BI22" i="14" s="1"/>
  <c r="BH19" i="14"/>
  <c r="BI19" i="14" s="1"/>
  <c r="BH20" i="14"/>
  <c r="BI20" i="14" s="1"/>
  <c r="BH29" i="14"/>
  <c r="BI29" i="14" s="1"/>
  <c r="BH31" i="14"/>
  <c r="BI31" i="14" s="1"/>
  <c r="BH28" i="14"/>
  <c r="BI28" i="14" s="1"/>
  <c r="BH17" i="14"/>
  <c r="BI17" i="14" s="1"/>
  <c r="BH30" i="14"/>
  <c r="BI30" i="14" s="1"/>
  <c r="BH34" i="14"/>
  <c r="BI34" i="14" s="1"/>
  <c r="BH27" i="14"/>
  <c r="BI27" i="14" s="1"/>
  <c r="BH21" i="14"/>
  <c r="BI21" i="14" s="1"/>
  <c r="BH11" i="14"/>
  <c r="BI11" i="14" s="1"/>
  <c r="BH8" i="14"/>
  <c r="BI8" i="14" s="1"/>
  <c r="BH15" i="14"/>
  <c r="BI15" i="14" s="1"/>
  <c r="BH26" i="14"/>
  <c r="BI26" i="14" s="1"/>
  <c r="BH36" i="14"/>
  <c r="BI36" i="14" s="1"/>
  <c r="BH35" i="14"/>
  <c r="BI35" i="14" s="1"/>
  <c r="BH9" i="14"/>
  <c r="BI9" i="14" s="1"/>
  <c r="BH12" i="14"/>
  <c r="BI12" i="14" s="1"/>
  <c r="AN22" i="14"/>
  <c r="AO22" i="14" s="1"/>
  <c r="AN10" i="14"/>
  <c r="AO10" i="14" s="1"/>
  <c r="AN19" i="14"/>
  <c r="AO19" i="14" s="1"/>
  <c r="AN23" i="14"/>
  <c r="AO23" i="14" s="1"/>
  <c r="AN13" i="14"/>
  <c r="AO13" i="14" s="1"/>
  <c r="AN29" i="14"/>
  <c r="AO29" i="14" s="1"/>
  <c r="AN35" i="14"/>
  <c r="AO35" i="14" s="1"/>
  <c r="AN14" i="14"/>
  <c r="AO14" i="14" s="1"/>
  <c r="AN28" i="14"/>
  <c r="AO28" i="14" s="1"/>
  <c r="AN7" i="14"/>
  <c r="AO7" i="14" s="1"/>
  <c r="AN27" i="14"/>
  <c r="AO27" i="14" s="1"/>
  <c r="AN17" i="14"/>
  <c r="AO17" i="14" s="1"/>
  <c r="AN33" i="14"/>
  <c r="AO33" i="14" s="1"/>
  <c r="AN31" i="14"/>
  <c r="AO31" i="14" s="1"/>
  <c r="AN12" i="14"/>
  <c r="AO12" i="14" s="1"/>
  <c r="AN25" i="14"/>
  <c r="AO25" i="14" s="1"/>
  <c r="AN16" i="14"/>
  <c r="AO16" i="14" s="1"/>
  <c r="AN34" i="14"/>
  <c r="AO34" i="14" s="1"/>
  <c r="AN20" i="14"/>
  <c r="AO20" i="14" s="1"/>
  <c r="AN11" i="14"/>
  <c r="AO11" i="14" s="1"/>
  <c r="AN21" i="14"/>
  <c r="AO21" i="14" s="1"/>
  <c r="AN9" i="14"/>
  <c r="AO9" i="14" s="1"/>
  <c r="AN30" i="14"/>
  <c r="AO30" i="14" s="1"/>
  <c r="AN26" i="14"/>
  <c r="AO26" i="14" s="1"/>
  <c r="AN15" i="14"/>
  <c r="AO15" i="14" s="1"/>
  <c r="AN36" i="14"/>
  <c r="AO36" i="14" s="1"/>
  <c r="AN8" i="14"/>
  <c r="AO8" i="14" s="1"/>
  <c r="AN24" i="14"/>
  <c r="AO24" i="14" s="1"/>
  <c r="AN18" i="14"/>
  <c r="AO18" i="14" s="1"/>
  <c r="AN32" i="14"/>
  <c r="AO32" i="14" s="1"/>
  <c r="BC21" i="14"/>
  <c r="BD21" i="14" s="1"/>
  <c r="BC25" i="14"/>
  <c r="BD25" i="14" s="1"/>
  <c r="BC17" i="14"/>
  <c r="BD17" i="14" s="1"/>
  <c r="BC22" i="14"/>
  <c r="BD22" i="14" s="1"/>
  <c r="BC31" i="14"/>
  <c r="BD31" i="14" s="1"/>
  <c r="BC26" i="14"/>
  <c r="BD26" i="14" s="1"/>
  <c r="BC10" i="14"/>
  <c r="BD10" i="14" s="1"/>
  <c r="BC30" i="14"/>
  <c r="BD30" i="14" s="1"/>
  <c r="BC8" i="14"/>
  <c r="BD8" i="14" s="1"/>
  <c r="BC11" i="14"/>
  <c r="BD11" i="14" s="1"/>
  <c r="BC35" i="14"/>
  <c r="BD35" i="14" s="1"/>
  <c r="BC24" i="14"/>
  <c r="BD24" i="14" s="1"/>
  <c r="BC13" i="14"/>
  <c r="BD13" i="14" s="1"/>
  <c r="BC34" i="14"/>
  <c r="BD34" i="14" s="1"/>
  <c r="BC14" i="14"/>
  <c r="BD14" i="14" s="1"/>
  <c r="BC33" i="14"/>
  <c r="BD33" i="14" s="1"/>
  <c r="BC9" i="14"/>
  <c r="BD9" i="14" s="1"/>
  <c r="BC7" i="14"/>
  <c r="BD7" i="14" s="1"/>
  <c r="BC29" i="14"/>
  <c r="BD29" i="14" s="1"/>
  <c r="BC12" i="14"/>
  <c r="BD12" i="14" s="1"/>
  <c r="BC18" i="14"/>
  <c r="BD18" i="14" s="1"/>
  <c r="BC27" i="14"/>
  <c r="BD27" i="14" s="1"/>
  <c r="BC15" i="14"/>
  <c r="BD15" i="14" s="1"/>
  <c r="BC16" i="14"/>
  <c r="BD16" i="14" s="1"/>
  <c r="BC28" i="14"/>
  <c r="BD28" i="14" s="1"/>
  <c r="BC19" i="14"/>
  <c r="BD19" i="14" s="1"/>
  <c r="BC20" i="14"/>
  <c r="BD20" i="14" s="1"/>
  <c r="BC32" i="14"/>
  <c r="BD32" i="14" s="1"/>
  <c r="BC36" i="14"/>
  <c r="BD36" i="14" s="1"/>
  <c r="BC23" i="14"/>
  <c r="BD23" i="14" s="1"/>
  <c r="BW35" i="14"/>
  <c r="BX35" i="14" s="1"/>
  <c r="BW13" i="14"/>
  <c r="BX13" i="14" s="1"/>
  <c r="BW36" i="14"/>
  <c r="BX36" i="14" s="1"/>
  <c r="BW32" i="14"/>
  <c r="BX32" i="14" s="1"/>
  <c r="BW8" i="14"/>
  <c r="BX8" i="14" s="1"/>
  <c r="BW12" i="14"/>
  <c r="BX12" i="14" s="1"/>
  <c r="BW26" i="14"/>
  <c r="BX26" i="14" s="1"/>
  <c r="BW11" i="14"/>
  <c r="BX11" i="14" s="1"/>
  <c r="BW31" i="14"/>
  <c r="BX31" i="14" s="1"/>
  <c r="BW21" i="14"/>
  <c r="BX21" i="14" s="1"/>
  <c r="BW17" i="14"/>
  <c r="BX17" i="14" s="1"/>
  <c r="BW18" i="14"/>
  <c r="BX18" i="14" s="1"/>
  <c r="BW34" i="14"/>
  <c r="BX34" i="14" s="1"/>
  <c r="BW15" i="14"/>
  <c r="BX15" i="14" s="1"/>
  <c r="BW29" i="14"/>
  <c r="BX29" i="14" s="1"/>
  <c r="BW9" i="14"/>
  <c r="BX9" i="14" s="1"/>
  <c r="BW25" i="14"/>
  <c r="BX25" i="14" s="1"/>
  <c r="BW14" i="14"/>
  <c r="BX14" i="14" s="1"/>
  <c r="BW22" i="14"/>
  <c r="BX22" i="14" s="1"/>
  <c r="BW24" i="14"/>
  <c r="BX24" i="14" s="1"/>
  <c r="BW10" i="14"/>
  <c r="BX10" i="14" s="1"/>
  <c r="BW19" i="14"/>
  <c r="BX19" i="14" s="1"/>
  <c r="BW23" i="14"/>
  <c r="BX23" i="14" s="1"/>
  <c r="BW33" i="14"/>
  <c r="BX33" i="14" s="1"/>
  <c r="BW20" i="14"/>
  <c r="BX20" i="14" s="1"/>
  <c r="BW30" i="14"/>
  <c r="BX30" i="14" s="1"/>
  <c r="BW16" i="14"/>
  <c r="BX16" i="14" s="1"/>
  <c r="BW7" i="14"/>
  <c r="BX7" i="14" s="1"/>
  <c r="BW27" i="14"/>
  <c r="BX27" i="14" s="1"/>
  <c r="BW28" i="14"/>
  <c r="BX28" i="14" s="1"/>
  <c r="CL27" i="14"/>
  <c r="CM27" i="14" s="1"/>
  <c r="CL13" i="14"/>
  <c r="CM13" i="14" s="1"/>
  <c r="CL9" i="14"/>
  <c r="CM9" i="14" s="1"/>
  <c r="CL18" i="14"/>
  <c r="CM18" i="14" s="1"/>
  <c r="CL19" i="14"/>
  <c r="CM19" i="14" s="1"/>
  <c r="CL20" i="14"/>
  <c r="CM20" i="14" s="1"/>
  <c r="CL36" i="14"/>
  <c r="CM36" i="14" s="1"/>
  <c r="CL35" i="14"/>
  <c r="CM35" i="14" s="1"/>
  <c r="CL17" i="14"/>
  <c r="CM17" i="14" s="1"/>
  <c r="CL14" i="14"/>
  <c r="CM14" i="14" s="1"/>
  <c r="CL26" i="14"/>
  <c r="CM26" i="14" s="1"/>
  <c r="CL8" i="14"/>
  <c r="CM8" i="14" s="1"/>
  <c r="CL24" i="14"/>
  <c r="CM24" i="14" s="1"/>
  <c r="CL7" i="14"/>
  <c r="CM7" i="14" s="1"/>
  <c r="CL29" i="14"/>
  <c r="CM29" i="14" s="1"/>
  <c r="CL21" i="14"/>
  <c r="CM21" i="14" s="1"/>
  <c r="CL34" i="14"/>
  <c r="CM34" i="14" s="1"/>
  <c r="CL22" i="14"/>
  <c r="CM22" i="14" s="1"/>
  <c r="CL12" i="14"/>
  <c r="CM12" i="14" s="1"/>
  <c r="CL28" i="14"/>
  <c r="CM28" i="14" s="1"/>
  <c r="CL11" i="14"/>
  <c r="CM11" i="14" s="1"/>
  <c r="CL23" i="14"/>
  <c r="CM23" i="14" s="1"/>
  <c r="CL25" i="14"/>
  <c r="CM25" i="14" s="1"/>
  <c r="CL33" i="14"/>
  <c r="CM33" i="14" s="1"/>
  <c r="CL30" i="14"/>
  <c r="CM30" i="14" s="1"/>
  <c r="CL31" i="14"/>
  <c r="CM31" i="14" s="1"/>
  <c r="CL15" i="14"/>
  <c r="CM15" i="14" s="1"/>
  <c r="CL16" i="14"/>
  <c r="CM16" i="14" s="1"/>
  <c r="CL32" i="14"/>
  <c r="CM32" i="14" s="1"/>
  <c r="C129" i="16"/>
  <c r="C128" i="16"/>
  <c r="C130" i="16"/>
  <c r="C127" i="16"/>
  <c r="AF6" i="16"/>
  <c r="C117" i="16"/>
  <c r="F26" i="16"/>
  <c r="D121" i="16" s="1"/>
  <c r="H26" i="16"/>
  <c r="D125" i="16" s="1"/>
  <c r="H76" i="16"/>
  <c r="D126" i="16" s="1"/>
  <c r="AF30" i="16"/>
  <c r="F76" i="16"/>
  <c r="D122" i="16" s="1"/>
  <c r="AI15" i="14"/>
  <c r="AJ15" i="14" s="1"/>
  <c r="AI17" i="14"/>
  <c r="AJ17" i="14" s="1"/>
  <c r="AI25" i="14"/>
  <c r="AJ25" i="14" s="1"/>
  <c r="AI13" i="14"/>
  <c r="AJ13" i="14" s="1"/>
  <c r="AD29" i="14"/>
  <c r="AE29" i="14" s="1"/>
  <c r="AD8" i="14"/>
  <c r="AE8" i="14" s="1"/>
  <c r="AI19" i="14"/>
  <c r="AJ19" i="14" s="1"/>
  <c r="AI35" i="14"/>
  <c r="AJ35" i="14" s="1"/>
  <c r="AI31" i="14"/>
  <c r="AJ31" i="14" s="1"/>
  <c r="AD26" i="14"/>
  <c r="AE26" i="14" s="1"/>
  <c r="AI11" i="14"/>
  <c r="AJ11" i="14" s="1"/>
  <c r="AD11" i="14"/>
  <c r="AE11" i="14" s="1"/>
  <c r="AD35" i="14"/>
  <c r="AE35" i="14" s="1"/>
  <c r="AD15" i="14"/>
  <c r="AE15" i="14" s="1"/>
  <c r="AI18" i="14"/>
  <c r="AI12" i="14"/>
  <c r="AJ12" i="14" s="1"/>
  <c r="AI30" i="14"/>
  <c r="AJ30" i="14" s="1"/>
  <c r="AD18" i="14"/>
  <c r="AE18" i="14" s="1"/>
  <c r="AI9" i="14"/>
  <c r="AJ9" i="14" s="1"/>
  <c r="AD27" i="14"/>
  <c r="AE27" i="14" s="1"/>
  <c r="AD20" i="14"/>
  <c r="AE20" i="14" s="1"/>
  <c r="AD16" i="14"/>
  <c r="AE16" i="14" s="1"/>
  <c r="AI28" i="14"/>
  <c r="AJ28" i="14" s="1"/>
  <c r="AD30" i="14"/>
  <c r="AE30" i="14" s="1"/>
  <c r="AI23" i="14"/>
  <c r="AJ23" i="14" s="1"/>
  <c r="AD13" i="14"/>
  <c r="AE13" i="14" s="1"/>
  <c r="AD14" i="14"/>
  <c r="AE14" i="14" s="1"/>
  <c r="T35" i="14"/>
  <c r="U35" i="14" s="1"/>
  <c r="T30" i="14"/>
  <c r="U30" i="14" s="1"/>
  <c r="T23" i="14"/>
  <c r="U23" i="14" s="1"/>
  <c r="T18" i="14"/>
  <c r="U18" i="14" s="1"/>
  <c r="T11" i="14"/>
  <c r="U11" i="14" s="1"/>
  <c r="T36" i="14"/>
  <c r="U36" i="14" s="1"/>
  <c r="T24" i="14"/>
  <c r="U24" i="14" s="1"/>
  <c r="T19" i="14"/>
  <c r="U19" i="14" s="1"/>
  <c r="T12" i="14"/>
  <c r="U12" i="14" s="1"/>
  <c r="T33" i="14"/>
  <c r="U33" i="14" s="1"/>
  <c r="T28" i="14"/>
  <c r="U28" i="14" s="1"/>
  <c r="T21" i="14"/>
  <c r="U21" i="14" s="1"/>
  <c r="T16" i="14"/>
  <c r="U16" i="14" s="1"/>
  <c r="T8" i="14"/>
  <c r="U8" i="14" s="1"/>
  <c r="T31" i="14"/>
  <c r="U31" i="14" s="1"/>
  <c r="T32" i="14"/>
  <c r="U32" i="14" s="1"/>
  <c r="T27" i="14"/>
  <c r="U27" i="14" s="1"/>
  <c r="T20" i="14"/>
  <c r="U20" i="14" s="1"/>
  <c r="T15" i="14"/>
  <c r="U15" i="14" s="1"/>
  <c r="T7" i="14"/>
  <c r="U7" i="14" s="1"/>
  <c r="T14" i="14"/>
  <c r="U14" i="14" s="1"/>
  <c r="T26" i="14"/>
  <c r="U26" i="14" s="1"/>
  <c r="T9" i="14"/>
  <c r="U9" i="14" s="1"/>
  <c r="T22" i="14"/>
  <c r="U22" i="14" s="1"/>
  <c r="T34" i="14"/>
  <c r="U34" i="14" s="1"/>
  <c r="T13" i="14"/>
  <c r="U13" i="14" s="1"/>
  <c r="T25" i="14"/>
  <c r="U25" i="14" s="1"/>
  <c r="T17" i="14"/>
  <c r="U17" i="14" s="1"/>
  <c r="T29" i="14"/>
  <c r="U29" i="14" s="1"/>
  <c r="T10" i="14"/>
  <c r="U10" i="14" s="1"/>
  <c r="AD33" i="14"/>
  <c r="AE33" i="14" s="1"/>
  <c r="AD31" i="14"/>
  <c r="AE31" i="14" s="1"/>
  <c r="AD32" i="14"/>
  <c r="AE32" i="14" s="1"/>
  <c r="J8" i="14"/>
  <c r="K8" i="14" s="1"/>
  <c r="J16" i="14"/>
  <c r="K16" i="14" s="1"/>
  <c r="J27" i="14"/>
  <c r="K27" i="14" s="1"/>
  <c r="J7" i="14"/>
  <c r="K7" i="14" s="1"/>
  <c r="J21" i="14"/>
  <c r="K21" i="14" s="1"/>
  <c r="J17" i="14"/>
  <c r="K17" i="14" s="1"/>
  <c r="J20" i="14"/>
  <c r="K20" i="14" s="1"/>
  <c r="J14" i="14"/>
  <c r="K14" i="14" s="1"/>
  <c r="J30" i="14"/>
  <c r="K30" i="14" s="1"/>
  <c r="J24" i="14"/>
  <c r="K24" i="14" s="1"/>
  <c r="J12" i="14"/>
  <c r="K12" i="14" s="1"/>
  <c r="J9" i="14"/>
  <c r="K9" i="14" s="1"/>
  <c r="J35" i="14"/>
  <c r="K35" i="14" s="1"/>
  <c r="J33" i="14"/>
  <c r="K33" i="14" s="1"/>
  <c r="J11" i="14"/>
  <c r="K11" i="14" s="1"/>
  <c r="J36" i="14"/>
  <c r="K36" i="14" s="1"/>
  <c r="J15" i="14"/>
  <c r="K15" i="14" s="1"/>
  <c r="J18" i="14"/>
  <c r="K18" i="14" s="1"/>
  <c r="J34" i="14"/>
  <c r="K34" i="14" s="1"/>
  <c r="J19" i="14"/>
  <c r="K19" i="14" s="1"/>
  <c r="J23" i="14"/>
  <c r="K23" i="14" s="1"/>
  <c r="J31" i="14"/>
  <c r="K31" i="14" s="1"/>
  <c r="J22" i="14"/>
  <c r="K22" i="14" s="1"/>
  <c r="J13" i="14"/>
  <c r="K13" i="14" s="1"/>
  <c r="J25" i="14"/>
  <c r="K25" i="14" s="1"/>
  <c r="J29" i="14"/>
  <c r="K29" i="14" s="1"/>
  <c r="J10" i="14"/>
  <c r="K10" i="14" s="1"/>
  <c r="J32" i="14"/>
  <c r="K32" i="14" s="1"/>
  <c r="J26" i="14"/>
  <c r="K26" i="14" s="1"/>
  <c r="J28" i="14"/>
  <c r="K28" i="14" s="1"/>
  <c r="AI7" i="14"/>
  <c r="AJ7" i="14" s="1"/>
  <c r="AI27" i="14"/>
  <c r="AJ27" i="14" s="1"/>
  <c r="AI24" i="14"/>
  <c r="AJ24" i="14" s="1"/>
  <c r="AD7" i="14"/>
  <c r="AE7" i="14" s="1"/>
  <c r="AI32" i="14"/>
  <c r="AJ32" i="14" s="1"/>
  <c r="AI10" i="14"/>
  <c r="AJ10" i="14" s="1"/>
  <c r="AI20" i="14"/>
  <c r="AJ20" i="14" s="1"/>
  <c r="AD12" i="14"/>
  <c r="AE12" i="14" s="1"/>
  <c r="AD22" i="14"/>
  <c r="AE22" i="14" s="1"/>
  <c r="AD36" i="14"/>
  <c r="AE36" i="14" s="1"/>
  <c r="AD9" i="14"/>
  <c r="AE9" i="14" s="1"/>
  <c r="AD17" i="14"/>
  <c r="AE17" i="14" s="1"/>
  <c r="AI29" i="14"/>
  <c r="AJ29" i="14" s="1"/>
  <c r="AI8" i="14"/>
  <c r="AJ8" i="14" s="1"/>
  <c r="AI21" i="14"/>
  <c r="AJ21" i="14" s="1"/>
  <c r="AI33" i="14"/>
  <c r="AJ33" i="14" s="1"/>
  <c r="AI14" i="14"/>
  <c r="AJ14" i="14" s="1"/>
  <c r="AD34" i="14"/>
  <c r="AE34" i="14" s="1"/>
  <c r="AD10" i="14"/>
  <c r="AE10" i="14" s="1"/>
  <c r="AI22" i="14"/>
  <c r="AJ22" i="14" s="1"/>
  <c r="AI34" i="14"/>
  <c r="AJ34" i="14" s="1"/>
  <c r="AI26" i="14"/>
  <c r="AJ26" i="14" s="1"/>
  <c r="AD28" i="14"/>
  <c r="AE28" i="14" s="1"/>
  <c r="AD19" i="14"/>
  <c r="AE19" i="14" s="1"/>
  <c r="AD21" i="14"/>
  <c r="AE21" i="14" s="1"/>
  <c r="AD23" i="14"/>
  <c r="AE23" i="14" s="1"/>
  <c r="AD24" i="14"/>
  <c r="AE24" i="14" s="1"/>
  <c r="AI36" i="14"/>
  <c r="AJ36" i="14" s="1"/>
  <c r="Y33" i="14"/>
  <c r="Q3" i="15" s="1"/>
  <c r="Y31" i="14"/>
  <c r="Q6" i="15" s="1"/>
  <c r="Y20" i="14"/>
  <c r="Q16" i="15" s="1"/>
  <c r="Y13" i="14"/>
  <c r="Q7" i="15" s="1"/>
  <c r="Y8" i="14"/>
  <c r="G6" i="15" s="1"/>
  <c r="Y32" i="14"/>
  <c r="Q11" i="15" s="1"/>
  <c r="Y24" i="14"/>
  <c r="Q14" i="15" s="1"/>
  <c r="Y15" i="14"/>
  <c r="G9" i="15" s="1"/>
  <c r="Y10" i="14"/>
  <c r="G7" i="15" s="1"/>
  <c r="Y36" i="14"/>
  <c r="G11" i="15" s="1"/>
  <c r="Y30" i="14"/>
  <c r="Q15" i="15" s="1"/>
  <c r="Y19" i="14"/>
  <c r="Q5" i="15" s="1"/>
  <c r="Y12" i="14"/>
  <c r="G2" i="15" s="1"/>
  <c r="Y35" i="14"/>
  <c r="Q10" i="15" s="1"/>
  <c r="Y27" i="14"/>
  <c r="Q4" i="15" s="1"/>
  <c r="Y16" i="14"/>
  <c r="Q2" i="15" s="1"/>
  <c r="Y11" i="14"/>
  <c r="G10" i="15" s="1"/>
  <c r="Y9" i="14"/>
  <c r="G15" i="15" s="1"/>
  <c r="Y21" i="14"/>
  <c r="Q8" i="15" s="1"/>
  <c r="Y29" i="14"/>
  <c r="G16" i="15" s="1"/>
  <c r="Y7" i="14"/>
  <c r="G5" i="15" s="1"/>
  <c r="Y25" i="14"/>
  <c r="Q13" i="15" s="1"/>
  <c r="Y28" i="14"/>
  <c r="G12" i="15" s="1"/>
  <c r="Y18" i="14"/>
  <c r="G8" i="15" s="1"/>
  <c r="Y26" i="14"/>
  <c r="G14" i="15" s="1"/>
  <c r="Y14" i="14"/>
  <c r="Q12" i="15" s="1"/>
  <c r="Y22" i="14"/>
  <c r="G4" i="15" s="1"/>
  <c r="Y34" i="14"/>
  <c r="G3" i="15" s="1"/>
  <c r="Y23" i="14"/>
  <c r="G13" i="15" s="1"/>
  <c r="Y17" i="14"/>
  <c r="Q9" i="15" s="1"/>
  <c r="O31" i="14"/>
  <c r="P31" i="14" s="1"/>
  <c r="O23" i="14"/>
  <c r="P23" i="14" s="1"/>
  <c r="O16" i="14"/>
  <c r="P16" i="14" s="1"/>
  <c r="O10" i="14"/>
  <c r="P10" i="14" s="1"/>
  <c r="O24" i="14"/>
  <c r="P24" i="14" s="1"/>
  <c r="O19" i="14"/>
  <c r="P19" i="14" s="1"/>
  <c r="O36" i="14"/>
  <c r="P36" i="14" s="1"/>
  <c r="O28" i="14"/>
  <c r="P28" i="14" s="1"/>
  <c r="O22" i="14"/>
  <c r="P22" i="14" s="1"/>
  <c r="O15" i="14"/>
  <c r="P15" i="14" s="1"/>
  <c r="O7" i="14"/>
  <c r="P7" i="14" s="1"/>
  <c r="O32" i="14"/>
  <c r="P32" i="14" s="1"/>
  <c r="O11" i="14"/>
  <c r="P11" i="14" s="1"/>
  <c r="O35" i="14"/>
  <c r="P35" i="14" s="1"/>
  <c r="O27" i="14"/>
  <c r="P27" i="14" s="1"/>
  <c r="O20" i="14"/>
  <c r="P20" i="14" s="1"/>
  <c r="O13" i="14"/>
  <c r="P13" i="14" s="1"/>
  <c r="O18" i="14"/>
  <c r="P18" i="14" s="1"/>
  <c r="O29" i="14"/>
  <c r="P29" i="14" s="1"/>
  <c r="O14" i="14"/>
  <c r="P14" i="14" s="1"/>
  <c r="O33" i="14"/>
  <c r="P33" i="14" s="1"/>
  <c r="O12" i="14"/>
  <c r="P12" i="14" s="1"/>
  <c r="O17" i="14"/>
  <c r="P17" i="14" s="1"/>
  <c r="O26" i="14"/>
  <c r="P26" i="14" s="1"/>
  <c r="O34" i="14"/>
  <c r="P34" i="14" s="1"/>
  <c r="O9" i="14"/>
  <c r="P9" i="14" s="1"/>
  <c r="O21" i="14"/>
  <c r="P21" i="14" s="1"/>
  <c r="O30" i="14"/>
  <c r="P30" i="14" s="1"/>
  <c r="O8" i="14"/>
  <c r="P8" i="14" s="1"/>
  <c r="O25" i="14"/>
  <c r="P25" i="14" s="1"/>
  <c r="I6" i="5"/>
  <c r="K57" i="4"/>
  <c r="G24" i="4"/>
  <c r="K9" i="3" s="1"/>
  <c r="K55" i="4"/>
  <c r="G25" i="4"/>
  <c r="K10" i="3" s="1"/>
  <c r="K56" i="4"/>
  <c r="G30" i="4"/>
  <c r="K15" i="3" s="1"/>
  <c r="K61" i="4"/>
  <c r="G28" i="4"/>
  <c r="K13" i="3" s="1"/>
  <c r="K59" i="4"/>
  <c r="G4" i="4"/>
  <c r="K4" i="2" s="1"/>
  <c r="K35" i="4"/>
  <c r="G14" i="4"/>
  <c r="K14" i="2" s="1"/>
  <c r="K45" i="4"/>
  <c r="G2" i="4"/>
  <c r="K2" i="2" s="1"/>
  <c r="K33" i="4"/>
  <c r="H33" i="4"/>
  <c r="J33" i="4" s="1"/>
  <c r="I10" i="5"/>
  <c r="G15" i="4"/>
  <c r="K15" i="2" s="1"/>
  <c r="K46" i="4"/>
  <c r="I8" i="5"/>
  <c r="G5" i="4"/>
  <c r="K5" i="2" s="1"/>
  <c r="K36" i="4"/>
  <c r="G7" i="4"/>
  <c r="K7" i="2" s="1"/>
  <c r="K38" i="4"/>
  <c r="I19" i="5"/>
  <c r="V19" i="5"/>
  <c r="V14" i="5"/>
  <c r="G10" i="4"/>
  <c r="K10" i="2" s="1"/>
  <c r="O108" i="5"/>
  <c r="U108" i="5" s="1"/>
  <c r="O109" i="5"/>
  <c r="U114" i="5" s="1"/>
  <c r="O113" i="5"/>
  <c r="U113" i="5" s="1"/>
  <c r="O117" i="5"/>
  <c r="O121" i="5"/>
  <c r="O110" i="5"/>
  <c r="U112" i="5" s="1"/>
  <c r="O114" i="5"/>
  <c r="U115" i="5" s="1"/>
  <c r="O118" i="5"/>
  <c r="O122" i="5"/>
  <c r="O111" i="5"/>
  <c r="U110" i="5" s="1"/>
  <c r="O115" i="5"/>
  <c r="U109" i="5" s="1"/>
  <c r="O119" i="5"/>
  <c r="O112" i="5"/>
  <c r="U111" i="5" s="1"/>
  <c r="O116" i="5"/>
  <c r="O120" i="5"/>
  <c r="O91" i="5"/>
  <c r="O95" i="5"/>
  <c r="O99" i="5"/>
  <c r="R99" i="5" s="1"/>
  <c r="O103" i="5"/>
  <c r="R103" i="5" s="1"/>
  <c r="O94" i="5"/>
  <c r="O92" i="5"/>
  <c r="O96" i="5"/>
  <c r="O100" i="5"/>
  <c r="R100" i="5" s="1"/>
  <c r="O104" i="5"/>
  <c r="R104" i="5" s="1"/>
  <c r="O98" i="5"/>
  <c r="R98" i="5" s="1"/>
  <c r="O93" i="5"/>
  <c r="O97" i="5"/>
  <c r="O101" i="5"/>
  <c r="R101" i="5" s="1"/>
  <c r="O102" i="5"/>
  <c r="R102" i="5" s="1"/>
  <c r="O90" i="5"/>
  <c r="G3" i="4"/>
  <c r="K3" i="2" s="1"/>
  <c r="V15" i="5"/>
  <c r="G26" i="4"/>
  <c r="K11" i="3" s="1"/>
  <c r="L9" i="2" l="1"/>
  <c r="L15" i="2"/>
  <c r="L16" i="2"/>
  <c r="L6" i="2"/>
  <c r="L10" i="2"/>
  <c r="L7" i="2"/>
  <c r="L3" i="2"/>
  <c r="L12" i="2"/>
  <c r="L14" i="2"/>
  <c r="L4" i="2"/>
  <c r="L13" i="2"/>
  <c r="L8" i="2"/>
  <c r="L5" i="2"/>
  <c r="L2" i="2"/>
  <c r="L14" i="3"/>
  <c r="L9" i="3"/>
  <c r="L5" i="3"/>
  <c r="L16" i="3"/>
  <c r="L4" i="3"/>
  <c r="L2" i="3"/>
  <c r="L10" i="3"/>
  <c r="L7" i="3"/>
  <c r="L12" i="3"/>
  <c r="L11" i="3"/>
  <c r="L3" i="3"/>
  <c r="L8" i="3"/>
  <c r="L6" i="3"/>
  <c r="L13" i="3"/>
  <c r="L15" i="3"/>
  <c r="V9" i="5"/>
  <c r="G27" i="4"/>
  <c r="K12" i="3" s="1"/>
  <c r="W16" i="5" s="1"/>
  <c r="G16" i="4"/>
  <c r="G13" i="4"/>
  <c r="K13" i="2" s="1"/>
  <c r="G22" i="4"/>
  <c r="K7" i="3" s="1"/>
  <c r="G6" i="4"/>
  <c r="K58" i="4"/>
  <c r="K62" i="4"/>
  <c r="G19" i="4"/>
  <c r="K4" i="3" s="1"/>
  <c r="K51" i="4"/>
  <c r="K40" i="4"/>
  <c r="G31" i="4"/>
  <c r="K16" i="3" s="1"/>
  <c r="G11" i="4"/>
  <c r="K11" i="2" s="1"/>
  <c r="G9" i="4"/>
  <c r="K9" i="2" s="1"/>
  <c r="G20" i="4"/>
  <c r="K5" i="3" s="1"/>
  <c r="K50" i="4"/>
  <c r="K48" i="4"/>
  <c r="N48" i="4" s="1"/>
  <c r="G23" i="4"/>
  <c r="K8" i="3" s="1"/>
  <c r="C119" i="16"/>
  <c r="G29" i="4"/>
  <c r="K14" i="3" s="1"/>
  <c r="K44" i="4"/>
  <c r="K53" i="4"/>
  <c r="K37" i="4"/>
  <c r="K43" i="4"/>
  <c r="N43" i="4" s="1"/>
  <c r="K42" i="4"/>
  <c r="K49" i="4"/>
  <c r="N49" i="4" s="1"/>
  <c r="K47" i="4"/>
  <c r="I20" i="5"/>
  <c r="G21" i="4"/>
  <c r="K6" i="3" s="1"/>
  <c r="V12" i="5"/>
  <c r="V10" i="5"/>
  <c r="G12" i="4"/>
  <c r="K12" i="2" s="1"/>
  <c r="J16" i="5" s="1"/>
  <c r="K39" i="4"/>
  <c r="K60" i="4"/>
  <c r="N60" i="4" s="1"/>
  <c r="G17" i="4"/>
  <c r="K2" i="3" s="1"/>
  <c r="G18" i="4"/>
  <c r="K3" i="3" s="1"/>
  <c r="V7" i="5"/>
  <c r="G8" i="4"/>
  <c r="K8" i="2" s="1"/>
  <c r="K54" i="4"/>
  <c r="K52" i="4"/>
  <c r="N52" i="4" s="1"/>
  <c r="L3" i="4"/>
  <c r="C97" i="5"/>
  <c r="C109" i="5"/>
  <c r="J14" i="5"/>
  <c r="C94" i="5"/>
  <c r="C91" i="5"/>
  <c r="C102" i="5"/>
  <c r="C99" i="5"/>
  <c r="C116" i="5"/>
  <c r="C108" i="5"/>
  <c r="C107" i="5"/>
  <c r="C113" i="5"/>
  <c r="C103" i="5"/>
  <c r="J18" i="5"/>
  <c r="C95" i="5"/>
  <c r="C110" i="5"/>
  <c r="W14" i="5"/>
  <c r="C105" i="5"/>
  <c r="C111" i="5"/>
  <c r="W10" i="5"/>
  <c r="C92" i="5"/>
  <c r="J9" i="5"/>
  <c r="C101" i="5"/>
  <c r="J19" i="5"/>
  <c r="S5" i="15"/>
  <c r="CM37" i="14"/>
  <c r="CJ2" i="14"/>
  <c r="CI2" i="14" s="1"/>
  <c r="CL4" i="14"/>
  <c r="CK4" i="14" s="1"/>
  <c r="CJ3" i="14"/>
  <c r="CI3" i="14" s="1"/>
  <c r="CL3" i="14"/>
  <c r="CK3" i="14" s="1"/>
  <c r="CJ4" i="14"/>
  <c r="CI4" i="14" s="1"/>
  <c r="CL2" i="14"/>
  <c r="CK2" i="14" s="1"/>
  <c r="S8" i="15"/>
  <c r="S4" i="15"/>
  <c r="S15" i="15"/>
  <c r="S14" i="15"/>
  <c r="S16" i="15"/>
  <c r="AN2" i="14"/>
  <c r="AM2" i="14" s="1"/>
  <c r="BH4" i="14"/>
  <c r="BG4" i="14" s="1"/>
  <c r="BF2" i="14"/>
  <c r="BE2" i="14" s="1"/>
  <c r="BH3" i="14"/>
  <c r="BG3" i="14" s="1"/>
  <c r="BF3" i="14"/>
  <c r="BE3" i="14" s="1"/>
  <c r="BH2" i="14"/>
  <c r="BG2" i="14" s="1"/>
  <c r="BI37" i="14"/>
  <c r="BF4" i="14"/>
  <c r="BE4" i="14" s="1"/>
  <c r="S7" i="15"/>
  <c r="S9" i="15"/>
  <c r="S12" i="15"/>
  <c r="S13" i="15"/>
  <c r="S10" i="15"/>
  <c r="S11" i="15"/>
  <c r="S6" i="15"/>
  <c r="AN4" i="14"/>
  <c r="AM4" i="14" s="1"/>
  <c r="AN3" i="14"/>
  <c r="AM3" i="14" s="1"/>
  <c r="AL4" i="14"/>
  <c r="AK4" i="14" s="1"/>
  <c r="AL2" i="14"/>
  <c r="AK2" i="14" s="1"/>
  <c r="AL3" i="14"/>
  <c r="AK3" i="14" s="1"/>
  <c r="AO37" i="14"/>
  <c r="CB3" i="14"/>
  <c r="CA3" i="14" s="1"/>
  <c r="BZ3" i="14"/>
  <c r="BY3" i="14" s="1"/>
  <c r="CC37" i="14"/>
  <c r="CB2" i="14"/>
  <c r="CA2" i="14" s="1"/>
  <c r="BZ4" i="14"/>
  <c r="BY4" i="14" s="1"/>
  <c r="BZ2" i="14"/>
  <c r="BY2" i="14" s="1"/>
  <c r="AX2" i="14"/>
  <c r="AW2" i="14" s="1"/>
  <c r="AY37" i="14"/>
  <c r="AV2" i="14"/>
  <c r="AU2" i="14" s="1"/>
  <c r="AX4" i="14"/>
  <c r="AW4" i="14" s="1"/>
  <c r="AV4" i="14"/>
  <c r="AU4" i="14" s="1"/>
  <c r="AX3" i="14"/>
  <c r="AW3" i="14" s="1"/>
  <c r="AV3" i="14"/>
  <c r="AU3" i="14" s="1"/>
  <c r="BR2" i="14"/>
  <c r="BQ2" i="14" s="1"/>
  <c r="BS37" i="14"/>
  <c r="BP3" i="14"/>
  <c r="BO3" i="14" s="1"/>
  <c r="BR4" i="14"/>
  <c r="BQ4" i="14" s="1"/>
  <c r="BP2" i="14"/>
  <c r="BO2" i="14" s="1"/>
  <c r="BR3" i="14"/>
  <c r="BQ3" i="14" s="1"/>
  <c r="BP4" i="14"/>
  <c r="BO4" i="14" s="1"/>
  <c r="S2" i="15"/>
  <c r="S3" i="15"/>
  <c r="BW3" i="14"/>
  <c r="BV3" i="14" s="1"/>
  <c r="BU2" i="14"/>
  <c r="BT2" i="14" s="1"/>
  <c r="BW2" i="14"/>
  <c r="BV2" i="14" s="1"/>
  <c r="BX37" i="14"/>
  <c r="BU4" i="14"/>
  <c r="BT4" i="14" s="1"/>
  <c r="BW4" i="14"/>
  <c r="BV4" i="14" s="1"/>
  <c r="BU3" i="14"/>
  <c r="BT3" i="14" s="1"/>
  <c r="BC3" i="14"/>
  <c r="BB3" i="14" s="1"/>
  <c r="BA2" i="14"/>
  <c r="AZ2" i="14" s="1"/>
  <c r="BC2" i="14"/>
  <c r="BB2" i="14" s="1"/>
  <c r="BD37" i="14"/>
  <c r="BA4" i="14"/>
  <c r="AZ4" i="14" s="1"/>
  <c r="BC4" i="14"/>
  <c r="BB4" i="14" s="1"/>
  <c r="BA3" i="14"/>
  <c r="AZ3" i="14" s="1"/>
  <c r="BN37" i="14"/>
  <c r="BK3" i="14"/>
  <c r="BJ3" i="14" s="1"/>
  <c r="BM4" i="14"/>
  <c r="BL4" i="14" s="1"/>
  <c r="BK2" i="14"/>
  <c r="BJ2" i="14" s="1"/>
  <c r="BM3" i="14"/>
  <c r="BL3" i="14" s="1"/>
  <c r="BK4" i="14"/>
  <c r="BJ4" i="14" s="1"/>
  <c r="BM2" i="14"/>
  <c r="BL2" i="14" s="1"/>
  <c r="CB4" i="14"/>
  <c r="CA4" i="14" s="1"/>
  <c r="CG4" i="14"/>
  <c r="CF4" i="14" s="1"/>
  <c r="CE2" i="14"/>
  <c r="CD2" i="14" s="1"/>
  <c r="CG3" i="14"/>
  <c r="CF3" i="14" s="1"/>
  <c r="CE3" i="14"/>
  <c r="CD3" i="14" s="1"/>
  <c r="CG2" i="14"/>
  <c r="CF2" i="14" s="1"/>
  <c r="CH37" i="14"/>
  <c r="CE4" i="14"/>
  <c r="CD4" i="14" s="1"/>
  <c r="AS3" i="14"/>
  <c r="AR3" i="14" s="1"/>
  <c r="AS2" i="14"/>
  <c r="AR2" i="14" s="1"/>
  <c r="AS4" i="14"/>
  <c r="AR4" i="14" s="1"/>
  <c r="AQ3" i="14"/>
  <c r="AP3" i="14" s="1"/>
  <c r="AQ4" i="14"/>
  <c r="AP4" i="14" s="1"/>
  <c r="AQ2" i="14"/>
  <c r="AP2" i="14" s="1"/>
  <c r="AT37" i="14"/>
  <c r="I7" i="5"/>
  <c r="C122" i="16"/>
  <c r="C121" i="16"/>
  <c r="C125" i="16"/>
  <c r="C126" i="16"/>
  <c r="G63" i="16"/>
  <c r="D124" i="16" s="1"/>
  <c r="G52" i="16"/>
  <c r="D123" i="16" s="1"/>
  <c r="I14" i="5"/>
  <c r="AJ18" i="14"/>
  <c r="AJ37" i="14" s="1"/>
  <c r="AD3" i="14"/>
  <c r="AC3" i="14" s="1"/>
  <c r="AD4" i="14"/>
  <c r="AC4" i="14" s="1"/>
  <c r="AB3" i="14"/>
  <c r="AA3" i="14" s="1"/>
  <c r="AB4" i="14"/>
  <c r="AA4" i="14" s="1"/>
  <c r="Z34" i="14"/>
  <c r="H3" i="15" s="1"/>
  <c r="Z29" i="14"/>
  <c r="H16" i="15" s="1"/>
  <c r="Z12" i="14"/>
  <c r="H2" i="15" s="1"/>
  <c r="Z8" i="14"/>
  <c r="H6" i="15" s="1"/>
  <c r="AD2" i="14"/>
  <c r="AC2" i="14" s="1"/>
  <c r="Z22" i="14"/>
  <c r="H4" i="15" s="1"/>
  <c r="Z21" i="14"/>
  <c r="R8" i="15" s="1"/>
  <c r="Z19" i="14"/>
  <c r="R5" i="15" s="1"/>
  <c r="Z13" i="14"/>
  <c r="R7" i="15" s="1"/>
  <c r="AE37" i="14"/>
  <c r="Z17" i="14"/>
  <c r="R9" i="15" s="1"/>
  <c r="Z14" i="14"/>
  <c r="R12" i="15" s="1"/>
  <c r="Z25" i="14"/>
  <c r="R13" i="15" s="1"/>
  <c r="Z9" i="14"/>
  <c r="H15" i="15" s="1"/>
  <c r="Z27" i="14"/>
  <c r="R4" i="15" s="1"/>
  <c r="Z30" i="14"/>
  <c r="R15" i="15" s="1"/>
  <c r="Z24" i="14"/>
  <c r="R14" i="15" s="1"/>
  <c r="Z20" i="14"/>
  <c r="R16" i="15" s="1"/>
  <c r="Z18" i="14"/>
  <c r="H8" i="15" s="1"/>
  <c r="Z11" i="14"/>
  <c r="H10" i="15" s="1"/>
  <c r="Z10" i="14"/>
  <c r="H7" i="15" s="1"/>
  <c r="Z33" i="14"/>
  <c r="R3" i="15" s="1"/>
  <c r="R4" i="14"/>
  <c r="Q4" i="14" s="1"/>
  <c r="T4" i="14"/>
  <c r="S4" i="14" s="1"/>
  <c r="T2" i="14"/>
  <c r="S2" i="14" s="1"/>
  <c r="R3" i="14"/>
  <c r="Q3" i="14" s="1"/>
  <c r="T3" i="14"/>
  <c r="S3" i="14" s="1"/>
  <c r="R2" i="14"/>
  <c r="Q2" i="14" s="1"/>
  <c r="U37" i="14"/>
  <c r="Z28" i="14"/>
  <c r="H12" i="15" s="1"/>
  <c r="Z16" i="14"/>
  <c r="R2" i="15" s="1"/>
  <c r="Z15" i="14"/>
  <c r="H9" i="15" s="1"/>
  <c r="O4" i="14"/>
  <c r="N4" i="14" s="1"/>
  <c r="M3" i="14"/>
  <c r="L3" i="14" s="1"/>
  <c r="M2" i="14"/>
  <c r="L2" i="14" s="1"/>
  <c r="M4" i="14"/>
  <c r="L4" i="14" s="1"/>
  <c r="O2" i="14"/>
  <c r="N2" i="14" s="1"/>
  <c r="O3" i="14"/>
  <c r="N3" i="14" s="1"/>
  <c r="P37" i="14"/>
  <c r="Z23" i="14"/>
  <c r="H13" i="15" s="1"/>
  <c r="Z26" i="14"/>
  <c r="H14" i="15" s="1"/>
  <c r="Z7" i="14"/>
  <c r="H5" i="15" s="1"/>
  <c r="Z35" i="14"/>
  <c r="R10" i="15" s="1"/>
  <c r="Z36" i="14"/>
  <c r="H11" i="15" s="1"/>
  <c r="Z32" i="14"/>
  <c r="R11" i="15" s="1"/>
  <c r="Z31" i="14"/>
  <c r="R6" i="15" s="1"/>
  <c r="AB2" i="14"/>
  <c r="AA2" i="14" s="1"/>
  <c r="J3" i="14"/>
  <c r="I3" i="14" s="1"/>
  <c r="H2" i="14"/>
  <c r="G2" i="14" s="1"/>
  <c r="J2" i="14"/>
  <c r="I2" i="14" s="1"/>
  <c r="J4" i="14"/>
  <c r="I4" i="14" s="1"/>
  <c r="H3" i="14"/>
  <c r="G3" i="14" s="1"/>
  <c r="H4" i="14"/>
  <c r="G4" i="14" s="1"/>
  <c r="K37" i="14"/>
  <c r="N38" i="4"/>
  <c r="R90" i="5"/>
  <c r="P90" i="5" s="1"/>
  <c r="Q90" i="5" s="1"/>
  <c r="U90" i="5"/>
  <c r="R97" i="5"/>
  <c r="P97" i="5" s="1"/>
  <c r="Q97" i="5" s="1"/>
  <c r="U91" i="5"/>
  <c r="R96" i="5"/>
  <c r="P96" i="5" s="1"/>
  <c r="Q96" i="5" s="1"/>
  <c r="U97" i="5"/>
  <c r="R92" i="5"/>
  <c r="P92" i="5" s="1"/>
  <c r="Q92" i="5" s="1"/>
  <c r="U94" i="5"/>
  <c r="R95" i="5"/>
  <c r="P95" i="5" s="1"/>
  <c r="Q95" i="5" s="1"/>
  <c r="U95" i="5"/>
  <c r="R93" i="5"/>
  <c r="P93" i="5" s="1"/>
  <c r="Q93" i="5" s="1"/>
  <c r="U92" i="5"/>
  <c r="R94" i="5"/>
  <c r="P94" i="5" s="1"/>
  <c r="Q94" i="5" s="1"/>
  <c r="U93" i="5"/>
  <c r="R91" i="5"/>
  <c r="P91" i="5" s="1"/>
  <c r="Q91" i="5" s="1"/>
  <c r="U96" i="5"/>
  <c r="N44" i="4"/>
  <c r="N45" i="4"/>
  <c r="N51" i="4"/>
  <c r="N41" i="4"/>
  <c r="N33" i="4"/>
  <c r="N35" i="4"/>
  <c r="N61" i="4"/>
  <c r="N55" i="4"/>
  <c r="N59" i="4"/>
  <c r="N56" i="4"/>
  <c r="N57" i="4"/>
  <c r="N34" i="4"/>
  <c r="J8" i="5"/>
  <c r="W11" i="5"/>
  <c r="W19" i="5"/>
  <c r="W17" i="5"/>
  <c r="I15" i="5"/>
  <c r="W13" i="5"/>
  <c r="J57" i="4"/>
  <c r="J53" i="4"/>
  <c r="J54" i="4"/>
  <c r="J49" i="4"/>
  <c r="J42" i="4"/>
  <c r="J47" i="4"/>
  <c r="J62" i="4"/>
  <c r="J52" i="4"/>
  <c r="J36" i="4"/>
  <c r="J48" i="4"/>
  <c r="J58" i="4"/>
  <c r="J43" i="4"/>
  <c r="J34" i="4"/>
  <c r="J38" i="4"/>
  <c r="J39" i="4"/>
  <c r="J59" i="4"/>
  <c r="J50" i="4"/>
  <c r="J60" i="4"/>
  <c r="J40" i="4"/>
  <c r="J46" i="4"/>
  <c r="J41" i="4"/>
  <c r="J55" i="4"/>
  <c r="J37" i="4"/>
  <c r="J44" i="4"/>
  <c r="J56" i="4"/>
  <c r="J35" i="4"/>
  <c r="J45" i="4"/>
  <c r="J51" i="4"/>
  <c r="J61" i="4"/>
  <c r="J13" i="5"/>
  <c r="J6" i="5"/>
  <c r="J11" i="5"/>
  <c r="V11" i="5"/>
  <c r="V17" i="5"/>
  <c r="V20" i="5"/>
  <c r="V6" i="5"/>
  <c r="V13" i="5"/>
  <c r="W8" i="5"/>
  <c r="W15" i="5"/>
  <c r="J7" i="5"/>
  <c r="I11" i="5"/>
  <c r="I9" i="5"/>
  <c r="J15" i="5"/>
  <c r="R116" i="5"/>
  <c r="P116" i="5" s="1"/>
  <c r="Q116" i="5" s="1"/>
  <c r="R110" i="5"/>
  <c r="P110" i="5" s="1"/>
  <c r="Q110" i="5" s="1"/>
  <c r="R112" i="5"/>
  <c r="P112" i="5" s="1"/>
  <c r="Q112" i="5" s="1"/>
  <c r="R108" i="5"/>
  <c r="P108" i="5" s="1"/>
  <c r="Q108" i="5" s="1"/>
  <c r="R119" i="5"/>
  <c r="P119" i="5" s="1"/>
  <c r="Q119" i="5" s="1"/>
  <c r="R118" i="5"/>
  <c r="P118" i="5" s="1"/>
  <c r="Q118" i="5" s="1"/>
  <c r="R117" i="5"/>
  <c r="P117" i="5" s="1"/>
  <c r="Q117" i="5" s="1"/>
  <c r="R111" i="5"/>
  <c r="P111" i="5" s="1"/>
  <c r="Q111" i="5" s="1"/>
  <c r="R109" i="5"/>
  <c r="P109" i="5" s="1"/>
  <c r="Q109" i="5" s="1"/>
  <c r="R122" i="5"/>
  <c r="P122" i="5" s="1"/>
  <c r="Q122" i="5" s="1"/>
  <c r="R121" i="5"/>
  <c r="P121" i="5" s="1"/>
  <c r="Q121" i="5" s="1"/>
  <c r="R120" i="5"/>
  <c r="P120" i="5" s="1"/>
  <c r="Q120" i="5" s="1"/>
  <c r="R115" i="5"/>
  <c r="P115" i="5" s="1"/>
  <c r="Q115" i="5" s="1"/>
  <c r="R114" i="5"/>
  <c r="P114" i="5" s="1"/>
  <c r="Q114" i="5" s="1"/>
  <c r="R113" i="5"/>
  <c r="P113" i="5" s="1"/>
  <c r="Q113" i="5" s="1"/>
  <c r="P99" i="5"/>
  <c r="Q99" i="5" s="1"/>
  <c r="P102" i="5"/>
  <c r="Q102" i="5" s="1"/>
  <c r="P98" i="5"/>
  <c r="Q98" i="5" s="1"/>
  <c r="P100" i="5"/>
  <c r="Q100" i="5" s="1"/>
  <c r="P101" i="5"/>
  <c r="Q101" i="5" s="1"/>
  <c r="P104" i="5"/>
  <c r="Q104" i="5" s="1"/>
  <c r="P103" i="5"/>
  <c r="Q103" i="5" s="1"/>
  <c r="I13" i="5"/>
  <c r="N62" i="4" l="1"/>
  <c r="K16" i="2"/>
  <c r="J20" i="5" s="1"/>
  <c r="N53" i="4"/>
  <c r="K6" i="2"/>
  <c r="J10" i="5" s="1"/>
  <c r="C114" i="5"/>
  <c r="C93" i="5"/>
  <c r="C90" i="5"/>
  <c r="C115" i="5"/>
  <c r="C112" i="5"/>
  <c r="W20" i="5"/>
  <c r="W9" i="5"/>
  <c r="J18" i="15"/>
  <c r="J17" i="5"/>
  <c r="N54" i="4"/>
  <c r="N40" i="4"/>
  <c r="N58" i="4"/>
  <c r="C104" i="5"/>
  <c r="C100" i="5"/>
  <c r="C96" i="5"/>
  <c r="N50" i="4"/>
  <c r="N47" i="4"/>
  <c r="N37" i="4"/>
  <c r="X17" i="5"/>
  <c r="X15" i="5"/>
  <c r="V8" i="5"/>
  <c r="X7" i="5"/>
  <c r="X18" i="5"/>
  <c r="X9" i="5"/>
  <c r="K11" i="5"/>
  <c r="K14" i="5"/>
  <c r="K12" i="5"/>
  <c r="K20" i="5"/>
  <c r="W7" i="5"/>
  <c r="W18" i="5"/>
  <c r="N46" i="4"/>
  <c r="N39" i="4"/>
  <c r="W12" i="5"/>
  <c r="N36" i="4"/>
  <c r="C106" i="5"/>
  <c r="J33" i="5"/>
  <c r="H33" i="5" s="1"/>
  <c r="C118" i="5"/>
  <c r="I12" i="5"/>
  <c r="K17" i="5"/>
  <c r="K16" i="5"/>
  <c r="K10" i="5"/>
  <c r="K13" i="5"/>
  <c r="K18" i="5"/>
  <c r="I17" i="5"/>
  <c r="X8" i="5"/>
  <c r="AI2" i="14"/>
  <c r="AH2" i="14" s="1"/>
  <c r="C117" i="5"/>
  <c r="X20" i="5"/>
  <c r="K7" i="5"/>
  <c r="V18" i="5"/>
  <c r="X10" i="5"/>
  <c r="X14" i="5"/>
  <c r="X19" i="5"/>
  <c r="X16" i="5"/>
  <c r="W6" i="5"/>
  <c r="X6" i="5"/>
  <c r="O29" i="5" s="1"/>
  <c r="X12" i="5"/>
  <c r="V16" i="5"/>
  <c r="X11" i="5"/>
  <c r="X13" i="5"/>
  <c r="K31" i="4"/>
  <c r="J12" i="5"/>
  <c r="J4" i="4"/>
  <c r="C98" i="5"/>
  <c r="K6" i="5"/>
  <c r="B31" i="5" s="1"/>
  <c r="E31" i="5" s="1"/>
  <c r="C31" i="5" s="1"/>
  <c r="D31" i="5" s="1"/>
  <c r="J35" i="5"/>
  <c r="H35" i="5" s="1"/>
  <c r="N42" i="4"/>
  <c r="C119" i="5"/>
  <c r="K15" i="5"/>
  <c r="K8" i="5"/>
  <c r="J36" i="5"/>
  <c r="H36" i="5" s="1"/>
  <c r="J32" i="5"/>
  <c r="H32" i="5" s="1"/>
  <c r="I16" i="5"/>
  <c r="K19" i="5"/>
  <c r="J37" i="5"/>
  <c r="H37" i="5" s="1"/>
  <c r="J31" i="5"/>
  <c r="H31" i="5" s="1"/>
  <c r="J3" i="4"/>
  <c r="K5" i="4" s="1"/>
  <c r="K9" i="5"/>
  <c r="AI4" i="14"/>
  <c r="AH4" i="14" s="1"/>
  <c r="AI3" i="14"/>
  <c r="AH3" i="14" s="1"/>
  <c r="AG4" i="14"/>
  <c r="AF4" i="14" s="1"/>
  <c r="AG2" i="14"/>
  <c r="AF2" i="14" s="1"/>
  <c r="AG3" i="14"/>
  <c r="AF3" i="14" s="1"/>
  <c r="C123" i="16"/>
  <c r="C124" i="16"/>
  <c r="G56" i="16"/>
  <c r="D131" i="16" s="1"/>
  <c r="D18" i="15"/>
  <c r="H18" i="15" s="1"/>
  <c r="I5" i="15"/>
  <c r="I6" i="15"/>
  <c r="I8" i="15"/>
  <c r="I14" i="15"/>
  <c r="I9" i="15"/>
  <c r="I12" i="15"/>
  <c r="I2" i="15"/>
  <c r="I3" i="15"/>
  <c r="I13" i="15"/>
  <c r="I10" i="15"/>
  <c r="I4" i="15"/>
  <c r="I16" i="15"/>
  <c r="I11" i="15"/>
  <c r="Y2" i="14"/>
  <c r="X2" i="14" s="1"/>
  <c r="W4" i="14"/>
  <c r="V4" i="14" s="1"/>
  <c r="Y3" i="14"/>
  <c r="X3" i="14" s="1"/>
  <c r="W2" i="14"/>
  <c r="V2" i="14" s="1"/>
  <c r="Y4" i="14"/>
  <c r="X4" i="14" s="1"/>
  <c r="W3" i="14"/>
  <c r="V3" i="14" s="1"/>
  <c r="Z37" i="14"/>
  <c r="I7" i="15"/>
  <c r="I15" i="15"/>
  <c r="J31" i="4"/>
  <c r="AA43" i="5" l="1"/>
  <c r="L31" i="4"/>
  <c r="M33" i="4" s="1"/>
  <c r="O30" i="5"/>
  <c r="O38" i="5"/>
  <c r="O32" i="5"/>
  <c r="O31" i="5"/>
  <c r="R29" i="5"/>
  <c r="P29" i="5" s="1"/>
  <c r="Q29" i="5" s="1"/>
  <c r="O37" i="5"/>
  <c r="O42" i="5"/>
  <c r="O35" i="5"/>
  <c r="O41" i="5"/>
  <c r="O40" i="5"/>
  <c r="O33" i="5"/>
  <c r="O43" i="5"/>
  <c r="B37" i="5"/>
  <c r="B39" i="5"/>
  <c r="B29" i="5"/>
  <c r="B40" i="5"/>
  <c r="B43" i="5"/>
  <c r="B32" i="5"/>
  <c r="B33" i="5"/>
  <c r="B35" i="5"/>
  <c r="B30" i="5"/>
  <c r="O39" i="5"/>
  <c r="O34" i="5"/>
  <c r="O36" i="5"/>
  <c r="O66" i="5"/>
  <c r="B38" i="5"/>
  <c r="B42" i="5"/>
  <c r="B34" i="5"/>
  <c r="B36" i="5"/>
  <c r="B41" i="5"/>
  <c r="G21" i="15"/>
  <c r="G55" i="15" s="1"/>
  <c r="K21" i="15"/>
  <c r="O21" i="15"/>
  <c r="O55" i="15" s="1"/>
  <c r="S21" i="15"/>
  <c r="S55" i="15" s="1"/>
  <c r="W21" i="15"/>
  <c r="W55" i="15" s="1"/>
  <c r="AA21" i="15"/>
  <c r="AA55" i="15" s="1"/>
  <c r="AE21" i="15"/>
  <c r="E22" i="15"/>
  <c r="E56" i="15" s="1"/>
  <c r="I22" i="15"/>
  <c r="I56" i="15" s="1"/>
  <c r="M22" i="15"/>
  <c r="Q22" i="15"/>
  <c r="U22" i="15"/>
  <c r="U56" i="15" s="1"/>
  <c r="Y22" i="15"/>
  <c r="Y56" i="15" s="1"/>
  <c r="AC22" i="15"/>
  <c r="AC56" i="15" s="1"/>
  <c r="AG22" i="15"/>
  <c r="AG56" i="15" s="1"/>
  <c r="G23" i="15"/>
  <c r="G57" i="15" s="1"/>
  <c r="K23" i="15"/>
  <c r="K57" i="15" s="1"/>
  <c r="O23" i="15"/>
  <c r="S23" i="15"/>
  <c r="S57" i="15" s="1"/>
  <c r="W23" i="15"/>
  <c r="W57" i="15" s="1"/>
  <c r="AA23" i="15"/>
  <c r="AA57" i="15" s="1"/>
  <c r="AE23" i="15"/>
  <c r="AE57" i="15" s="1"/>
  <c r="E24" i="15"/>
  <c r="I24" i="15"/>
  <c r="I58" i="15" s="1"/>
  <c r="M24" i="15"/>
  <c r="M58" i="15" s="1"/>
  <c r="Q24" i="15"/>
  <c r="U24" i="15"/>
  <c r="U58" i="15" s="1"/>
  <c r="Y24" i="15"/>
  <c r="Y58" i="15" s="1"/>
  <c r="AC24" i="15"/>
  <c r="AC58" i="15" s="1"/>
  <c r="AG24" i="15"/>
  <c r="AG58" i="15" s="1"/>
  <c r="G25" i="15"/>
  <c r="K25" i="15"/>
  <c r="K59" i="15" s="1"/>
  <c r="O25" i="15"/>
  <c r="O59" i="15" s="1"/>
  <c r="S25" i="15"/>
  <c r="W25" i="15"/>
  <c r="AA25" i="15"/>
  <c r="AA59" i="15" s="1"/>
  <c r="AE25" i="15"/>
  <c r="AE59" i="15" s="1"/>
  <c r="E26" i="15"/>
  <c r="I26" i="15"/>
  <c r="I60" i="15" s="1"/>
  <c r="M26" i="15"/>
  <c r="M60" i="15" s="1"/>
  <c r="Q26" i="15"/>
  <c r="Q60" i="15" s="1"/>
  <c r="U26" i="15"/>
  <c r="Y26" i="15"/>
  <c r="Y60" i="15" s="1"/>
  <c r="AC26" i="15"/>
  <c r="AC60" i="15" s="1"/>
  <c r="AG26" i="15"/>
  <c r="AG60" i="15" s="1"/>
  <c r="G27" i="15"/>
  <c r="G61" i="15" s="1"/>
  <c r="K27" i="15"/>
  <c r="O27" i="15"/>
  <c r="O61" i="15" s="1"/>
  <c r="S27" i="15"/>
  <c r="S61" i="15" s="1"/>
  <c r="W27" i="15"/>
  <c r="W61" i="15" s="1"/>
  <c r="AA27" i="15"/>
  <c r="AA61" i="15" s="1"/>
  <c r="AE27" i="15"/>
  <c r="AE61" i="15" s="1"/>
  <c r="E28" i="15"/>
  <c r="E62" i="15" s="1"/>
  <c r="I28" i="15"/>
  <c r="I62" i="15" s="1"/>
  <c r="M28" i="15"/>
  <c r="M62" i="15" s="1"/>
  <c r="Q28" i="15"/>
  <c r="Q62" i="15" s="1"/>
  <c r="U28" i="15"/>
  <c r="U62" i="15" s="1"/>
  <c r="Y28" i="15"/>
  <c r="Y62" i="15" s="1"/>
  <c r="AC28" i="15"/>
  <c r="AC62" i="15" s="1"/>
  <c r="AG28" i="15"/>
  <c r="AG62" i="15" s="1"/>
  <c r="G29" i="15"/>
  <c r="G63" i="15" s="1"/>
  <c r="K29" i="15"/>
  <c r="K63" i="15" s="1"/>
  <c r="O29" i="15"/>
  <c r="O63" i="15" s="1"/>
  <c r="S29" i="15"/>
  <c r="S63" i="15" s="1"/>
  <c r="W29" i="15"/>
  <c r="W63" i="15" s="1"/>
  <c r="AA29" i="15"/>
  <c r="AA63" i="15" s="1"/>
  <c r="AE29" i="15"/>
  <c r="AE63" i="15" s="1"/>
  <c r="E30" i="15"/>
  <c r="E64" i="15" s="1"/>
  <c r="I30" i="15"/>
  <c r="I64" i="15" s="1"/>
  <c r="M30" i="15"/>
  <c r="M64" i="15" s="1"/>
  <c r="Q30" i="15"/>
  <c r="Q64" i="15" s="1"/>
  <c r="U30" i="15"/>
  <c r="U64" i="15" s="1"/>
  <c r="Y30" i="15"/>
  <c r="Y64" i="15" s="1"/>
  <c r="AC30" i="15"/>
  <c r="AG30" i="15"/>
  <c r="AG64" i="15" s="1"/>
  <c r="G31" i="15"/>
  <c r="G65" i="15" s="1"/>
  <c r="K31" i="15"/>
  <c r="K65" i="15" s="1"/>
  <c r="O31" i="15"/>
  <c r="S31" i="15"/>
  <c r="S65" i="15" s="1"/>
  <c r="W31" i="15"/>
  <c r="W65" i="15" s="1"/>
  <c r="AA31" i="15"/>
  <c r="AA65" i="15" s="1"/>
  <c r="AE31" i="15"/>
  <c r="AE65" i="15" s="1"/>
  <c r="E32" i="15"/>
  <c r="E66" i="15" s="1"/>
  <c r="I32" i="15"/>
  <c r="I66" i="15" s="1"/>
  <c r="M32" i="15"/>
  <c r="M66" i="15" s="1"/>
  <c r="E21" i="15"/>
  <c r="E55" i="15" s="1"/>
  <c r="J21" i="15"/>
  <c r="J55" i="15" s="1"/>
  <c r="P21" i="15"/>
  <c r="P55" i="15" s="1"/>
  <c r="U21" i="15"/>
  <c r="U55" i="15" s="1"/>
  <c r="Z21" i="15"/>
  <c r="AF21" i="15"/>
  <c r="AF55" i="15" s="1"/>
  <c r="G22" i="15"/>
  <c r="G56" i="15" s="1"/>
  <c r="L22" i="15"/>
  <c r="L56" i="15" s="1"/>
  <c r="R22" i="15"/>
  <c r="R56" i="15" s="1"/>
  <c r="W22" i="15"/>
  <c r="AB22" i="15"/>
  <c r="AB56" i="15" s="1"/>
  <c r="AH22" i="15"/>
  <c r="AH56" i="15" s="1"/>
  <c r="I23" i="15"/>
  <c r="I57" i="15" s="1"/>
  <c r="N23" i="15"/>
  <c r="N57" i="15" s="1"/>
  <c r="T23" i="15"/>
  <c r="T57" i="15" s="1"/>
  <c r="Y23" i="15"/>
  <c r="Y57" i="15" s="1"/>
  <c r="AD23" i="15"/>
  <c r="AD57" i="15" s="1"/>
  <c r="F24" i="15"/>
  <c r="F58" i="15" s="1"/>
  <c r="K24" i="15"/>
  <c r="K58" i="15" s="1"/>
  <c r="P24" i="15"/>
  <c r="P58" i="15" s="1"/>
  <c r="V24" i="15"/>
  <c r="V58" i="15" s="1"/>
  <c r="AA24" i="15"/>
  <c r="AA58" i="15" s="1"/>
  <c r="AF24" i="15"/>
  <c r="AF58" i="15" s="1"/>
  <c r="H25" i="15"/>
  <c r="H59" i="15" s="1"/>
  <c r="M25" i="15"/>
  <c r="M59" i="15" s="1"/>
  <c r="R25" i="15"/>
  <c r="R59" i="15" s="1"/>
  <c r="X25" i="15"/>
  <c r="X59" i="15" s="1"/>
  <c r="AC25" i="15"/>
  <c r="AC59" i="15" s="1"/>
  <c r="AH25" i="15"/>
  <c r="AH59" i="15" s="1"/>
  <c r="J26" i="15"/>
  <c r="J60" i="15" s="1"/>
  <c r="O26" i="15"/>
  <c r="O60" i="15" s="1"/>
  <c r="T26" i="15"/>
  <c r="T60" i="15" s="1"/>
  <c r="Z26" i="15"/>
  <c r="Z60" i="15" s="1"/>
  <c r="AE26" i="15"/>
  <c r="AE60" i="15" s="1"/>
  <c r="F27" i="15"/>
  <c r="F61" i="15" s="1"/>
  <c r="L27" i="15"/>
  <c r="L61" i="15" s="1"/>
  <c r="Q27" i="15"/>
  <c r="Q61" i="15" s="1"/>
  <c r="V27" i="15"/>
  <c r="AB27" i="15"/>
  <c r="AB61" i="15" s="1"/>
  <c r="AG27" i="15"/>
  <c r="AG61" i="15" s="1"/>
  <c r="H28" i="15"/>
  <c r="H62" i="15" s="1"/>
  <c r="N28" i="15"/>
  <c r="N62" i="15" s="1"/>
  <c r="S28" i="15"/>
  <c r="S62" i="15" s="1"/>
  <c r="X28" i="15"/>
  <c r="X62" i="15" s="1"/>
  <c r="AD28" i="15"/>
  <c r="AD62" i="15" s="1"/>
  <c r="E29" i="15"/>
  <c r="E63" i="15" s="1"/>
  <c r="J29" i="15"/>
  <c r="J63" i="15" s="1"/>
  <c r="P29" i="15"/>
  <c r="P63" i="15" s="1"/>
  <c r="U29" i="15"/>
  <c r="U63" i="15" s="1"/>
  <c r="Z29" i="15"/>
  <c r="Z63" i="15" s="1"/>
  <c r="AF29" i="15"/>
  <c r="AF63" i="15" s="1"/>
  <c r="G30" i="15"/>
  <c r="G64" i="15" s="1"/>
  <c r="L30" i="15"/>
  <c r="L64" i="15" s="1"/>
  <c r="R30" i="15"/>
  <c r="R64" i="15" s="1"/>
  <c r="W30" i="15"/>
  <c r="W64" i="15" s="1"/>
  <c r="AB30" i="15"/>
  <c r="AB64" i="15" s="1"/>
  <c r="AH30" i="15"/>
  <c r="AH64" i="15" s="1"/>
  <c r="I31" i="15"/>
  <c r="I65" i="15" s="1"/>
  <c r="N31" i="15"/>
  <c r="N65" i="15" s="1"/>
  <c r="T31" i="15"/>
  <c r="T65" i="15" s="1"/>
  <c r="Y31" i="15"/>
  <c r="Y65" i="15" s="1"/>
  <c r="AD31" i="15"/>
  <c r="AD65" i="15" s="1"/>
  <c r="F32" i="15"/>
  <c r="F66" i="15" s="1"/>
  <c r="K32" i="15"/>
  <c r="K66" i="15" s="1"/>
  <c r="P32" i="15"/>
  <c r="P66" i="15" s="1"/>
  <c r="T32" i="15"/>
  <c r="T66" i="15" s="1"/>
  <c r="X32" i="15"/>
  <c r="X66" i="15" s="1"/>
  <c r="AB32" i="15"/>
  <c r="AB66" i="15" s="1"/>
  <c r="AF32" i="15"/>
  <c r="AF66" i="15" s="1"/>
  <c r="F33" i="15"/>
  <c r="F67" i="15" s="1"/>
  <c r="J33" i="15"/>
  <c r="J67" i="15" s="1"/>
  <c r="N33" i="15"/>
  <c r="N67" i="15" s="1"/>
  <c r="R33" i="15"/>
  <c r="R67" i="15" s="1"/>
  <c r="V33" i="15"/>
  <c r="V67" i="15" s="1"/>
  <c r="Z33" i="15"/>
  <c r="Z67" i="15" s="1"/>
  <c r="AD33" i="15"/>
  <c r="AD67" i="15" s="1"/>
  <c r="AH33" i="15"/>
  <c r="AH67" i="15" s="1"/>
  <c r="H34" i="15"/>
  <c r="H68" i="15" s="1"/>
  <c r="L34" i="15"/>
  <c r="L68" i="15" s="1"/>
  <c r="P34" i="15"/>
  <c r="P68" i="15" s="1"/>
  <c r="T34" i="15"/>
  <c r="T68" i="15" s="1"/>
  <c r="X34" i="15"/>
  <c r="X68" i="15" s="1"/>
  <c r="AB34" i="15"/>
  <c r="AB68" i="15" s="1"/>
  <c r="AF34" i="15"/>
  <c r="AF68" i="15" s="1"/>
  <c r="F35" i="15"/>
  <c r="F69" i="15" s="1"/>
  <c r="F21" i="15"/>
  <c r="F55" i="15" s="1"/>
  <c r="L21" i="15"/>
  <c r="L55" i="15" s="1"/>
  <c r="Q21" i="15"/>
  <c r="Q55" i="15" s="1"/>
  <c r="V21" i="15"/>
  <c r="V55" i="15" s="1"/>
  <c r="AB21" i="15"/>
  <c r="AB55" i="15" s="1"/>
  <c r="AG21" i="15"/>
  <c r="AG55" i="15" s="1"/>
  <c r="H22" i="15"/>
  <c r="H56" i="15" s="1"/>
  <c r="N22" i="15"/>
  <c r="N56" i="15" s="1"/>
  <c r="S22" i="15"/>
  <c r="S56" i="15" s="1"/>
  <c r="X22" i="15"/>
  <c r="X56" i="15" s="1"/>
  <c r="AD22" i="15"/>
  <c r="AD56" i="15" s="1"/>
  <c r="E23" i="15"/>
  <c r="E57" i="15" s="1"/>
  <c r="J23" i="15"/>
  <c r="J57" i="15" s="1"/>
  <c r="P23" i="15"/>
  <c r="P57" i="15" s="1"/>
  <c r="U23" i="15"/>
  <c r="U57" i="15" s="1"/>
  <c r="Z23" i="15"/>
  <c r="Z57" i="15" s="1"/>
  <c r="AF23" i="15"/>
  <c r="AF57" i="15" s="1"/>
  <c r="G24" i="15"/>
  <c r="G58" i="15" s="1"/>
  <c r="L24" i="15"/>
  <c r="L58" i="15" s="1"/>
  <c r="R24" i="15"/>
  <c r="R58" i="15" s="1"/>
  <c r="W24" i="15"/>
  <c r="W58" i="15" s="1"/>
  <c r="AB24" i="15"/>
  <c r="AB58" i="15" s="1"/>
  <c r="AH24" i="15"/>
  <c r="AH58" i="15" s="1"/>
  <c r="I25" i="15"/>
  <c r="I59" i="15" s="1"/>
  <c r="N25" i="15"/>
  <c r="N59" i="15" s="1"/>
  <c r="T25" i="15"/>
  <c r="T59" i="15" s="1"/>
  <c r="Y25" i="15"/>
  <c r="Y59" i="15" s="1"/>
  <c r="AD25" i="15"/>
  <c r="AD59" i="15" s="1"/>
  <c r="F26" i="15"/>
  <c r="F60" i="15" s="1"/>
  <c r="K26" i="15"/>
  <c r="K60" i="15" s="1"/>
  <c r="P26" i="15"/>
  <c r="P60" i="15" s="1"/>
  <c r="V26" i="15"/>
  <c r="V60" i="15" s="1"/>
  <c r="AA26" i="15"/>
  <c r="AA60" i="15" s="1"/>
  <c r="AF26" i="15"/>
  <c r="AF60" i="15" s="1"/>
  <c r="H27" i="15"/>
  <c r="H61" i="15" s="1"/>
  <c r="M27" i="15"/>
  <c r="M61" i="15" s="1"/>
  <c r="R27" i="15"/>
  <c r="X27" i="15"/>
  <c r="X61" i="15" s="1"/>
  <c r="AC27" i="15"/>
  <c r="AC61" i="15" s="1"/>
  <c r="AH27" i="15"/>
  <c r="AH61" i="15" s="1"/>
  <c r="J28" i="15"/>
  <c r="J62" i="15" s="1"/>
  <c r="O28" i="15"/>
  <c r="O62" i="15" s="1"/>
  <c r="T28" i="15"/>
  <c r="T62" i="15" s="1"/>
  <c r="Z28" i="15"/>
  <c r="Z62" i="15" s="1"/>
  <c r="AE28" i="15"/>
  <c r="AE62" i="15" s="1"/>
  <c r="F29" i="15"/>
  <c r="F63" i="15" s="1"/>
  <c r="L29" i="15"/>
  <c r="L63" i="15" s="1"/>
  <c r="Q29" i="15"/>
  <c r="Q63" i="15" s="1"/>
  <c r="V29" i="15"/>
  <c r="V63" i="15" s="1"/>
  <c r="AB29" i="15"/>
  <c r="AB63" i="15" s="1"/>
  <c r="AG29" i="15"/>
  <c r="AG63" i="15" s="1"/>
  <c r="H30" i="15"/>
  <c r="H64" i="15" s="1"/>
  <c r="N30" i="15"/>
  <c r="N64" i="15" s="1"/>
  <c r="S30" i="15"/>
  <c r="S64" i="15" s="1"/>
  <c r="X30" i="15"/>
  <c r="X64" i="15" s="1"/>
  <c r="AD30" i="15"/>
  <c r="AD64" i="15" s="1"/>
  <c r="E31" i="15"/>
  <c r="J31" i="15"/>
  <c r="J65" i="15" s="1"/>
  <c r="P31" i="15"/>
  <c r="P65" i="15" s="1"/>
  <c r="U31" i="15"/>
  <c r="U65" i="15" s="1"/>
  <c r="Z31" i="15"/>
  <c r="Z65" i="15" s="1"/>
  <c r="AF31" i="15"/>
  <c r="AF65" i="15" s="1"/>
  <c r="G32" i="15"/>
  <c r="G66" i="15" s="1"/>
  <c r="L32" i="15"/>
  <c r="L66" i="15" s="1"/>
  <c r="Q32" i="15"/>
  <c r="Q66" i="15" s="1"/>
  <c r="U32" i="15"/>
  <c r="U66" i="15" s="1"/>
  <c r="Y32" i="15"/>
  <c r="Y66" i="15" s="1"/>
  <c r="AC32" i="15"/>
  <c r="AC66" i="15" s="1"/>
  <c r="H21" i="15"/>
  <c r="H55" i="15" s="1"/>
  <c r="M21" i="15"/>
  <c r="M55" i="15" s="1"/>
  <c r="R21" i="15"/>
  <c r="R55" i="15" s="1"/>
  <c r="X21" i="15"/>
  <c r="X55" i="15" s="1"/>
  <c r="AC21" i="15"/>
  <c r="AC55" i="15" s="1"/>
  <c r="AH21" i="15"/>
  <c r="AH55" i="15" s="1"/>
  <c r="J22" i="15"/>
  <c r="J56" i="15" s="1"/>
  <c r="O22" i="15"/>
  <c r="O56" i="15" s="1"/>
  <c r="T22" i="15"/>
  <c r="T56" i="15" s="1"/>
  <c r="Z22" i="15"/>
  <c r="Z56" i="15" s="1"/>
  <c r="AE22" i="15"/>
  <c r="AE56" i="15" s="1"/>
  <c r="F23" i="15"/>
  <c r="F57" i="15" s="1"/>
  <c r="L23" i="15"/>
  <c r="L57" i="15" s="1"/>
  <c r="Q23" i="15"/>
  <c r="Q57" i="15" s="1"/>
  <c r="V23" i="15"/>
  <c r="V57" i="15" s="1"/>
  <c r="AB23" i="15"/>
  <c r="AB57" i="15" s="1"/>
  <c r="AG23" i="15"/>
  <c r="AG57" i="15" s="1"/>
  <c r="H24" i="15"/>
  <c r="H58" i="15" s="1"/>
  <c r="N24" i="15"/>
  <c r="N58" i="15" s="1"/>
  <c r="S24" i="15"/>
  <c r="S58" i="15" s="1"/>
  <c r="X24" i="15"/>
  <c r="X58" i="15" s="1"/>
  <c r="AD24" i="15"/>
  <c r="AD58" i="15" s="1"/>
  <c r="E25" i="15"/>
  <c r="E59" i="15" s="1"/>
  <c r="J25" i="15"/>
  <c r="J59" i="15" s="1"/>
  <c r="P25" i="15"/>
  <c r="P59" i="15" s="1"/>
  <c r="U25" i="15"/>
  <c r="U59" i="15" s="1"/>
  <c r="Z25" i="15"/>
  <c r="Z59" i="15" s="1"/>
  <c r="AF25" i="15"/>
  <c r="AF59" i="15" s="1"/>
  <c r="G26" i="15"/>
  <c r="G60" i="15" s="1"/>
  <c r="L26" i="15"/>
  <c r="L60" i="15" s="1"/>
  <c r="R26" i="15"/>
  <c r="R60" i="15" s="1"/>
  <c r="W26" i="15"/>
  <c r="W60" i="15" s="1"/>
  <c r="AB26" i="15"/>
  <c r="AB60" i="15" s="1"/>
  <c r="AH26" i="15"/>
  <c r="AH60" i="15" s="1"/>
  <c r="I27" i="15"/>
  <c r="I61" i="15" s="1"/>
  <c r="N27" i="15"/>
  <c r="N61" i="15" s="1"/>
  <c r="T27" i="15"/>
  <c r="T61" i="15" s="1"/>
  <c r="Y27" i="15"/>
  <c r="Y61" i="15" s="1"/>
  <c r="AD27" i="15"/>
  <c r="AD61" i="15" s="1"/>
  <c r="F28" i="15"/>
  <c r="F62" i="15" s="1"/>
  <c r="K28" i="15"/>
  <c r="K62" i="15" s="1"/>
  <c r="P28" i="15"/>
  <c r="P62" i="15" s="1"/>
  <c r="V28" i="15"/>
  <c r="V62" i="15" s="1"/>
  <c r="AA28" i="15"/>
  <c r="AA62" i="15" s="1"/>
  <c r="AF28" i="15"/>
  <c r="AF62" i="15" s="1"/>
  <c r="H29" i="15"/>
  <c r="H63" i="15" s="1"/>
  <c r="M29" i="15"/>
  <c r="M63" i="15" s="1"/>
  <c r="R29" i="15"/>
  <c r="R63" i="15" s="1"/>
  <c r="X29" i="15"/>
  <c r="X63" i="15" s="1"/>
  <c r="AC29" i="15"/>
  <c r="AC63" i="15" s="1"/>
  <c r="AH29" i="15"/>
  <c r="AH63" i="15" s="1"/>
  <c r="J30" i="15"/>
  <c r="J64" i="15" s="1"/>
  <c r="O30" i="15"/>
  <c r="O64" i="15" s="1"/>
  <c r="T30" i="15"/>
  <c r="T64" i="15" s="1"/>
  <c r="Z30" i="15"/>
  <c r="Z64" i="15" s="1"/>
  <c r="AE30" i="15"/>
  <c r="AE64" i="15" s="1"/>
  <c r="F31" i="15"/>
  <c r="F65" i="15" s="1"/>
  <c r="L31" i="15"/>
  <c r="L65" i="15" s="1"/>
  <c r="Q31" i="15"/>
  <c r="Q65" i="15" s="1"/>
  <c r="V31" i="15"/>
  <c r="V65" i="15" s="1"/>
  <c r="AB31" i="15"/>
  <c r="AB65" i="15" s="1"/>
  <c r="AG31" i="15"/>
  <c r="AG65" i="15" s="1"/>
  <c r="H32" i="15"/>
  <c r="H66" i="15" s="1"/>
  <c r="N32" i="15"/>
  <c r="N66" i="15" s="1"/>
  <c r="R32" i="15"/>
  <c r="R66" i="15" s="1"/>
  <c r="V32" i="15"/>
  <c r="V66" i="15" s="1"/>
  <c r="Z32" i="15"/>
  <c r="Z66" i="15" s="1"/>
  <c r="AD32" i="15"/>
  <c r="AD66" i="15" s="1"/>
  <c r="AH32" i="15"/>
  <c r="AH66" i="15" s="1"/>
  <c r="H33" i="15"/>
  <c r="H67" i="15" s="1"/>
  <c r="L33" i="15"/>
  <c r="L67" i="15" s="1"/>
  <c r="P33" i="15"/>
  <c r="P67" i="15" s="1"/>
  <c r="T33" i="15"/>
  <c r="T67" i="15" s="1"/>
  <c r="X33" i="15"/>
  <c r="X67" i="15" s="1"/>
  <c r="AB33" i="15"/>
  <c r="AB67" i="15" s="1"/>
  <c r="AF33" i="15"/>
  <c r="AF67" i="15" s="1"/>
  <c r="F34" i="15"/>
  <c r="F68" i="15" s="1"/>
  <c r="J34" i="15"/>
  <c r="J68" i="15" s="1"/>
  <c r="N34" i="15"/>
  <c r="N68" i="15" s="1"/>
  <c r="R34" i="15"/>
  <c r="R68" i="15" s="1"/>
  <c r="V34" i="15"/>
  <c r="V68" i="15" s="1"/>
  <c r="I21" i="15"/>
  <c r="I55" i="15" s="1"/>
  <c r="AD21" i="15"/>
  <c r="AD55" i="15" s="1"/>
  <c r="V22" i="15"/>
  <c r="V56" i="15" s="1"/>
  <c r="M23" i="15"/>
  <c r="M57" i="15" s="1"/>
  <c r="AH23" i="15"/>
  <c r="AH57" i="15" s="1"/>
  <c r="Z24" i="15"/>
  <c r="Z58" i="15" s="1"/>
  <c r="Q25" i="15"/>
  <c r="Q59" i="15" s="1"/>
  <c r="H26" i="15"/>
  <c r="H60" i="15" s="1"/>
  <c r="AD26" i="15"/>
  <c r="AD60" i="15" s="1"/>
  <c r="U27" i="15"/>
  <c r="U61" i="15" s="1"/>
  <c r="L28" i="15"/>
  <c r="L62" i="15" s="1"/>
  <c r="AH28" i="15"/>
  <c r="AH62" i="15" s="1"/>
  <c r="Y29" i="15"/>
  <c r="Y63" i="15" s="1"/>
  <c r="P30" i="15"/>
  <c r="P64" i="15" s="1"/>
  <c r="H31" i="15"/>
  <c r="H65" i="15" s="1"/>
  <c r="AC31" i="15"/>
  <c r="AC65" i="15" s="1"/>
  <c r="S32" i="15"/>
  <c r="S66" i="15" s="1"/>
  <c r="AG32" i="15"/>
  <c r="AG66" i="15" s="1"/>
  <c r="K33" i="15"/>
  <c r="K67" i="15" s="1"/>
  <c r="S33" i="15"/>
  <c r="S67" i="15" s="1"/>
  <c r="AA33" i="15"/>
  <c r="AA67" i="15" s="1"/>
  <c r="E34" i="15"/>
  <c r="E68" i="15" s="1"/>
  <c r="M34" i="15"/>
  <c r="M68" i="15" s="1"/>
  <c r="U34" i="15"/>
  <c r="U68" i="15" s="1"/>
  <c r="AA34" i="15"/>
  <c r="AA68" i="15" s="1"/>
  <c r="AG34" i="15"/>
  <c r="AG68" i="15" s="1"/>
  <c r="H35" i="15"/>
  <c r="H69" i="15" s="1"/>
  <c r="L35" i="15"/>
  <c r="L69" i="15" s="1"/>
  <c r="P35" i="15"/>
  <c r="P69" i="15" s="1"/>
  <c r="T35" i="15"/>
  <c r="T69" i="15" s="1"/>
  <c r="X35" i="15"/>
  <c r="X69" i="15" s="1"/>
  <c r="AB35" i="15"/>
  <c r="AB69" i="15" s="1"/>
  <c r="AF35" i="15"/>
  <c r="AF69" i="15" s="1"/>
  <c r="F36" i="15"/>
  <c r="F70" i="15" s="1"/>
  <c r="J36" i="15"/>
  <c r="J70" i="15" s="1"/>
  <c r="N36" i="15"/>
  <c r="N70" i="15" s="1"/>
  <c r="R36" i="15"/>
  <c r="R70" i="15" s="1"/>
  <c r="V36" i="15"/>
  <c r="V70" i="15" s="1"/>
  <c r="Z36" i="15"/>
  <c r="Z70" i="15" s="1"/>
  <c r="AD36" i="15"/>
  <c r="AD70" i="15" s="1"/>
  <c r="AH36" i="15"/>
  <c r="AH70" i="15" s="1"/>
  <c r="H37" i="15"/>
  <c r="H71" i="15" s="1"/>
  <c r="L37" i="15"/>
  <c r="L71" i="15" s="1"/>
  <c r="P37" i="15"/>
  <c r="P71" i="15" s="1"/>
  <c r="T37" i="15"/>
  <c r="T71" i="15" s="1"/>
  <c r="X37" i="15"/>
  <c r="X71" i="15" s="1"/>
  <c r="AB37" i="15"/>
  <c r="AB71" i="15" s="1"/>
  <c r="AF37" i="15"/>
  <c r="AF71" i="15" s="1"/>
  <c r="F38" i="15"/>
  <c r="F72" i="15" s="1"/>
  <c r="J38" i="15"/>
  <c r="J72" i="15" s="1"/>
  <c r="N38" i="15"/>
  <c r="N72" i="15" s="1"/>
  <c r="R38" i="15"/>
  <c r="R72" i="15" s="1"/>
  <c r="V38" i="15"/>
  <c r="V72" i="15" s="1"/>
  <c r="Z38" i="15"/>
  <c r="Z72" i="15" s="1"/>
  <c r="AD38" i="15"/>
  <c r="AD72" i="15" s="1"/>
  <c r="AH38" i="15"/>
  <c r="AH72" i="15" s="1"/>
  <c r="H39" i="15"/>
  <c r="H73" i="15" s="1"/>
  <c r="L39" i="15"/>
  <c r="L73" i="15" s="1"/>
  <c r="P39" i="15"/>
  <c r="P73" i="15" s="1"/>
  <c r="T39" i="15"/>
  <c r="T73" i="15" s="1"/>
  <c r="X39" i="15"/>
  <c r="X73" i="15" s="1"/>
  <c r="AB39" i="15"/>
  <c r="AB73" i="15" s="1"/>
  <c r="AF39" i="15"/>
  <c r="AF73" i="15" s="1"/>
  <c r="F40" i="15"/>
  <c r="F74" i="15" s="1"/>
  <c r="J40" i="15"/>
  <c r="J74" i="15" s="1"/>
  <c r="N40" i="15"/>
  <c r="N74" i="15" s="1"/>
  <c r="R40" i="15"/>
  <c r="R74" i="15" s="1"/>
  <c r="V40" i="15"/>
  <c r="V74" i="15" s="1"/>
  <c r="Z40" i="15"/>
  <c r="Z74" i="15" s="1"/>
  <c r="AD40" i="15"/>
  <c r="AD74" i="15" s="1"/>
  <c r="AH40" i="15"/>
  <c r="AH74" i="15" s="1"/>
  <c r="H41" i="15"/>
  <c r="H75" i="15" s="1"/>
  <c r="L41" i="15"/>
  <c r="L75" i="15" s="1"/>
  <c r="P41" i="15"/>
  <c r="P75" i="15" s="1"/>
  <c r="T41" i="15"/>
  <c r="T75" i="15" s="1"/>
  <c r="X41" i="15"/>
  <c r="X75" i="15" s="1"/>
  <c r="AB41" i="15"/>
  <c r="AB75" i="15" s="1"/>
  <c r="AF41" i="15"/>
  <c r="AF75" i="15" s="1"/>
  <c r="F42" i="15"/>
  <c r="F76" i="15" s="1"/>
  <c r="J42" i="15"/>
  <c r="J76" i="15" s="1"/>
  <c r="N42" i="15"/>
  <c r="N76" i="15" s="1"/>
  <c r="R42" i="15"/>
  <c r="R76" i="15" s="1"/>
  <c r="V42" i="15"/>
  <c r="V76" i="15" s="1"/>
  <c r="Z42" i="15"/>
  <c r="Z76" i="15" s="1"/>
  <c r="AD42" i="15"/>
  <c r="AD76" i="15" s="1"/>
  <c r="AH42" i="15"/>
  <c r="AH76" i="15" s="1"/>
  <c r="H43" i="15"/>
  <c r="H77" i="15" s="1"/>
  <c r="L43" i="15"/>
  <c r="L77" i="15" s="1"/>
  <c r="P43" i="15"/>
  <c r="P77" i="15" s="1"/>
  <c r="T43" i="15"/>
  <c r="T77" i="15" s="1"/>
  <c r="X43" i="15"/>
  <c r="X77" i="15" s="1"/>
  <c r="AB43" i="15"/>
  <c r="AB77" i="15" s="1"/>
  <c r="AF43" i="15"/>
  <c r="AF77" i="15" s="1"/>
  <c r="F44" i="15"/>
  <c r="F78" i="15" s="1"/>
  <c r="J44" i="15"/>
  <c r="J78" i="15" s="1"/>
  <c r="N44" i="15"/>
  <c r="N78" i="15" s="1"/>
  <c r="R44" i="15"/>
  <c r="R78" i="15" s="1"/>
  <c r="V44" i="15"/>
  <c r="V78" i="15" s="1"/>
  <c r="Z44" i="15"/>
  <c r="Z78" i="15" s="1"/>
  <c r="N21" i="15"/>
  <c r="N55" i="15" s="1"/>
  <c r="F22" i="15"/>
  <c r="F56" i="15" s="1"/>
  <c r="AA22" i="15"/>
  <c r="AA56" i="15" s="1"/>
  <c r="R23" i="15"/>
  <c r="R57" i="15" s="1"/>
  <c r="J24" i="15"/>
  <c r="J58" i="15" s="1"/>
  <c r="AE24" i="15"/>
  <c r="AE58" i="15" s="1"/>
  <c r="V25" i="15"/>
  <c r="V59" i="15" s="1"/>
  <c r="N26" i="15"/>
  <c r="N60" i="15" s="1"/>
  <c r="E27" i="15"/>
  <c r="E61" i="15" s="1"/>
  <c r="Z27" i="15"/>
  <c r="Z61" i="15" s="1"/>
  <c r="R28" i="15"/>
  <c r="R62" i="15" s="1"/>
  <c r="I29" i="15"/>
  <c r="I63" i="15" s="1"/>
  <c r="AD29" i="15"/>
  <c r="AD63" i="15" s="1"/>
  <c r="V30" i="15"/>
  <c r="V64" i="15" s="1"/>
  <c r="M31" i="15"/>
  <c r="M65" i="15" s="1"/>
  <c r="AH31" i="15"/>
  <c r="AH65" i="15" s="1"/>
  <c r="W32" i="15"/>
  <c r="W66" i="15" s="1"/>
  <c r="E33" i="15"/>
  <c r="E67" i="15" s="1"/>
  <c r="M33" i="15"/>
  <c r="M67" i="15" s="1"/>
  <c r="U33" i="15"/>
  <c r="U67" i="15" s="1"/>
  <c r="AC33" i="15"/>
  <c r="AC67" i="15" s="1"/>
  <c r="G34" i="15"/>
  <c r="G68" i="15" s="1"/>
  <c r="O34" i="15"/>
  <c r="O68" i="15" s="1"/>
  <c r="W34" i="15"/>
  <c r="W68" i="15" s="1"/>
  <c r="AC34" i="15"/>
  <c r="AC68" i="15" s="1"/>
  <c r="AH34" i="15"/>
  <c r="AH68" i="15" s="1"/>
  <c r="I35" i="15"/>
  <c r="I69" i="15" s="1"/>
  <c r="M35" i="15"/>
  <c r="M69" i="15" s="1"/>
  <c r="Q35" i="15"/>
  <c r="Q69" i="15" s="1"/>
  <c r="U35" i="15"/>
  <c r="U69" i="15" s="1"/>
  <c r="Y35" i="15"/>
  <c r="Y69" i="15" s="1"/>
  <c r="AC35" i="15"/>
  <c r="AC69" i="15" s="1"/>
  <c r="AG35" i="15"/>
  <c r="AG69" i="15" s="1"/>
  <c r="G36" i="15"/>
  <c r="G70" i="15" s="1"/>
  <c r="K36" i="15"/>
  <c r="K70" i="15" s="1"/>
  <c r="O36" i="15"/>
  <c r="O70" i="15" s="1"/>
  <c r="S36" i="15"/>
  <c r="S70" i="15" s="1"/>
  <c r="W36" i="15"/>
  <c r="W70" i="15" s="1"/>
  <c r="AA36" i="15"/>
  <c r="AA70" i="15" s="1"/>
  <c r="AE36" i="15"/>
  <c r="AE70" i="15" s="1"/>
  <c r="E37" i="15"/>
  <c r="E71" i="15" s="1"/>
  <c r="I37" i="15"/>
  <c r="I71" i="15" s="1"/>
  <c r="M37" i="15"/>
  <c r="M71" i="15" s="1"/>
  <c r="Q37" i="15"/>
  <c r="Q71" i="15" s="1"/>
  <c r="U37" i="15"/>
  <c r="U71" i="15" s="1"/>
  <c r="Y37" i="15"/>
  <c r="Y71" i="15" s="1"/>
  <c r="AC37" i="15"/>
  <c r="AC71" i="15" s="1"/>
  <c r="AG37" i="15"/>
  <c r="AG71" i="15" s="1"/>
  <c r="G38" i="15"/>
  <c r="G72" i="15" s="1"/>
  <c r="K38" i="15"/>
  <c r="K72" i="15" s="1"/>
  <c r="O38" i="15"/>
  <c r="O72" i="15" s="1"/>
  <c r="S38" i="15"/>
  <c r="S72" i="15" s="1"/>
  <c r="W38" i="15"/>
  <c r="W72" i="15" s="1"/>
  <c r="AA38" i="15"/>
  <c r="AA72" i="15" s="1"/>
  <c r="AE38" i="15"/>
  <c r="AE72" i="15" s="1"/>
  <c r="E39" i="15"/>
  <c r="E73" i="15" s="1"/>
  <c r="I39" i="15"/>
  <c r="I73" i="15" s="1"/>
  <c r="M39" i="15"/>
  <c r="M73" i="15" s="1"/>
  <c r="Q39" i="15"/>
  <c r="Q73" i="15" s="1"/>
  <c r="U39" i="15"/>
  <c r="U73" i="15" s="1"/>
  <c r="Y39" i="15"/>
  <c r="Y73" i="15" s="1"/>
  <c r="AC39" i="15"/>
  <c r="AC73" i="15" s="1"/>
  <c r="AG39" i="15"/>
  <c r="AG73" i="15" s="1"/>
  <c r="G40" i="15"/>
  <c r="G74" i="15" s="1"/>
  <c r="K40" i="15"/>
  <c r="K74" i="15" s="1"/>
  <c r="O40" i="15"/>
  <c r="O74" i="15" s="1"/>
  <c r="S40" i="15"/>
  <c r="S74" i="15" s="1"/>
  <c r="W40" i="15"/>
  <c r="W74" i="15" s="1"/>
  <c r="AA40" i="15"/>
  <c r="AA74" i="15" s="1"/>
  <c r="AE40" i="15"/>
  <c r="AE74" i="15" s="1"/>
  <c r="E41" i="15"/>
  <c r="E75" i="15" s="1"/>
  <c r="I41" i="15"/>
  <c r="I75" i="15" s="1"/>
  <c r="M41" i="15"/>
  <c r="M75" i="15" s="1"/>
  <c r="Q41" i="15"/>
  <c r="Q75" i="15" s="1"/>
  <c r="U41" i="15"/>
  <c r="U75" i="15" s="1"/>
  <c r="Y41" i="15"/>
  <c r="Y75" i="15" s="1"/>
  <c r="AC41" i="15"/>
  <c r="AC75" i="15" s="1"/>
  <c r="AG41" i="15"/>
  <c r="AG75" i="15" s="1"/>
  <c r="G42" i="15"/>
  <c r="G76" i="15" s="1"/>
  <c r="K42" i="15"/>
  <c r="K76" i="15" s="1"/>
  <c r="O42" i="15"/>
  <c r="O76" i="15" s="1"/>
  <c r="S42" i="15"/>
  <c r="S76" i="15" s="1"/>
  <c r="W42" i="15"/>
  <c r="W76" i="15" s="1"/>
  <c r="AA42" i="15"/>
  <c r="AA76" i="15" s="1"/>
  <c r="AE42" i="15"/>
  <c r="AE76" i="15" s="1"/>
  <c r="T21" i="15"/>
  <c r="T55" i="15" s="1"/>
  <c r="K22" i="15"/>
  <c r="K56" i="15" s="1"/>
  <c r="AF22" i="15"/>
  <c r="AF56" i="15" s="1"/>
  <c r="X23" i="15"/>
  <c r="X57" i="15" s="1"/>
  <c r="O24" i="15"/>
  <c r="O58" i="15" s="1"/>
  <c r="F25" i="15"/>
  <c r="F59" i="15" s="1"/>
  <c r="AB25" i="15"/>
  <c r="AB59" i="15" s="1"/>
  <c r="S26" i="15"/>
  <c r="S60" i="15" s="1"/>
  <c r="J27" i="15"/>
  <c r="J61" i="15" s="1"/>
  <c r="AF27" i="15"/>
  <c r="AF61" i="15" s="1"/>
  <c r="W28" i="15"/>
  <c r="W62" i="15" s="1"/>
  <c r="N29" i="15"/>
  <c r="N63" i="15" s="1"/>
  <c r="F30" i="15"/>
  <c r="F64" i="15" s="1"/>
  <c r="AA30" i="15"/>
  <c r="AA64" i="15" s="1"/>
  <c r="R31" i="15"/>
  <c r="R65" i="15" s="1"/>
  <c r="J32" i="15"/>
  <c r="J66" i="15" s="1"/>
  <c r="AA32" i="15"/>
  <c r="AA66" i="15" s="1"/>
  <c r="G33" i="15"/>
  <c r="G67" i="15" s="1"/>
  <c r="O33" i="15"/>
  <c r="O67" i="15" s="1"/>
  <c r="W33" i="15"/>
  <c r="W67" i="15" s="1"/>
  <c r="AE33" i="15"/>
  <c r="AE67" i="15" s="1"/>
  <c r="I34" i="15"/>
  <c r="I68" i="15" s="1"/>
  <c r="Q34" i="15"/>
  <c r="Q68" i="15" s="1"/>
  <c r="Y34" i="15"/>
  <c r="Y68" i="15" s="1"/>
  <c r="AD34" i="15"/>
  <c r="AD68" i="15" s="1"/>
  <c r="E35" i="15"/>
  <c r="E69" i="15" s="1"/>
  <c r="J35" i="15"/>
  <c r="J69" i="15" s="1"/>
  <c r="N35" i="15"/>
  <c r="N69" i="15" s="1"/>
  <c r="R35" i="15"/>
  <c r="R69" i="15" s="1"/>
  <c r="V35" i="15"/>
  <c r="V69" i="15" s="1"/>
  <c r="Z35" i="15"/>
  <c r="Z69" i="15" s="1"/>
  <c r="AD35" i="15"/>
  <c r="AD69" i="15" s="1"/>
  <c r="AH35" i="15"/>
  <c r="AH69" i="15" s="1"/>
  <c r="H36" i="15"/>
  <c r="H70" i="15" s="1"/>
  <c r="L36" i="15"/>
  <c r="L70" i="15" s="1"/>
  <c r="P36" i="15"/>
  <c r="P70" i="15" s="1"/>
  <c r="T36" i="15"/>
  <c r="T70" i="15" s="1"/>
  <c r="X36" i="15"/>
  <c r="X70" i="15" s="1"/>
  <c r="AB36" i="15"/>
  <c r="AB70" i="15" s="1"/>
  <c r="AF36" i="15"/>
  <c r="AF70" i="15" s="1"/>
  <c r="F37" i="15"/>
  <c r="F71" i="15" s="1"/>
  <c r="J37" i="15"/>
  <c r="J71" i="15" s="1"/>
  <c r="N37" i="15"/>
  <c r="N71" i="15" s="1"/>
  <c r="R37" i="15"/>
  <c r="R71" i="15" s="1"/>
  <c r="V37" i="15"/>
  <c r="V71" i="15" s="1"/>
  <c r="Z37" i="15"/>
  <c r="Z71" i="15" s="1"/>
  <c r="AD37" i="15"/>
  <c r="AD71" i="15" s="1"/>
  <c r="AH37" i="15"/>
  <c r="AH71" i="15" s="1"/>
  <c r="H38" i="15"/>
  <c r="H72" i="15" s="1"/>
  <c r="L38" i="15"/>
  <c r="L72" i="15" s="1"/>
  <c r="P38" i="15"/>
  <c r="P72" i="15" s="1"/>
  <c r="T38" i="15"/>
  <c r="T72" i="15" s="1"/>
  <c r="X38" i="15"/>
  <c r="X72" i="15" s="1"/>
  <c r="AB38" i="15"/>
  <c r="AB72" i="15" s="1"/>
  <c r="AF38" i="15"/>
  <c r="AF72" i="15" s="1"/>
  <c r="F39" i="15"/>
  <c r="F73" i="15" s="1"/>
  <c r="J39" i="15"/>
  <c r="J73" i="15" s="1"/>
  <c r="N39" i="15"/>
  <c r="N73" i="15" s="1"/>
  <c r="R39" i="15"/>
  <c r="R73" i="15" s="1"/>
  <c r="V39" i="15"/>
  <c r="V73" i="15" s="1"/>
  <c r="Z39" i="15"/>
  <c r="Z73" i="15" s="1"/>
  <c r="AD39" i="15"/>
  <c r="AD73" i="15" s="1"/>
  <c r="AH39" i="15"/>
  <c r="AH73" i="15" s="1"/>
  <c r="H40" i="15"/>
  <c r="H74" i="15" s="1"/>
  <c r="L40" i="15"/>
  <c r="L74" i="15" s="1"/>
  <c r="P40" i="15"/>
  <c r="P74" i="15" s="1"/>
  <c r="T40" i="15"/>
  <c r="T74" i="15" s="1"/>
  <c r="X40" i="15"/>
  <c r="X74" i="15" s="1"/>
  <c r="AB40" i="15"/>
  <c r="AB74" i="15" s="1"/>
  <c r="AF40" i="15"/>
  <c r="AF74" i="15" s="1"/>
  <c r="F41" i="15"/>
  <c r="F75" i="15" s="1"/>
  <c r="J41" i="15"/>
  <c r="J75" i="15" s="1"/>
  <c r="N41" i="15"/>
  <c r="N75" i="15" s="1"/>
  <c r="R41" i="15"/>
  <c r="R75" i="15" s="1"/>
  <c r="V41" i="15"/>
  <c r="V75" i="15" s="1"/>
  <c r="Z41" i="15"/>
  <c r="Z75" i="15" s="1"/>
  <c r="AD41" i="15"/>
  <c r="AD75" i="15" s="1"/>
  <c r="AH41" i="15"/>
  <c r="AH75" i="15" s="1"/>
  <c r="H42" i="15"/>
  <c r="H76" i="15" s="1"/>
  <c r="L42" i="15"/>
  <c r="L76" i="15" s="1"/>
  <c r="P42" i="15"/>
  <c r="P76" i="15" s="1"/>
  <c r="T42" i="15"/>
  <c r="T76" i="15" s="1"/>
  <c r="X42" i="15"/>
  <c r="X76" i="15" s="1"/>
  <c r="AB42" i="15"/>
  <c r="AB76" i="15" s="1"/>
  <c r="AF42" i="15"/>
  <c r="AF76" i="15" s="1"/>
  <c r="Y21" i="15"/>
  <c r="Y55" i="15" s="1"/>
  <c r="T24" i="15"/>
  <c r="T58" i="15" s="1"/>
  <c r="P27" i="15"/>
  <c r="P61" i="15" s="1"/>
  <c r="K30" i="15"/>
  <c r="K64" i="15" s="1"/>
  <c r="AE32" i="15"/>
  <c r="AE66" i="15" s="1"/>
  <c r="AG33" i="15"/>
  <c r="AG67" i="15" s="1"/>
  <c r="AE34" i="15"/>
  <c r="AE68" i="15" s="1"/>
  <c r="S35" i="15"/>
  <c r="S69" i="15" s="1"/>
  <c r="E36" i="15"/>
  <c r="E70" i="15" s="1"/>
  <c r="U36" i="15"/>
  <c r="U70" i="15" s="1"/>
  <c r="G37" i="15"/>
  <c r="G71" i="15" s="1"/>
  <c r="W37" i="15"/>
  <c r="W71" i="15" s="1"/>
  <c r="I38" i="15"/>
  <c r="I72" i="15" s="1"/>
  <c r="Y38" i="15"/>
  <c r="Y72" i="15" s="1"/>
  <c r="K39" i="15"/>
  <c r="K73" i="15" s="1"/>
  <c r="AA39" i="15"/>
  <c r="AA73" i="15" s="1"/>
  <c r="M40" i="15"/>
  <c r="M74" i="15" s="1"/>
  <c r="AC40" i="15"/>
  <c r="AC74" i="15" s="1"/>
  <c r="O41" i="15"/>
  <c r="O75" i="15" s="1"/>
  <c r="AE41" i="15"/>
  <c r="AE75" i="15" s="1"/>
  <c r="Q42" i="15"/>
  <c r="Q76" i="15" s="1"/>
  <c r="AG42" i="15"/>
  <c r="AG76" i="15" s="1"/>
  <c r="I43" i="15"/>
  <c r="I77" i="15" s="1"/>
  <c r="N43" i="15"/>
  <c r="N77" i="15" s="1"/>
  <c r="S43" i="15"/>
  <c r="S77" i="15" s="1"/>
  <c r="Y43" i="15"/>
  <c r="Y77" i="15" s="1"/>
  <c r="AD43" i="15"/>
  <c r="AD77" i="15" s="1"/>
  <c r="E44" i="15"/>
  <c r="E78" i="15" s="1"/>
  <c r="K44" i="15"/>
  <c r="K78" i="15" s="1"/>
  <c r="P44" i="15"/>
  <c r="P78" i="15" s="1"/>
  <c r="U44" i="15"/>
  <c r="U78" i="15" s="1"/>
  <c r="AA44" i="15"/>
  <c r="AA78" i="15" s="1"/>
  <c r="AE44" i="15"/>
  <c r="AE78" i="15" s="1"/>
  <c r="E45" i="15"/>
  <c r="E79" i="15" s="1"/>
  <c r="I45" i="15"/>
  <c r="I79" i="15" s="1"/>
  <c r="M45" i="15"/>
  <c r="M79" i="15" s="1"/>
  <c r="Q45" i="15"/>
  <c r="Q79" i="15" s="1"/>
  <c r="U45" i="15"/>
  <c r="U79" i="15" s="1"/>
  <c r="Y45" i="15"/>
  <c r="Y79" i="15" s="1"/>
  <c r="AC45" i="15"/>
  <c r="AC79" i="15" s="1"/>
  <c r="AG45" i="15"/>
  <c r="AG79" i="15" s="1"/>
  <c r="G46" i="15"/>
  <c r="G80" i="15" s="1"/>
  <c r="K46" i="15"/>
  <c r="K80" i="15" s="1"/>
  <c r="O46" i="15"/>
  <c r="O80" i="15" s="1"/>
  <c r="S46" i="15"/>
  <c r="S80" i="15" s="1"/>
  <c r="W46" i="15"/>
  <c r="W80" i="15" s="1"/>
  <c r="AA46" i="15"/>
  <c r="AA80" i="15" s="1"/>
  <c r="AE46" i="15"/>
  <c r="AE80" i="15" s="1"/>
  <c r="E47" i="15"/>
  <c r="E81" i="15" s="1"/>
  <c r="I47" i="15"/>
  <c r="I81" i="15" s="1"/>
  <c r="M47" i="15"/>
  <c r="M81" i="15" s="1"/>
  <c r="Q47" i="15"/>
  <c r="Q81" i="15" s="1"/>
  <c r="U47" i="15"/>
  <c r="U81" i="15" s="1"/>
  <c r="Y47" i="15"/>
  <c r="Y81" i="15" s="1"/>
  <c r="AC47" i="15"/>
  <c r="AC81" i="15" s="1"/>
  <c r="AG47" i="15"/>
  <c r="AG81" i="15" s="1"/>
  <c r="G48" i="15"/>
  <c r="G82" i="15" s="1"/>
  <c r="K48" i="15"/>
  <c r="K82" i="15" s="1"/>
  <c r="O48" i="15"/>
  <c r="O82" i="15" s="1"/>
  <c r="S48" i="15"/>
  <c r="S82" i="15" s="1"/>
  <c r="W48" i="15"/>
  <c r="W82" i="15" s="1"/>
  <c r="AA48" i="15"/>
  <c r="AA82" i="15" s="1"/>
  <c r="AE48" i="15"/>
  <c r="AE82" i="15" s="1"/>
  <c r="E49" i="15"/>
  <c r="E83" i="15" s="1"/>
  <c r="I49" i="15"/>
  <c r="I83" i="15" s="1"/>
  <c r="M49" i="15"/>
  <c r="M83" i="15" s="1"/>
  <c r="Q49" i="15"/>
  <c r="Q83" i="15" s="1"/>
  <c r="U49" i="15"/>
  <c r="U83" i="15" s="1"/>
  <c r="Y49" i="15"/>
  <c r="Y83" i="15" s="1"/>
  <c r="AC49" i="15"/>
  <c r="AC83" i="15" s="1"/>
  <c r="AG49" i="15"/>
  <c r="AG83" i="15" s="1"/>
  <c r="G50" i="15"/>
  <c r="G84" i="15" s="1"/>
  <c r="K50" i="15"/>
  <c r="K84" i="15" s="1"/>
  <c r="O50" i="15"/>
  <c r="O84" i="15" s="1"/>
  <c r="S50" i="15"/>
  <c r="S84" i="15" s="1"/>
  <c r="W50" i="15"/>
  <c r="W84" i="15" s="1"/>
  <c r="AA50" i="15"/>
  <c r="AA84" i="15" s="1"/>
  <c r="AE50" i="15"/>
  <c r="AE84" i="15" s="1"/>
  <c r="D22" i="15"/>
  <c r="D56" i="15" s="1"/>
  <c r="D26" i="15"/>
  <c r="D60" i="15" s="1"/>
  <c r="D30" i="15"/>
  <c r="D64" i="15" s="1"/>
  <c r="D34" i="15"/>
  <c r="D68" i="15" s="1"/>
  <c r="D38" i="15"/>
  <c r="D72" i="15" s="1"/>
  <c r="D42" i="15"/>
  <c r="D76" i="15" s="1"/>
  <c r="D46" i="15"/>
  <c r="D80" i="15" s="1"/>
  <c r="D50" i="15"/>
  <c r="D84" i="15" s="1"/>
  <c r="X26" i="15"/>
  <c r="X60" i="15" s="1"/>
  <c r="Y33" i="15"/>
  <c r="Y67" i="15" s="1"/>
  <c r="O35" i="15"/>
  <c r="O69" i="15" s="1"/>
  <c r="Q36" i="15"/>
  <c r="Q70" i="15" s="1"/>
  <c r="AG36" i="15"/>
  <c r="AG70" i="15" s="1"/>
  <c r="E38" i="15"/>
  <c r="E72" i="15" s="1"/>
  <c r="G39" i="15"/>
  <c r="G73" i="15" s="1"/>
  <c r="I40" i="15"/>
  <c r="I74" i="15" s="1"/>
  <c r="K41" i="15"/>
  <c r="K75" i="15" s="1"/>
  <c r="M42" i="15"/>
  <c r="M76" i="15" s="1"/>
  <c r="G43" i="15"/>
  <c r="G77" i="15" s="1"/>
  <c r="R43" i="15"/>
  <c r="R77" i="15" s="1"/>
  <c r="AC43" i="15"/>
  <c r="AC77" i="15" s="1"/>
  <c r="I44" i="15"/>
  <c r="I78" i="15" s="1"/>
  <c r="T44" i="15"/>
  <c r="T78" i="15" s="1"/>
  <c r="AD44" i="15"/>
  <c r="AD78" i="15" s="1"/>
  <c r="H45" i="15"/>
  <c r="H79" i="15" s="1"/>
  <c r="P45" i="15"/>
  <c r="P79" i="15" s="1"/>
  <c r="X45" i="15"/>
  <c r="X79" i="15" s="1"/>
  <c r="AF45" i="15"/>
  <c r="AF79" i="15" s="1"/>
  <c r="N46" i="15"/>
  <c r="N80" i="15" s="1"/>
  <c r="V46" i="15"/>
  <c r="V80" i="15" s="1"/>
  <c r="AD46" i="15"/>
  <c r="AD80" i="15" s="1"/>
  <c r="H47" i="15"/>
  <c r="H81" i="15" s="1"/>
  <c r="P47" i="15"/>
  <c r="P81" i="15" s="1"/>
  <c r="AB47" i="15"/>
  <c r="AB81" i="15" s="1"/>
  <c r="F48" i="15"/>
  <c r="F82" i="15" s="1"/>
  <c r="N48" i="15"/>
  <c r="N82" i="15" s="1"/>
  <c r="Z48" i="15"/>
  <c r="Z82" i="15" s="1"/>
  <c r="AH48" i="15"/>
  <c r="AH82" i="15" s="1"/>
  <c r="P49" i="15"/>
  <c r="P83" i="15" s="1"/>
  <c r="X49" i="15"/>
  <c r="X83" i="15" s="1"/>
  <c r="AF49" i="15"/>
  <c r="AF83" i="15" s="1"/>
  <c r="R50" i="15"/>
  <c r="R84" i="15" s="1"/>
  <c r="Z50" i="15"/>
  <c r="Z84" i="15" s="1"/>
  <c r="D25" i="15"/>
  <c r="D59" i="15" s="1"/>
  <c r="D33" i="15"/>
  <c r="D67" i="15" s="1"/>
  <c r="D45" i="15"/>
  <c r="D79" i="15" s="1"/>
  <c r="D49" i="15"/>
  <c r="D83" i="15" s="1"/>
  <c r="P22" i="15"/>
  <c r="P56" i="15" s="1"/>
  <c r="L25" i="15"/>
  <c r="L59" i="15" s="1"/>
  <c r="G28" i="15"/>
  <c r="G62" i="15" s="1"/>
  <c r="AF30" i="15"/>
  <c r="AF64" i="15" s="1"/>
  <c r="I33" i="15"/>
  <c r="I67" i="15" s="1"/>
  <c r="K34" i="15"/>
  <c r="K68" i="15" s="1"/>
  <c r="G35" i="15"/>
  <c r="G69" i="15" s="1"/>
  <c r="W35" i="15"/>
  <c r="W69" i="15" s="1"/>
  <c r="I36" i="15"/>
  <c r="I70" i="15" s="1"/>
  <c r="Y36" i="15"/>
  <c r="Y70" i="15" s="1"/>
  <c r="K37" i="15"/>
  <c r="K71" i="15" s="1"/>
  <c r="AA37" i="15"/>
  <c r="AA71" i="15" s="1"/>
  <c r="M38" i="15"/>
  <c r="M72" i="15" s="1"/>
  <c r="AC38" i="15"/>
  <c r="AC72" i="15" s="1"/>
  <c r="O39" i="15"/>
  <c r="O73" i="15" s="1"/>
  <c r="AE39" i="15"/>
  <c r="AE73" i="15" s="1"/>
  <c r="Q40" i="15"/>
  <c r="Q74" i="15" s="1"/>
  <c r="AG40" i="15"/>
  <c r="AG74" i="15" s="1"/>
  <c r="S41" i="15"/>
  <c r="S75" i="15" s="1"/>
  <c r="E42" i="15"/>
  <c r="E76" i="15" s="1"/>
  <c r="U42" i="15"/>
  <c r="U76" i="15" s="1"/>
  <c r="E43" i="15"/>
  <c r="E77" i="15" s="1"/>
  <c r="J43" i="15"/>
  <c r="J77" i="15" s="1"/>
  <c r="O43" i="15"/>
  <c r="O77" i="15" s="1"/>
  <c r="U43" i="15"/>
  <c r="U77" i="15" s="1"/>
  <c r="Z43" i="15"/>
  <c r="Z77" i="15" s="1"/>
  <c r="AE43" i="15"/>
  <c r="AE77" i="15" s="1"/>
  <c r="G44" i="15"/>
  <c r="G78" i="15" s="1"/>
  <c r="L44" i="15"/>
  <c r="L78" i="15" s="1"/>
  <c r="Q44" i="15"/>
  <c r="Q78" i="15" s="1"/>
  <c r="W44" i="15"/>
  <c r="W78" i="15" s="1"/>
  <c r="AB44" i="15"/>
  <c r="AB78" i="15" s="1"/>
  <c r="AF44" i="15"/>
  <c r="AF78" i="15" s="1"/>
  <c r="F45" i="15"/>
  <c r="F79" i="15" s="1"/>
  <c r="J45" i="15"/>
  <c r="J79" i="15" s="1"/>
  <c r="N45" i="15"/>
  <c r="N79" i="15" s="1"/>
  <c r="R45" i="15"/>
  <c r="R79" i="15" s="1"/>
  <c r="V45" i="15"/>
  <c r="V79" i="15" s="1"/>
  <c r="Z45" i="15"/>
  <c r="Z79" i="15" s="1"/>
  <c r="AD45" i="15"/>
  <c r="AD79" i="15" s="1"/>
  <c r="AH45" i="15"/>
  <c r="AH79" i="15" s="1"/>
  <c r="H46" i="15"/>
  <c r="H80" i="15" s="1"/>
  <c r="L46" i="15"/>
  <c r="L80" i="15" s="1"/>
  <c r="P46" i="15"/>
  <c r="P80" i="15" s="1"/>
  <c r="T46" i="15"/>
  <c r="T80" i="15" s="1"/>
  <c r="X46" i="15"/>
  <c r="X80" i="15" s="1"/>
  <c r="AB46" i="15"/>
  <c r="AB80" i="15" s="1"/>
  <c r="AF46" i="15"/>
  <c r="AF80" i="15" s="1"/>
  <c r="F47" i="15"/>
  <c r="F81" i="15" s="1"/>
  <c r="J47" i="15"/>
  <c r="J81" i="15" s="1"/>
  <c r="N47" i="15"/>
  <c r="N81" i="15" s="1"/>
  <c r="R47" i="15"/>
  <c r="R81" i="15" s="1"/>
  <c r="V47" i="15"/>
  <c r="V81" i="15" s="1"/>
  <c r="Z47" i="15"/>
  <c r="Z81" i="15" s="1"/>
  <c r="AD47" i="15"/>
  <c r="AD81" i="15" s="1"/>
  <c r="AH47" i="15"/>
  <c r="AH81" i="15" s="1"/>
  <c r="H48" i="15"/>
  <c r="H82" i="15" s="1"/>
  <c r="L48" i="15"/>
  <c r="L82" i="15" s="1"/>
  <c r="P48" i="15"/>
  <c r="P82" i="15" s="1"/>
  <c r="T48" i="15"/>
  <c r="T82" i="15" s="1"/>
  <c r="X48" i="15"/>
  <c r="X82" i="15" s="1"/>
  <c r="AB48" i="15"/>
  <c r="AB82" i="15" s="1"/>
  <c r="AF48" i="15"/>
  <c r="AF82" i="15" s="1"/>
  <c r="F49" i="15"/>
  <c r="F83" i="15" s="1"/>
  <c r="J49" i="15"/>
  <c r="J83" i="15" s="1"/>
  <c r="N49" i="15"/>
  <c r="N83" i="15" s="1"/>
  <c r="R49" i="15"/>
  <c r="R83" i="15" s="1"/>
  <c r="V49" i="15"/>
  <c r="V83" i="15" s="1"/>
  <c r="Z49" i="15"/>
  <c r="Z83" i="15" s="1"/>
  <c r="AD49" i="15"/>
  <c r="AD83" i="15" s="1"/>
  <c r="AH49" i="15"/>
  <c r="AH83" i="15" s="1"/>
  <c r="H50" i="15"/>
  <c r="H84" i="15" s="1"/>
  <c r="L50" i="15"/>
  <c r="L84" i="15" s="1"/>
  <c r="P50" i="15"/>
  <c r="P84" i="15" s="1"/>
  <c r="T50" i="15"/>
  <c r="T84" i="15" s="1"/>
  <c r="X50" i="15"/>
  <c r="X84" i="15" s="1"/>
  <c r="AB50" i="15"/>
  <c r="AB84" i="15" s="1"/>
  <c r="AF50" i="15"/>
  <c r="AF84" i="15" s="1"/>
  <c r="D23" i="15"/>
  <c r="D57" i="15" s="1"/>
  <c r="D27" i="15"/>
  <c r="D61" i="15" s="1"/>
  <c r="D31" i="15"/>
  <c r="D65" i="15" s="1"/>
  <c r="D35" i="15"/>
  <c r="D69" i="15" s="1"/>
  <c r="D39" i="15"/>
  <c r="D73" i="15" s="1"/>
  <c r="D43" i="15"/>
  <c r="D77" i="15" s="1"/>
  <c r="D47" i="15"/>
  <c r="D81" i="15" s="1"/>
  <c r="D21" i="15"/>
  <c r="D55" i="15" s="1"/>
  <c r="T29" i="15"/>
  <c r="T63" i="15" s="1"/>
  <c r="O32" i="15"/>
  <c r="O66" i="15" s="1"/>
  <c r="Z34" i="15"/>
  <c r="Z68" i="15" s="1"/>
  <c r="AE35" i="15"/>
  <c r="AE69" i="15" s="1"/>
  <c r="S37" i="15"/>
  <c r="S71" i="15" s="1"/>
  <c r="U38" i="15"/>
  <c r="U72" i="15" s="1"/>
  <c r="W39" i="15"/>
  <c r="W73" i="15" s="1"/>
  <c r="Y40" i="15"/>
  <c r="Y74" i="15" s="1"/>
  <c r="AA41" i="15"/>
  <c r="AA75" i="15" s="1"/>
  <c r="AC42" i="15"/>
  <c r="AC76" i="15" s="1"/>
  <c r="M43" i="15"/>
  <c r="M77" i="15" s="1"/>
  <c r="W43" i="15"/>
  <c r="W77" i="15" s="1"/>
  <c r="AH43" i="15"/>
  <c r="AH77" i="15" s="1"/>
  <c r="O44" i="15"/>
  <c r="O78" i="15" s="1"/>
  <c r="Y44" i="15"/>
  <c r="Y78" i="15" s="1"/>
  <c r="AH44" i="15"/>
  <c r="AH78" i="15" s="1"/>
  <c r="L45" i="15"/>
  <c r="L79" i="15" s="1"/>
  <c r="T45" i="15"/>
  <c r="T79" i="15" s="1"/>
  <c r="AB45" i="15"/>
  <c r="AB79" i="15" s="1"/>
  <c r="J46" i="15"/>
  <c r="J80" i="15" s="1"/>
  <c r="R46" i="15"/>
  <c r="R80" i="15" s="1"/>
  <c r="Z46" i="15"/>
  <c r="Z80" i="15" s="1"/>
  <c r="AH46" i="15"/>
  <c r="AH80" i="15" s="1"/>
  <c r="L47" i="15"/>
  <c r="L81" i="15" s="1"/>
  <c r="X47" i="15"/>
  <c r="X81" i="15" s="1"/>
  <c r="AF47" i="15"/>
  <c r="AF81" i="15" s="1"/>
  <c r="J48" i="15"/>
  <c r="J82" i="15" s="1"/>
  <c r="V48" i="15"/>
  <c r="V82" i="15" s="1"/>
  <c r="AD48" i="15"/>
  <c r="AD82" i="15" s="1"/>
  <c r="L49" i="15"/>
  <c r="L83" i="15" s="1"/>
  <c r="AB49" i="15"/>
  <c r="AB83" i="15" s="1"/>
  <c r="F50" i="15"/>
  <c r="F84" i="15" s="1"/>
  <c r="N50" i="15"/>
  <c r="N84" i="15" s="1"/>
  <c r="V50" i="15"/>
  <c r="V84" i="15" s="1"/>
  <c r="AH50" i="15"/>
  <c r="AH84" i="15" s="1"/>
  <c r="D29" i="15"/>
  <c r="D63" i="15" s="1"/>
  <c r="D41" i="15"/>
  <c r="D75" i="15" s="1"/>
  <c r="H23" i="15"/>
  <c r="H57" i="15" s="1"/>
  <c r="AG25" i="15"/>
  <c r="AG59" i="15" s="1"/>
  <c r="AB28" i="15"/>
  <c r="AB62" i="15" s="1"/>
  <c r="X31" i="15"/>
  <c r="X65" i="15" s="1"/>
  <c r="Q33" i="15"/>
  <c r="Q67" i="15" s="1"/>
  <c r="S34" i="15"/>
  <c r="S68" i="15" s="1"/>
  <c r="K35" i="15"/>
  <c r="K69" i="15" s="1"/>
  <c r="AA35" i="15"/>
  <c r="AA69" i="15" s="1"/>
  <c r="M36" i="15"/>
  <c r="M70" i="15" s="1"/>
  <c r="AC36" i="15"/>
  <c r="AC70" i="15" s="1"/>
  <c r="O37" i="15"/>
  <c r="O71" i="15" s="1"/>
  <c r="AE37" i="15"/>
  <c r="AE71" i="15" s="1"/>
  <c r="Q38" i="15"/>
  <c r="Q72" i="15" s="1"/>
  <c r="AG38" i="15"/>
  <c r="AG72" i="15" s="1"/>
  <c r="S39" i="15"/>
  <c r="S73" i="15" s="1"/>
  <c r="E40" i="15"/>
  <c r="E74" i="15" s="1"/>
  <c r="U40" i="15"/>
  <c r="U74" i="15" s="1"/>
  <c r="G41" i="15"/>
  <c r="G75" i="15" s="1"/>
  <c r="W41" i="15"/>
  <c r="W75" i="15" s="1"/>
  <c r="I42" i="15"/>
  <c r="I76" i="15" s="1"/>
  <c r="Y42" i="15"/>
  <c r="Y76" i="15" s="1"/>
  <c r="F43" i="15"/>
  <c r="F77" i="15" s="1"/>
  <c r="K43" i="15"/>
  <c r="K77" i="15" s="1"/>
  <c r="Q43" i="15"/>
  <c r="Q77" i="15" s="1"/>
  <c r="V43" i="15"/>
  <c r="V77" i="15" s="1"/>
  <c r="AA43" i="15"/>
  <c r="AA77" i="15" s="1"/>
  <c r="AG43" i="15"/>
  <c r="AG77" i="15" s="1"/>
  <c r="H44" i="15"/>
  <c r="H78" i="15" s="1"/>
  <c r="M44" i="15"/>
  <c r="M78" i="15" s="1"/>
  <c r="S44" i="15"/>
  <c r="S78" i="15" s="1"/>
  <c r="X44" i="15"/>
  <c r="X78" i="15" s="1"/>
  <c r="AC44" i="15"/>
  <c r="AC78" i="15" s="1"/>
  <c r="AG44" i="15"/>
  <c r="AG78" i="15" s="1"/>
  <c r="G45" i="15"/>
  <c r="G79" i="15" s="1"/>
  <c r="K45" i="15"/>
  <c r="K79" i="15" s="1"/>
  <c r="O45" i="15"/>
  <c r="O79" i="15" s="1"/>
  <c r="S45" i="15"/>
  <c r="S79" i="15" s="1"/>
  <c r="W45" i="15"/>
  <c r="W79" i="15" s="1"/>
  <c r="AA45" i="15"/>
  <c r="AA79" i="15" s="1"/>
  <c r="AE45" i="15"/>
  <c r="AE79" i="15" s="1"/>
  <c r="E46" i="15"/>
  <c r="E80" i="15" s="1"/>
  <c r="I46" i="15"/>
  <c r="I80" i="15" s="1"/>
  <c r="M46" i="15"/>
  <c r="M80" i="15" s="1"/>
  <c r="Q46" i="15"/>
  <c r="Q80" i="15" s="1"/>
  <c r="U46" i="15"/>
  <c r="U80" i="15" s="1"/>
  <c r="Y46" i="15"/>
  <c r="Y80" i="15" s="1"/>
  <c r="AC46" i="15"/>
  <c r="AC80" i="15" s="1"/>
  <c r="AG46" i="15"/>
  <c r="AG80" i="15" s="1"/>
  <c r="G47" i="15"/>
  <c r="G81" i="15" s="1"/>
  <c r="K47" i="15"/>
  <c r="K81" i="15" s="1"/>
  <c r="O47" i="15"/>
  <c r="O81" i="15" s="1"/>
  <c r="S47" i="15"/>
  <c r="S81" i="15" s="1"/>
  <c r="W47" i="15"/>
  <c r="W81" i="15" s="1"/>
  <c r="AA47" i="15"/>
  <c r="AA81" i="15" s="1"/>
  <c r="AE47" i="15"/>
  <c r="AE81" i="15" s="1"/>
  <c r="E48" i="15"/>
  <c r="E82" i="15" s="1"/>
  <c r="I48" i="15"/>
  <c r="I82" i="15" s="1"/>
  <c r="M48" i="15"/>
  <c r="M82" i="15" s="1"/>
  <c r="Q48" i="15"/>
  <c r="Q82" i="15" s="1"/>
  <c r="U48" i="15"/>
  <c r="U82" i="15" s="1"/>
  <c r="Y48" i="15"/>
  <c r="Y82" i="15" s="1"/>
  <c r="AC48" i="15"/>
  <c r="AC82" i="15" s="1"/>
  <c r="AG48" i="15"/>
  <c r="AG82" i="15" s="1"/>
  <c r="G49" i="15"/>
  <c r="G83" i="15" s="1"/>
  <c r="K49" i="15"/>
  <c r="K83" i="15" s="1"/>
  <c r="O49" i="15"/>
  <c r="O83" i="15" s="1"/>
  <c r="S49" i="15"/>
  <c r="S83" i="15" s="1"/>
  <c r="W49" i="15"/>
  <c r="W83" i="15" s="1"/>
  <c r="AA49" i="15"/>
  <c r="AA83" i="15" s="1"/>
  <c r="AE49" i="15"/>
  <c r="AE83" i="15" s="1"/>
  <c r="E50" i="15"/>
  <c r="E84" i="15" s="1"/>
  <c r="I50" i="15"/>
  <c r="I84" i="15" s="1"/>
  <c r="M50" i="15"/>
  <c r="M84" i="15" s="1"/>
  <c r="Q50" i="15"/>
  <c r="Q84" i="15" s="1"/>
  <c r="U50" i="15"/>
  <c r="U84" i="15" s="1"/>
  <c r="Y50" i="15"/>
  <c r="Y84" i="15" s="1"/>
  <c r="AC50" i="15"/>
  <c r="AC84" i="15" s="1"/>
  <c r="AG50" i="15"/>
  <c r="AG84" i="15" s="1"/>
  <c r="D24" i="15"/>
  <c r="D58" i="15" s="1"/>
  <c r="D28" i="15"/>
  <c r="D62" i="15" s="1"/>
  <c r="D32" i="15"/>
  <c r="D66" i="15" s="1"/>
  <c r="D36" i="15"/>
  <c r="D70" i="15" s="1"/>
  <c r="D40" i="15"/>
  <c r="D74" i="15" s="1"/>
  <c r="D44" i="15"/>
  <c r="D78" i="15" s="1"/>
  <c r="D48" i="15"/>
  <c r="D82" i="15" s="1"/>
  <c r="AC23" i="15"/>
  <c r="AC57" i="15" s="1"/>
  <c r="F46" i="15"/>
  <c r="F80" i="15" s="1"/>
  <c r="T47" i="15"/>
  <c r="T81" i="15" s="1"/>
  <c r="R48" i="15"/>
  <c r="R82" i="15" s="1"/>
  <c r="H49" i="15"/>
  <c r="H83" i="15" s="1"/>
  <c r="T49" i="15"/>
  <c r="T83" i="15" s="1"/>
  <c r="J50" i="15"/>
  <c r="J84" i="15" s="1"/>
  <c r="AD50" i="15"/>
  <c r="AD84" i="15" s="1"/>
  <c r="D37" i="15"/>
  <c r="D71" i="15" s="1"/>
  <c r="E65" i="15"/>
  <c r="K55" i="15"/>
  <c r="M56" i="15"/>
  <c r="O57" i="15"/>
  <c r="Q58" i="15"/>
  <c r="S59" i="15"/>
  <c r="U60" i="15"/>
  <c r="AC64" i="15"/>
  <c r="K61" i="15"/>
  <c r="C131" i="16"/>
  <c r="M35" i="4"/>
  <c r="M39" i="4"/>
  <c r="M43" i="4"/>
  <c r="M47" i="4"/>
  <c r="M51" i="4"/>
  <c r="M55" i="4"/>
  <c r="M59" i="4"/>
  <c r="M34" i="4"/>
  <c r="M50" i="4"/>
  <c r="M62" i="4"/>
  <c r="M36" i="4"/>
  <c r="M40" i="4"/>
  <c r="M44" i="4"/>
  <c r="M48" i="4"/>
  <c r="M52" i="4"/>
  <c r="M56" i="4"/>
  <c r="M60" i="4"/>
  <c r="M42" i="4"/>
  <c r="M46" i="4"/>
  <c r="M58" i="4"/>
  <c r="M37" i="4"/>
  <c r="M41" i="4"/>
  <c r="M45" i="4"/>
  <c r="M49" i="4"/>
  <c r="M53" i="4"/>
  <c r="M57" i="4"/>
  <c r="M61" i="4"/>
  <c r="M38" i="4"/>
  <c r="M54" i="4"/>
  <c r="AD14" i="6"/>
  <c r="AD48" i="6" s="1"/>
  <c r="AE55" i="15"/>
  <c r="W56" i="15"/>
  <c r="Z55" i="15"/>
  <c r="Q56" i="15"/>
  <c r="E58" i="15"/>
  <c r="G59" i="15"/>
  <c r="W59" i="15"/>
  <c r="E60" i="15"/>
  <c r="V61" i="15"/>
  <c r="O65" i="15"/>
  <c r="R61" i="15"/>
  <c r="B68" i="5"/>
  <c r="AD23" i="6"/>
  <c r="AD57" i="6" s="1"/>
  <c r="AC23" i="6"/>
  <c r="AC57" i="6" s="1"/>
  <c r="Z23" i="6"/>
  <c r="Z57" i="6" s="1"/>
  <c r="N23" i="6"/>
  <c r="N57" i="6" s="1"/>
  <c r="J23" i="6"/>
  <c r="J57" i="6" s="1"/>
  <c r="P23" i="6"/>
  <c r="P57" i="6" s="1"/>
  <c r="S23" i="6"/>
  <c r="S57" i="6" s="1"/>
  <c r="M17" i="6"/>
  <c r="M51" i="6" s="1"/>
  <c r="W17" i="6"/>
  <c r="W51" i="6" s="1"/>
  <c r="K17" i="6"/>
  <c r="K51" i="6" s="1"/>
  <c r="Q23" i="6"/>
  <c r="Q57" i="6" s="1"/>
  <c r="H23" i="6"/>
  <c r="H57" i="6" s="1"/>
  <c r="K23" i="6"/>
  <c r="K57" i="6" s="1"/>
  <c r="T17" i="6"/>
  <c r="T51" i="6" s="1"/>
  <c r="L17" i="6"/>
  <c r="L51" i="6" s="1"/>
  <c r="Z17" i="6"/>
  <c r="Z51" i="6" s="1"/>
  <c r="M23" i="6"/>
  <c r="M57" i="6" s="1"/>
  <c r="AF23" i="6"/>
  <c r="AF57" i="6" s="1"/>
  <c r="C23" i="6"/>
  <c r="C57" i="6" s="1"/>
  <c r="C17" i="6"/>
  <c r="C51" i="6" s="1"/>
  <c r="AC17" i="6"/>
  <c r="AC51" i="6" s="1"/>
  <c r="AF17" i="6"/>
  <c r="AF51" i="6" s="1"/>
  <c r="R17" i="6"/>
  <c r="R51" i="6" s="1"/>
  <c r="X23" i="6"/>
  <c r="X57" i="6" s="1"/>
  <c r="AA23" i="6"/>
  <c r="AA57" i="6" s="1"/>
  <c r="O17" i="6"/>
  <c r="O51" i="6" s="1"/>
  <c r="G17" i="6"/>
  <c r="G51" i="6" s="1"/>
  <c r="U17" i="6"/>
  <c r="U51" i="6" s="1"/>
  <c r="J17" i="6"/>
  <c r="J51" i="6" s="1"/>
  <c r="V23" i="6"/>
  <c r="V57" i="6" s="1"/>
  <c r="U23" i="6"/>
  <c r="U57" i="6" s="1"/>
  <c r="R23" i="6"/>
  <c r="R57" i="6" s="1"/>
  <c r="I23" i="6"/>
  <c r="I57" i="6" s="1"/>
  <c r="T23" i="6"/>
  <c r="T57" i="6" s="1"/>
  <c r="D23" i="6"/>
  <c r="D57" i="6" s="1"/>
  <c r="W23" i="6"/>
  <c r="W57" i="6" s="1"/>
  <c r="G23" i="6"/>
  <c r="G57" i="6" s="1"/>
  <c r="X17" i="6"/>
  <c r="X51" i="6" s="1"/>
  <c r="H17" i="6"/>
  <c r="H51" i="6" s="1"/>
  <c r="AB17" i="6"/>
  <c r="AB51" i="6" s="1"/>
  <c r="D17" i="6"/>
  <c r="D51" i="6" s="1"/>
  <c r="P17" i="6"/>
  <c r="P51" i="6" s="1"/>
  <c r="V17" i="6"/>
  <c r="V51" i="6" s="1"/>
  <c r="F17" i="6"/>
  <c r="F51" i="6" s="1"/>
  <c r="G18" i="6"/>
  <c r="G52" i="6" s="1"/>
  <c r="AD18" i="6"/>
  <c r="AD52" i="6" s="1"/>
  <c r="AA18" i="6"/>
  <c r="AA52" i="6" s="1"/>
  <c r="R18" i="6"/>
  <c r="R52" i="6" s="1"/>
  <c r="U18" i="6"/>
  <c r="U52" i="6" s="1"/>
  <c r="D18" i="6"/>
  <c r="D52" i="6" s="1"/>
  <c r="T18" i="6"/>
  <c r="T52" i="6" s="1"/>
  <c r="E18" i="6"/>
  <c r="E52" i="6" s="1"/>
  <c r="AD8" i="6"/>
  <c r="AD42" i="6" s="1"/>
  <c r="Y8" i="6"/>
  <c r="Y42" i="6" s="1"/>
  <c r="M8" i="6"/>
  <c r="M42" i="6" s="1"/>
  <c r="L8" i="6"/>
  <c r="L42" i="6" s="1"/>
  <c r="U8" i="6"/>
  <c r="U42" i="6" s="1"/>
  <c r="AE8" i="6"/>
  <c r="AE42" i="6" s="1"/>
  <c r="O8" i="6"/>
  <c r="O42" i="6" s="1"/>
  <c r="K30" i="6"/>
  <c r="K64" i="6" s="1"/>
  <c r="J30" i="6"/>
  <c r="J64" i="6" s="1"/>
  <c r="G30" i="6"/>
  <c r="G64" i="6" s="1"/>
  <c r="F30" i="6"/>
  <c r="F64" i="6" s="1"/>
  <c r="U30" i="6"/>
  <c r="U64" i="6" s="1"/>
  <c r="E30" i="6"/>
  <c r="E64" i="6" s="1"/>
  <c r="T30" i="6"/>
  <c r="T64" i="6" s="1"/>
  <c r="D30" i="6"/>
  <c r="D64" i="6" s="1"/>
  <c r="L25" i="6"/>
  <c r="L59" i="6" s="1"/>
  <c r="K25" i="6"/>
  <c r="K59" i="6" s="1"/>
  <c r="H25" i="6"/>
  <c r="H59" i="6" s="1"/>
  <c r="G25" i="6"/>
  <c r="G59" i="6" s="1"/>
  <c r="R25" i="6"/>
  <c r="R59" i="6" s="1"/>
  <c r="AC25" i="6"/>
  <c r="AC59" i="6" s="1"/>
  <c r="M25" i="6"/>
  <c r="M59" i="6" s="1"/>
  <c r="K5" i="6"/>
  <c r="K39" i="6" s="1"/>
  <c r="T5" i="6"/>
  <c r="T39" i="6" s="1"/>
  <c r="X5" i="6"/>
  <c r="X39" i="6" s="1"/>
  <c r="W5" i="6"/>
  <c r="W39" i="6" s="1"/>
  <c r="Z5" i="6"/>
  <c r="Z39" i="6" s="1"/>
  <c r="J5" i="6"/>
  <c r="J39" i="6" s="1"/>
  <c r="U5" i="6"/>
  <c r="U39" i="6" s="1"/>
  <c r="E5" i="6"/>
  <c r="E39" i="6" s="1"/>
  <c r="I24" i="6"/>
  <c r="I58" i="6" s="1"/>
  <c r="H24" i="6"/>
  <c r="H58" i="6" s="1"/>
  <c r="E24" i="6"/>
  <c r="E58" i="6" s="1"/>
  <c r="D24" i="6"/>
  <c r="D58" i="6" s="1"/>
  <c r="S24" i="6"/>
  <c r="S58" i="6" s="1"/>
  <c r="AD24" i="6"/>
  <c r="AD58" i="6" s="1"/>
  <c r="N24" i="6"/>
  <c r="N58" i="6" s="1"/>
  <c r="Q32" i="6"/>
  <c r="Q66" i="6" s="1"/>
  <c r="X32" i="6"/>
  <c r="X66" i="6" s="1"/>
  <c r="U32" i="6"/>
  <c r="U66" i="6" s="1"/>
  <c r="T32" i="6"/>
  <c r="T66" i="6" s="1"/>
  <c r="AA32" i="6"/>
  <c r="AA66" i="6" s="1"/>
  <c r="K32" i="6"/>
  <c r="K66" i="6" s="1"/>
  <c r="V32" i="6"/>
  <c r="V66" i="6" s="1"/>
  <c r="F32" i="6"/>
  <c r="F66" i="6" s="1"/>
  <c r="U28" i="6"/>
  <c r="U62" i="6" s="1"/>
  <c r="D28" i="6"/>
  <c r="D62" i="6" s="1"/>
  <c r="I28" i="6"/>
  <c r="I62" i="6" s="1"/>
  <c r="H28" i="6"/>
  <c r="H62" i="6" s="1"/>
  <c r="S28" i="6"/>
  <c r="S62" i="6" s="1"/>
  <c r="AD28" i="6"/>
  <c r="AD62" i="6" s="1"/>
  <c r="N28" i="6"/>
  <c r="N62" i="6" s="1"/>
  <c r="AF9" i="6"/>
  <c r="AF43" i="6" s="1"/>
  <c r="U9" i="6"/>
  <c r="U43" i="6" s="1"/>
  <c r="AA9" i="6"/>
  <c r="AA43" i="6" s="1"/>
  <c r="Y9" i="6"/>
  <c r="Y43" i="6" s="1"/>
  <c r="D9" i="6"/>
  <c r="D43" i="6" s="1"/>
  <c r="M9" i="6"/>
  <c r="M43" i="6" s="1"/>
  <c r="V9" i="6"/>
  <c r="V43" i="6" s="1"/>
  <c r="F9" i="6"/>
  <c r="F43" i="6" s="1"/>
  <c r="O10" i="6"/>
  <c r="O44" i="6" s="1"/>
  <c r="T10" i="6"/>
  <c r="T44" i="6" s="1"/>
  <c r="H10" i="6"/>
  <c r="H44" i="6" s="1"/>
  <c r="L10" i="6"/>
  <c r="L44" i="6" s="1"/>
  <c r="V10" i="6"/>
  <c r="V44" i="6" s="1"/>
  <c r="AC10" i="6"/>
  <c r="AC44" i="6" s="1"/>
  <c r="M10" i="6"/>
  <c r="M44" i="6" s="1"/>
  <c r="F7" i="6"/>
  <c r="F41" i="6" s="1"/>
  <c r="O7" i="6"/>
  <c r="O41" i="6" s="1"/>
  <c r="AE7" i="6"/>
  <c r="AE41" i="6" s="1"/>
  <c r="Y7" i="6"/>
  <c r="Y41" i="6" s="1"/>
  <c r="AC7" i="6"/>
  <c r="AC41" i="6" s="1"/>
  <c r="G7" i="6"/>
  <c r="G41" i="6" s="1"/>
  <c r="T7" i="6"/>
  <c r="T41" i="6" s="1"/>
  <c r="D7" i="6"/>
  <c r="D41" i="6" s="1"/>
  <c r="I15" i="6"/>
  <c r="I49" i="6" s="1"/>
  <c r="V15" i="6"/>
  <c r="V49" i="6" s="1"/>
  <c r="AC15" i="6"/>
  <c r="AC49" i="6" s="1"/>
  <c r="AF15" i="6"/>
  <c r="AF49" i="6" s="1"/>
  <c r="P15" i="6"/>
  <c r="P49" i="6" s="1"/>
  <c r="AE15" i="6"/>
  <c r="AE49" i="6" s="1"/>
  <c r="O15" i="6"/>
  <c r="O49" i="6" s="1"/>
  <c r="J19" i="6"/>
  <c r="J53" i="6" s="1"/>
  <c r="I19" i="6"/>
  <c r="I53" i="6" s="1"/>
  <c r="F19" i="6"/>
  <c r="F53" i="6" s="1"/>
  <c r="E19" i="6"/>
  <c r="E53" i="6" s="1"/>
  <c r="T19" i="6"/>
  <c r="T53" i="6" s="1"/>
  <c r="D19" i="6"/>
  <c r="D53" i="6" s="1"/>
  <c r="W19" i="6"/>
  <c r="W53" i="6" s="1"/>
  <c r="G19" i="6"/>
  <c r="G53" i="6" s="1"/>
  <c r="Z22" i="6"/>
  <c r="Z56" i="6" s="1"/>
  <c r="W22" i="6"/>
  <c r="W56" i="6" s="1"/>
  <c r="V22" i="6"/>
  <c r="V56" i="6" s="1"/>
  <c r="AC22" i="6"/>
  <c r="AC56" i="6" s="1"/>
  <c r="M22" i="6"/>
  <c r="M56" i="6" s="1"/>
  <c r="AB22" i="6"/>
  <c r="AB56" i="6" s="1"/>
  <c r="L22" i="6"/>
  <c r="L56" i="6" s="1"/>
  <c r="C13" i="6"/>
  <c r="C47" i="6" s="1"/>
  <c r="AA13" i="6"/>
  <c r="AA47" i="6" s="1"/>
  <c r="P13" i="6"/>
  <c r="P47" i="6" s="1"/>
  <c r="O13" i="6"/>
  <c r="O47" i="6" s="1"/>
  <c r="V13" i="6"/>
  <c r="V47" i="6" s="1"/>
  <c r="E13" i="6"/>
  <c r="E47" i="6" s="1"/>
  <c r="Q13" i="6"/>
  <c r="Q47" i="6" s="1"/>
  <c r="F13" i="6"/>
  <c r="F47" i="6" s="1"/>
  <c r="X29" i="6"/>
  <c r="X63" i="6" s="1"/>
  <c r="G29" i="6"/>
  <c r="G63" i="6" s="1"/>
  <c r="C29" i="6"/>
  <c r="C63" i="6" s="1"/>
  <c r="Z29" i="6"/>
  <c r="Z63" i="6" s="1"/>
  <c r="U29" i="6"/>
  <c r="U63" i="6" s="1"/>
  <c r="L16" i="6"/>
  <c r="L50" i="6" s="1"/>
  <c r="I16" i="6"/>
  <c r="I50" i="6" s="1"/>
  <c r="S16" i="6"/>
  <c r="S50" i="6" s="1"/>
  <c r="N16" i="6"/>
  <c r="N50" i="6" s="1"/>
  <c r="AE14" i="6"/>
  <c r="AE48" i="6" s="1"/>
  <c r="I17" i="6"/>
  <c r="I51" i="6" s="1"/>
  <c r="AE18" i="6"/>
  <c r="AE52" i="6" s="1"/>
  <c r="V18" i="6"/>
  <c r="V52" i="6" s="1"/>
  <c r="S18" i="6"/>
  <c r="S52" i="6" s="1"/>
  <c r="J18" i="6"/>
  <c r="J52" i="6" s="1"/>
  <c r="Q18" i="6"/>
  <c r="Q52" i="6" s="1"/>
  <c r="AF18" i="6"/>
  <c r="AF52" i="6" s="1"/>
  <c r="P18" i="6"/>
  <c r="P52" i="6" s="1"/>
  <c r="T8" i="6"/>
  <c r="T42" i="6" s="1"/>
  <c r="I8" i="6"/>
  <c r="I42" i="6" s="1"/>
  <c r="N8" i="6"/>
  <c r="N42" i="6" s="1"/>
  <c r="AB8" i="6"/>
  <c r="AB42" i="6" s="1"/>
  <c r="F8" i="6"/>
  <c r="F42" i="6" s="1"/>
  <c r="P8" i="6"/>
  <c r="P42" i="6" s="1"/>
  <c r="AA8" i="6"/>
  <c r="AA42" i="6" s="1"/>
  <c r="K8" i="6"/>
  <c r="K42" i="6" s="1"/>
  <c r="AA30" i="6"/>
  <c r="AA64" i="6" s="1"/>
  <c r="AE30" i="6"/>
  <c r="AE64" i="6" s="1"/>
  <c r="AD30" i="6"/>
  <c r="AD64" i="6" s="1"/>
  <c r="C30" i="6"/>
  <c r="C64" i="6" s="1"/>
  <c r="Q30" i="6"/>
  <c r="Q64" i="6" s="1"/>
  <c r="AF30" i="6"/>
  <c r="AF64" i="6" s="1"/>
  <c r="P30" i="6"/>
  <c r="P64" i="6" s="1"/>
  <c r="D25" i="6"/>
  <c r="D59" i="6" s="1"/>
  <c r="C25" i="6"/>
  <c r="C59" i="6" s="1"/>
  <c r="AF25" i="6"/>
  <c r="AF59" i="6" s="1"/>
  <c r="AE25" i="6"/>
  <c r="AE59" i="6" s="1"/>
  <c r="AD25" i="6"/>
  <c r="AD59" i="6" s="1"/>
  <c r="N25" i="6"/>
  <c r="N59" i="6" s="1"/>
  <c r="Y25" i="6"/>
  <c r="Y59" i="6" s="1"/>
  <c r="I25" i="6"/>
  <c r="I59" i="6" s="1"/>
  <c r="AB5" i="6"/>
  <c r="AB39" i="6" s="1"/>
  <c r="D5" i="6"/>
  <c r="D39" i="6" s="1"/>
  <c r="P5" i="6"/>
  <c r="P39" i="6" s="1"/>
  <c r="O5" i="6"/>
  <c r="O39" i="6" s="1"/>
  <c r="V5" i="6"/>
  <c r="V39" i="6" s="1"/>
  <c r="F5" i="6"/>
  <c r="F39" i="6" s="1"/>
  <c r="Q5" i="6"/>
  <c r="Q39" i="6" s="1"/>
  <c r="Y24" i="6"/>
  <c r="Y58" i="6" s="1"/>
  <c r="AF24" i="6"/>
  <c r="AF58" i="6" s="1"/>
  <c r="AC24" i="6"/>
  <c r="AC58" i="6" s="1"/>
  <c r="AB24" i="6"/>
  <c r="AB58" i="6" s="1"/>
  <c r="AE24" i="6"/>
  <c r="AE58" i="6" s="1"/>
  <c r="O24" i="6"/>
  <c r="O58" i="6" s="1"/>
  <c r="Z24" i="6"/>
  <c r="Z58" i="6" s="1"/>
  <c r="J24" i="6"/>
  <c r="J58" i="6" s="1"/>
  <c r="I32" i="6"/>
  <c r="I66" i="6" s="1"/>
  <c r="P32" i="6"/>
  <c r="P66" i="6" s="1"/>
  <c r="M32" i="6"/>
  <c r="M66" i="6" s="1"/>
  <c r="L32" i="6"/>
  <c r="L66" i="6" s="1"/>
  <c r="W32" i="6"/>
  <c r="W66" i="6" s="1"/>
  <c r="G32" i="6"/>
  <c r="G66" i="6" s="1"/>
  <c r="R32" i="6"/>
  <c r="R66" i="6" s="1"/>
  <c r="M28" i="6"/>
  <c r="M62" i="6" s="1"/>
  <c r="AB28" i="6"/>
  <c r="AB62" i="6" s="1"/>
  <c r="C28" i="6"/>
  <c r="C62" i="6" s="1"/>
  <c r="AF28" i="6"/>
  <c r="AF62" i="6" s="1"/>
  <c r="AE28" i="6"/>
  <c r="AE62" i="6" s="1"/>
  <c r="O28" i="6"/>
  <c r="O62" i="6" s="1"/>
  <c r="Z28" i="6"/>
  <c r="Z62" i="6" s="1"/>
  <c r="J28" i="6"/>
  <c r="J62" i="6" s="1"/>
  <c r="K9" i="6"/>
  <c r="K43" i="6" s="1"/>
  <c r="AB9" i="6"/>
  <c r="AB43" i="6" s="1"/>
  <c r="P9" i="6"/>
  <c r="P43" i="6" s="1"/>
  <c r="T9" i="6"/>
  <c r="T43" i="6" s="1"/>
  <c r="AC9" i="6"/>
  <c r="AC43" i="6" s="1"/>
  <c r="H9" i="6"/>
  <c r="H43" i="6" s="1"/>
  <c r="R9" i="6"/>
  <c r="R43" i="6" s="1"/>
  <c r="Z10" i="6"/>
  <c r="Z44" i="6" s="1"/>
  <c r="C10" i="6"/>
  <c r="C44" i="6" s="1"/>
  <c r="J10" i="6"/>
  <c r="J44" i="6" s="1"/>
  <c r="AB10" i="6"/>
  <c r="AB44" i="6" s="1"/>
  <c r="G10" i="6"/>
  <c r="G44" i="6" s="1"/>
  <c r="P10" i="6"/>
  <c r="P44" i="6" s="1"/>
  <c r="Y10" i="6"/>
  <c r="Y44" i="6" s="1"/>
  <c r="I10" i="6"/>
  <c r="I44" i="6" s="1"/>
  <c r="Z7" i="6"/>
  <c r="Z41" i="6" s="1"/>
  <c r="V7" i="6"/>
  <c r="V41" i="6" s="1"/>
  <c r="U7" i="6"/>
  <c r="U41" i="6" s="1"/>
  <c r="S7" i="6"/>
  <c r="S41" i="6" s="1"/>
  <c r="W7" i="6"/>
  <c r="W41" i="6" s="1"/>
  <c r="AF7" i="6"/>
  <c r="AF41" i="6" s="1"/>
  <c r="P7" i="6"/>
  <c r="P41" i="6" s="1"/>
  <c r="Z15" i="6"/>
  <c r="Z49" i="6" s="1"/>
  <c r="R15" i="6"/>
  <c r="R49" i="6" s="1"/>
  <c r="N15" i="6"/>
  <c r="N49" i="6" s="1"/>
  <c r="U15" i="6"/>
  <c r="U49" i="6" s="1"/>
  <c r="AB15" i="6"/>
  <c r="AB49" i="6" s="1"/>
  <c r="L15" i="6"/>
  <c r="L49" i="6" s="1"/>
  <c r="AA15" i="6"/>
  <c r="AA49" i="6" s="1"/>
  <c r="K15" i="6"/>
  <c r="K49" i="6" s="1"/>
  <c r="Z19" i="6"/>
  <c r="Z53" i="6" s="1"/>
  <c r="AD19" i="6"/>
  <c r="AD53" i="6" s="1"/>
  <c r="AC19" i="6"/>
  <c r="AC53" i="6" s="1"/>
  <c r="AF19" i="6"/>
  <c r="AF53" i="6" s="1"/>
  <c r="P19" i="6"/>
  <c r="P53" i="6" s="1"/>
  <c r="C19" i="6"/>
  <c r="C53" i="6" s="1"/>
  <c r="S19" i="6"/>
  <c r="S53" i="6" s="1"/>
  <c r="AA22" i="6"/>
  <c r="AA56" i="6" s="1"/>
  <c r="R22" i="6"/>
  <c r="R56" i="6" s="1"/>
  <c r="O22" i="6"/>
  <c r="O56" i="6" s="1"/>
  <c r="N22" i="6"/>
  <c r="N56" i="6" s="1"/>
  <c r="Y22" i="6"/>
  <c r="Y56" i="6" s="1"/>
  <c r="I22" i="6"/>
  <c r="I56" i="6" s="1"/>
  <c r="X22" i="6"/>
  <c r="X56" i="6" s="1"/>
  <c r="H22" i="6"/>
  <c r="H56" i="6" s="1"/>
  <c r="S13" i="6"/>
  <c r="S47" i="6" s="1"/>
  <c r="K13" i="6"/>
  <c r="K47" i="6" s="1"/>
  <c r="H13" i="6"/>
  <c r="H47" i="6" s="1"/>
  <c r="G13" i="6"/>
  <c r="G47" i="6" s="1"/>
  <c r="R13" i="6"/>
  <c r="R47" i="6" s="1"/>
  <c r="AC13" i="6"/>
  <c r="AC47" i="6" s="1"/>
  <c r="M13" i="6"/>
  <c r="M47" i="6" s="1"/>
  <c r="P29" i="6"/>
  <c r="P63" i="6" s="1"/>
  <c r="AE29" i="6"/>
  <c r="AE63" i="6" s="1"/>
  <c r="AB29" i="6"/>
  <c r="AB63" i="6" s="1"/>
  <c r="AA29" i="6"/>
  <c r="AA63" i="6" s="1"/>
  <c r="R29" i="6"/>
  <c r="R63" i="6" s="1"/>
  <c r="M29" i="6"/>
  <c r="M63" i="6" s="1"/>
  <c r="E16" i="6"/>
  <c r="E50" i="6" s="1"/>
  <c r="X16" i="6"/>
  <c r="X50" i="6" s="1"/>
  <c r="K16" i="6"/>
  <c r="K50" i="6" s="1"/>
  <c r="F16" i="6"/>
  <c r="F50" i="6" s="1"/>
  <c r="K3" i="6"/>
  <c r="K37" i="6" s="1"/>
  <c r="AA3" i="6"/>
  <c r="AA37" i="6" s="1"/>
  <c r="L3" i="6"/>
  <c r="L37" i="6" s="1"/>
  <c r="AB3" i="6"/>
  <c r="AB37" i="6" s="1"/>
  <c r="Y3" i="6"/>
  <c r="Y37" i="6" s="1"/>
  <c r="M3" i="6"/>
  <c r="M37" i="6" s="1"/>
  <c r="AD3" i="6"/>
  <c r="AD37" i="6" s="1"/>
  <c r="F3" i="6"/>
  <c r="F37" i="6" s="1"/>
  <c r="O3" i="6"/>
  <c r="O37" i="6" s="1"/>
  <c r="AE3" i="6"/>
  <c r="AE37" i="6" s="1"/>
  <c r="P3" i="6"/>
  <c r="P37" i="6" s="1"/>
  <c r="AF3" i="6"/>
  <c r="AF37" i="6" s="1"/>
  <c r="J3" i="6"/>
  <c r="J37" i="6" s="1"/>
  <c r="AC3" i="6"/>
  <c r="AC37" i="6" s="1"/>
  <c r="U3" i="6"/>
  <c r="U37" i="6" s="1"/>
  <c r="S3" i="6"/>
  <c r="S37" i="6" s="1"/>
  <c r="D3" i="6"/>
  <c r="D37" i="6" s="1"/>
  <c r="T3" i="6"/>
  <c r="T37" i="6" s="1"/>
  <c r="I3" i="6"/>
  <c r="I37" i="6" s="1"/>
  <c r="R3" i="6"/>
  <c r="R37" i="6" s="1"/>
  <c r="C3" i="6"/>
  <c r="C37" i="6" s="1"/>
  <c r="V3" i="6"/>
  <c r="V37" i="6" s="1"/>
  <c r="G3" i="6"/>
  <c r="G37" i="6" s="1"/>
  <c r="W3" i="6"/>
  <c r="W37" i="6" s="1"/>
  <c r="H3" i="6"/>
  <c r="H37" i="6" s="1"/>
  <c r="X3" i="6"/>
  <c r="X37" i="6" s="1"/>
  <c r="Q3" i="6"/>
  <c r="Q37" i="6" s="1"/>
  <c r="Z3" i="6"/>
  <c r="Z37" i="6" s="1"/>
  <c r="N3" i="6"/>
  <c r="N37" i="6" s="1"/>
  <c r="E3" i="6"/>
  <c r="E37" i="6" s="1"/>
  <c r="G31" i="6"/>
  <c r="G65" i="6" s="1"/>
  <c r="W31" i="6"/>
  <c r="W65" i="6" s="1"/>
  <c r="D31" i="6"/>
  <c r="D65" i="6" s="1"/>
  <c r="T31" i="6"/>
  <c r="T65" i="6" s="1"/>
  <c r="I31" i="6"/>
  <c r="I65" i="6" s="1"/>
  <c r="R31" i="6"/>
  <c r="R65" i="6" s="1"/>
  <c r="U31" i="6"/>
  <c r="U65" i="6" s="1"/>
  <c r="N31" i="6"/>
  <c r="N65" i="6" s="1"/>
  <c r="L26" i="6"/>
  <c r="L60" i="6" s="1"/>
  <c r="AB26" i="6"/>
  <c r="AB60" i="6" s="1"/>
  <c r="M26" i="6"/>
  <c r="M60" i="6" s="1"/>
  <c r="AC26" i="6"/>
  <c r="AC60" i="6" s="1"/>
  <c r="Z26" i="6"/>
  <c r="Z60" i="6" s="1"/>
  <c r="F26" i="6"/>
  <c r="F60" i="6" s="1"/>
  <c r="O26" i="6"/>
  <c r="O60" i="6" s="1"/>
  <c r="D11" i="6"/>
  <c r="D45" i="6" s="1"/>
  <c r="T11" i="6"/>
  <c r="T45" i="6" s="1"/>
  <c r="I11" i="6"/>
  <c r="I45" i="6" s="1"/>
  <c r="AD11" i="6"/>
  <c r="AD45" i="6" s="1"/>
  <c r="U11" i="6"/>
  <c r="U45" i="6" s="1"/>
  <c r="V11" i="6"/>
  <c r="V45" i="6" s="1"/>
  <c r="F11" i="6"/>
  <c r="F45" i="6" s="1"/>
  <c r="Q11" i="6"/>
  <c r="Q45" i="6" s="1"/>
  <c r="N20" i="6"/>
  <c r="N54" i="6" s="1"/>
  <c r="AD20" i="6"/>
  <c r="AD54" i="6" s="1"/>
  <c r="S20" i="6"/>
  <c r="S54" i="6" s="1"/>
  <c r="H20" i="6"/>
  <c r="H54" i="6" s="1"/>
  <c r="I20" i="6"/>
  <c r="I54" i="6" s="1"/>
  <c r="D20" i="6"/>
  <c r="D54" i="6" s="1"/>
  <c r="AC20" i="6"/>
  <c r="AC54" i="6" s="1"/>
  <c r="F4" i="6"/>
  <c r="F38" i="6" s="1"/>
  <c r="V4" i="6"/>
  <c r="V38" i="6" s="1"/>
  <c r="K4" i="6"/>
  <c r="K38" i="6" s="1"/>
  <c r="AA4" i="6"/>
  <c r="AA38" i="6" s="1"/>
  <c r="T4" i="6"/>
  <c r="T38" i="6" s="1"/>
  <c r="U4" i="6"/>
  <c r="U38" i="6" s="1"/>
  <c r="Q4" i="6"/>
  <c r="Q38" i="6" s="1"/>
  <c r="H4" i="6"/>
  <c r="H38" i="6" s="1"/>
  <c r="E6" i="6"/>
  <c r="E40" i="6" s="1"/>
  <c r="U6" i="6"/>
  <c r="U40" i="6" s="1"/>
  <c r="O6" i="6"/>
  <c r="O40" i="6" s="1"/>
  <c r="K6" i="6"/>
  <c r="K40" i="6" s="1"/>
  <c r="AF6" i="6"/>
  <c r="AF40" i="6" s="1"/>
  <c r="G6" i="6"/>
  <c r="G40" i="6" s="1"/>
  <c r="X6" i="6"/>
  <c r="X40" i="6" s="1"/>
  <c r="G12" i="6"/>
  <c r="G46" i="6" s="1"/>
  <c r="W12" i="6"/>
  <c r="W46" i="6" s="1"/>
  <c r="L12" i="6"/>
  <c r="L46" i="6" s="1"/>
  <c r="H12" i="6"/>
  <c r="H46" i="6" s="1"/>
  <c r="AC12" i="6"/>
  <c r="AC46" i="6" s="1"/>
  <c r="E12" i="6"/>
  <c r="E46" i="6" s="1"/>
  <c r="U12" i="6"/>
  <c r="U46" i="6" s="1"/>
  <c r="J12" i="6"/>
  <c r="J46" i="6" s="1"/>
  <c r="O27" i="6"/>
  <c r="O61" i="6" s="1"/>
  <c r="AE27" i="6"/>
  <c r="AE61" i="6" s="1"/>
  <c r="L27" i="6"/>
  <c r="L61" i="6" s="1"/>
  <c r="AB27" i="6"/>
  <c r="AB61" i="6" s="1"/>
  <c r="U27" i="6"/>
  <c r="U61" i="6" s="1"/>
  <c r="V27" i="6"/>
  <c r="V61" i="6" s="1"/>
  <c r="Y27" i="6"/>
  <c r="Y61" i="6" s="1"/>
  <c r="E21" i="6"/>
  <c r="E55" i="6" s="1"/>
  <c r="U21" i="6"/>
  <c r="U55" i="6" s="1"/>
  <c r="J21" i="6"/>
  <c r="J55" i="6" s="1"/>
  <c r="Z21" i="6"/>
  <c r="Z55" i="6" s="1"/>
  <c r="AA21" i="6"/>
  <c r="AA55" i="6" s="1"/>
  <c r="T21" i="6"/>
  <c r="T55" i="6" s="1"/>
  <c r="W21" i="6"/>
  <c r="W55" i="6" s="1"/>
  <c r="P21" i="6"/>
  <c r="P55" i="6" s="1"/>
  <c r="L14" i="6"/>
  <c r="L48" i="6" s="1"/>
  <c r="AB14" i="6"/>
  <c r="AB48" i="6" s="1"/>
  <c r="M14" i="6"/>
  <c r="M48" i="6" s="1"/>
  <c r="AC14" i="6"/>
  <c r="AC48" i="6" s="1"/>
  <c r="K31" i="6"/>
  <c r="K65" i="6" s="1"/>
  <c r="AA31" i="6"/>
  <c r="AA65" i="6" s="1"/>
  <c r="H31" i="6"/>
  <c r="H65" i="6" s="1"/>
  <c r="X31" i="6"/>
  <c r="X65" i="6" s="1"/>
  <c r="Q31" i="6"/>
  <c r="Q65" i="6" s="1"/>
  <c r="Z31" i="6"/>
  <c r="Z65" i="6" s="1"/>
  <c r="AC31" i="6"/>
  <c r="AC65" i="6" s="1"/>
  <c r="V31" i="6"/>
  <c r="V65" i="6" s="1"/>
  <c r="P26" i="6"/>
  <c r="P60" i="6" s="1"/>
  <c r="AF26" i="6"/>
  <c r="AF60" i="6" s="1"/>
  <c r="Q26" i="6"/>
  <c r="Q60" i="6" s="1"/>
  <c r="C26" i="6"/>
  <c r="C60" i="6" s="1"/>
  <c r="K26" i="6"/>
  <c r="K60" i="6" s="1"/>
  <c r="N26" i="6"/>
  <c r="N60" i="6" s="1"/>
  <c r="W26" i="6"/>
  <c r="W60" i="6" s="1"/>
  <c r="H11" i="6"/>
  <c r="H45" i="6" s="1"/>
  <c r="X11" i="6"/>
  <c r="X45" i="6" s="1"/>
  <c r="N11" i="6"/>
  <c r="N45" i="6" s="1"/>
  <c r="E11" i="6"/>
  <c r="E45" i="6" s="1"/>
  <c r="Z11" i="6"/>
  <c r="Z45" i="6" s="1"/>
  <c r="C11" i="6"/>
  <c r="C45" i="6" s="1"/>
  <c r="AA11" i="6"/>
  <c r="AA45" i="6" s="1"/>
  <c r="R11" i="6"/>
  <c r="R45" i="6" s="1"/>
  <c r="R20" i="6"/>
  <c r="R54" i="6" s="1"/>
  <c r="G20" i="6"/>
  <c r="G54" i="6" s="1"/>
  <c r="W20" i="6"/>
  <c r="W54" i="6" s="1"/>
  <c r="P20" i="6"/>
  <c r="P54" i="6" s="1"/>
  <c r="Q20" i="6"/>
  <c r="Q54" i="6" s="1"/>
  <c r="L20" i="6"/>
  <c r="L54" i="6" s="1"/>
  <c r="E20" i="6"/>
  <c r="E54" i="6" s="1"/>
  <c r="J4" i="6"/>
  <c r="J38" i="6" s="1"/>
  <c r="Z4" i="6"/>
  <c r="Z38" i="6" s="1"/>
  <c r="O4" i="6"/>
  <c r="O38" i="6" s="1"/>
  <c r="AE4" i="6"/>
  <c r="AE38" i="6" s="1"/>
  <c r="AB4" i="6"/>
  <c r="AB38" i="6" s="1"/>
  <c r="AC4" i="6"/>
  <c r="AC38" i="6" s="1"/>
  <c r="X4" i="6"/>
  <c r="X38" i="6" s="1"/>
  <c r="I4" i="6"/>
  <c r="I38" i="6" s="1"/>
  <c r="I6" i="6"/>
  <c r="I40" i="6" s="1"/>
  <c r="Y6" i="6"/>
  <c r="Y40" i="6" s="1"/>
  <c r="T6" i="6"/>
  <c r="T40" i="6" s="1"/>
  <c r="P6" i="6"/>
  <c r="P40" i="6" s="1"/>
  <c r="F6" i="6"/>
  <c r="F40" i="6" s="1"/>
  <c r="S6" i="6"/>
  <c r="S40" i="6" s="1"/>
  <c r="L6" i="6"/>
  <c r="L40" i="6" s="1"/>
  <c r="K12" i="6"/>
  <c r="K46" i="6" s="1"/>
  <c r="AA12" i="6"/>
  <c r="AA46" i="6" s="1"/>
  <c r="Q12" i="6"/>
  <c r="Q46" i="6" s="1"/>
  <c r="M12" i="6"/>
  <c r="M46" i="6" s="1"/>
  <c r="D12" i="6"/>
  <c r="D46" i="6" s="1"/>
  <c r="P12" i="6"/>
  <c r="P46" i="6" s="1"/>
  <c r="I12" i="6"/>
  <c r="I46" i="6" s="1"/>
  <c r="C12" i="6"/>
  <c r="C46" i="6" s="1"/>
  <c r="S27" i="6"/>
  <c r="S61" i="6" s="1"/>
  <c r="C27" i="6"/>
  <c r="C61" i="6" s="1"/>
  <c r="P27" i="6"/>
  <c r="P61" i="6" s="1"/>
  <c r="AF27" i="6"/>
  <c r="AF61" i="6" s="1"/>
  <c r="AC27" i="6"/>
  <c r="AC61" i="6" s="1"/>
  <c r="AD27" i="6"/>
  <c r="AD61" i="6" s="1"/>
  <c r="R27" i="6"/>
  <c r="R61" i="6" s="1"/>
  <c r="I21" i="6"/>
  <c r="I55" i="6" s="1"/>
  <c r="Y21" i="6"/>
  <c r="Y55" i="6" s="1"/>
  <c r="N21" i="6"/>
  <c r="N55" i="6" s="1"/>
  <c r="AD21" i="6"/>
  <c r="AD55" i="6" s="1"/>
  <c r="C21" i="6"/>
  <c r="C55" i="6" s="1"/>
  <c r="AB21" i="6"/>
  <c r="AB55" i="6" s="1"/>
  <c r="AE21" i="6"/>
  <c r="AE55" i="6" s="1"/>
  <c r="X21" i="6"/>
  <c r="X55" i="6" s="1"/>
  <c r="P14" i="6"/>
  <c r="P48" i="6" s="1"/>
  <c r="AF14" i="6"/>
  <c r="AF48" i="6" s="1"/>
  <c r="Q14" i="6"/>
  <c r="Q48" i="6" s="1"/>
  <c r="J14" i="6"/>
  <c r="J48" i="6" s="1"/>
  <c r="S14" i="6"/>
  <c r="S48" i="6" s="1"/>
  <c r="O14" i="6"/>
  <c r="O48" i="6" s="1"/>
  <c r="V14" i="6"/>
  <c r="V48" i="6" s="1"/>
  <c r="J16" i="6"/>
  <c r="Z16" i="6"/>
  <c r="Z50" i="6" s="1"/>
  <c r="O16" i="6"/>
  <c r="O50" i="6" s="1"/>
  <c r="AE16" i="6"/>
  <c r="AE50" i="6" s="1"/>
  <c r="AF16" i="6"/>
  <c r="AF50" i="6" s="1"/>
  <c r="D16" i="6"/>
  <c r="D50" i="6" s="1"/>
  <c r="U16" i="6"/>
  <c r="U50" i="6" s="1"/>
  <c r="AC16" i="6"/>
  <c r="AC50" i="6" s="1"/>
  <c r="Q29" i="6"/>
  <c r="Q63" i="6" s="1"/>
  <c r="F29" i="6"/>
  <c r="F63" i="6" s="1"/>
  <c r="V29" i="6"/>
  <c r="V63" i="6" s="1"/>
  <c r="S29" i="6"/>
  <c r="S63" i="6" s="1"/>
  <c r="L29" i="6"/>
  <c r="L63" i="6" s="1"/>
  <c r="O31" i="6"/>
  <c r="O65" i="6" s="1"/>
  <c r="AE31" i="6"/>
  <c r="AE65" i="6" s="1"/>
  <c r="L31" i="6"/>
  <c r="L65" i="6" s="1"/>
  <c r="AB31" i="6"/>
  <c r="AB65" i="6" s="1"/>
  <c r="Y31" i="6"/>
  <c r="Y65" i="6" s="1"/>
  <c r="E31" i="6"/>
  <c r="E65" i="6" s="1"/>
  <c r="AD31" i="6"/>
  <c r="AD65" i="6" s="1"/>
  <c r="D26" i="6"/>
  <c r="D60" i="6" s="1"/>
  <c r="T26" i="6"/>
  <c r="T60" i="6" s="1"/>
  <c r="E26" i="6"/>
  <c r="E60" i="6" s="1"/>
  <c r="U26" i="6"/>
  <c r="U60" i="6" s="1"/>
  <c r="J26" i="6"/>
  <c r="J60" i="6" s="1"/>
  <c r="S26" i="6"/>
  <c r="S60" i="6" s="1"/>
  <c r="V26" i="6"/>
  <c r="V60" i="6" s="1"/>
  <c r="AE26" i="6"/>
  <c r="AE60" i="6" s="1"/>
  <c r="L11" i="6"/>
  <c r="L45" i="6" s="1"/>
  <c r="AB11" i="6"/>
  <c r="AB45" i="6" s="1"/>
  <c r="S11" i="6"/>
  <c r="S45" i="6" s="1"/>
  <c r="J11" i="6"/>
  <c r="J45" i="6" s="1"/>
  <c r="AE11" i="6"/>
  <c r="AE45" i="6" s="1"/>
  <c r="M11" i="6"/>
  <c r="M45" i="6" s="1"/>
  <c r="G11" i="6"/>
  <c r="G45" i="6" s="1"/>
  <c r="F20" i="6"/>
  <c r="F54" i="6" s="1"/>
  <c r="V20" i="6"/>
  <c r="V54" i="6" s="1"/>
  <c r="K20" i="6"/>
  <c r="K54" i="6" s="1"/>
  <c r="AA20" i="6"/>
  <c r="AA54" i="6" s="1"/>
  <c r="X20" i="6"/>
  <c r="X54" i="6" s="1"/>
  <c r="Y20" i="6"/>
  <c r="Y54" i="6" s="1"/>
  <c r="T20" i="6"/>
  <c r="T54" i="6" s="1"/>
  <c r="M20" i="6"/>
  <c r="M54" i="6" s="1"/>
  <c r="N4" i="6"/>
  <c r="N38" i="6" s="1"/>
  <c r="AD4" i="6"/>
  <c r="AD38" i="6" s="1"/>
  <c r="S4" i="6"/>
  <c r="S38" i="6" s="1"/>
  <c r="D4" i="6"/>
  <c r="D38" i="6" s="1"/>
  <c r="E4" i="6"/>
  <c r="E38" i="6" s="1"/>
  <c r="P4" i="6"/>
  <c r="P38" i="6" s="1"/>
  <c r="Y4" i="6"/>
  <c r="Y38" i="6" s="1"/>
  <c r="D6" i="6"/>
  <c r="D40" i="6" s="1"/>
  <c r="M6" i="6"/>
  <c r="M40" i="6" s="1"/>
  <c r="AC6" i="6"/>
  <c r="AC40" i="6" s="1"/>
  <c r="Z6" i="6"/>
  <c r="Z40" i="6" s="1"/>
  <c r="V6" i="6"/>
  <c r="V40" i="6" s="1"/>
  <c r="R6" i="6"/>
  <c r="R40" i="6" s="1"/>
  <c r="AD6" i="6"/>
  <c r="AD40" i="6" s="1"/>
  <c r="C6" i="6"/>
  <c r="C40" i="6" s="1"/>
  <c r="O12" i="6"/>
  <c r="O46" i="6" s="1"/>
  <c r="AE12" i="6"/>
  <c r="AE46" i="6" s="1"/>
  <c r="V12" i="6"/>
  <c r="V46" i="6" s="1"/>
  <c r="R12" i="6"/>
  <c r="R46" i="6" s="1"/>
  <c r="N12" i="6"/>
  <c r="N46" i="6" s="1"/>
  <c r="Z12" i="6"/>
  <c r="Z46" i="6" s="1"/>
  <c r="AD12" i="6"/>
  <c r="AD46" i="6" s="1"/>
  <c r="G27" i="6"/>
  <c r="G61" i="6" s="1"/>
  <c r="W27" i="6"/>
  <c r="W61" i="6" s="1"/>
  <c r="D27" i="6"/>
  <c r="D61" i="6" s="1"/>
  <c r="T27" i="6"/>
  <c r="T61" i="6" s="1"/>
  <c r="E27" i="6"/>
  <c r="E61" i="6" s="1"/>
  <c r="F27" i="6"/>
  <c r="F61" i="6" s="1"/>
  <c r="I27" i="6"/>
  <c r="I61" i="6" s="1"/>
  <c r="Z27" i="6"/>
  <c r="Z61" i="6" s="1"/>
  <c r="M21" i="6"/>
  <c r="M55" i="6" s="1"/>
  <c r="AC21" i="6"/>
  <c r="AC55" i="6" s="1"/>
  <c r="R21" i="6"/>
  <c r="R55" i="6" s="1"/>
  <c r="K21" i="6"/>
  <c r="K55" i="6" s="1"/>
  <c r="D21" i="6"/>
  <c r="D55" i="6" s="1"/>
  <c r="G21" i="6"/>
  <c r="G55" i="6" s="1"/>
  <c r="AF21" i="6"/>
  <c r="AF55" i="6" s="1"/>
  <c r="D14" i="6"/>
  <c r="D48" i="6" s="1"/>
  <c r="T14" i="6"/>
  <c r="T48" i="6" s="1"/>
  <c r="E14" i="6"/>
  <c r="E48" i="6" s="1"/>
  <c r="U14" i="6"/>
  <c r="U48" i="6" s="1"/>
  <c r="R14" i="6"/>
  <c r="R48" i="6" s="1"/>
  <c r="S31" i="6"/>
  <c r="S65" i="6" s="1"/>
  <c r="C31" i="6"/>
  <c r="C65" i="6" s="1"/>
  <c r="P31" i="6"/>
  <c r="P65" i="6" s="1"/>
  <c r="AF31" i="6"/>
  <c r="AF65" i="6" s="1"/>
  <c r="J31" i="6"/>
  <c r="J65" i="6" s="1"/>
  <c r="M31" i="6"/>
  <c r="M65" i="6" s="1"/>
  <c r="F31" i="6"/>
  <c r="F65" i="6" s="1"/>
  <c r="H26" i="6"/>
  <c r="H60" i="6" s="1"/>
  <c r="X26" i="6"/>
  <c r="X60" i="6" s="1"/>
  <c r="I26" i="6"/>
  <c r="I60" i="6" s="1"/>
  <c r="Y26" i="6"/>
  <c r="Y60" i="6" s="1"/>
  <c r="R26" i="6"/>
  <c r="R60" i="6" s="1"/>
  <c r="AA26" i="6"/>
  <c r="AA60" i="6" s="1"/>
  <c r="AD26" i="6"/>
  <c r="AD60" i="6" s="1"/>
  <c r="G26" i="6"/>
  <c r="G60" i="6" s="1"/>
  <c r="P11" i="6"/>
  <c r="P45" i="6" s="1"/>
  <c r="AF11" i="6"/>
  <c r="AF45" i="6" s="1"/>
  <c r="Y11" i="6"/>
  <c r="Y45" i="6" s="1"/>
  <c r="O11" i="6"/>
  <c r="O45" i="6" s="1"/>
  <c r="K11" i="6"/>
  <c r="K45" i="6" s="1"/>
  <c r="W11" i="6"/>
  <c r="W45" i="6" s="1"/>
  <c r="AC11" i="6"/>
  <c r="AC45" i="6" s="1"/>
  <c r="J20" i="6"/>
  <c r="J54" i="6" s="1"/>
  <c r="Z20" i="6"/>
  <c r="Z54" i="6" s="1"/>
  <c r="O20" i="6"/>
  <c r="O54" i="6" s="1"/>
  <c r="AE20" i="6"/>
  <c r="AE54" i="6" s="1"/>
  <c r="AF20" i="6"/>
  <c r="AF54" i="6" s="1"/>
  <c r="C20" i="6"/>
  <c r="C54" i="6" s="1"/>
  <c r="AB20" i="6"/>
  <c r="AB54" i="6" s="1"/>
  <c r="U20" i="6"/>
  <c r="U54" i="6" s="1"/>
  <c r="R4" i="6"/>
  <c r="R38" i="6" s="1"/>
  <c r="G4" i="6"/>
  <c r="G38" i="6" s="1"/>
  <c r="W4" i="6"/>
  <c r="W38" i="6" s="1"/>
  <c r="L4" i="6"/>
  <c r="L38" i="6" s="1"/>
  <c r="M4" i="6"/>
  <c r="M38" i="6" s="1"/>
  <c r="AF4" i="6"/>
  <c r="AF38" i="6" s="1"/>
  <c r="C4" i="6"/>
  <c r="C38" i="6" s="1"/>
  <c r="H6" i="6"/>
  <c r="H40" i="6" s="1"/>
  <c r="Q6" i="6"/>
  <c r="Q40" i="6" s="1"/>
  <c r="J6" i="6"/>
  <c r="J40" i="6" s="1"/>
  <c r="AE6" i="6"/>
  <c r="AE40" i="6" s="1"/>
  <c r="AA6" i="6"/>
  <c r="AA40" i="6" s="1"/>
  <c r="AB6" i="6"/>
  <c r="AB40" i="6" s="1"/>
  <c r="W6" i="6"/>
  <c r="W40" i="6" s="1"/>
  <c r="N6" i="6"/>
  <c r="N40" i="6" s="1"/>
  <c r="S12" i="6"/>
  <c r="S46" i="6" s="1"/>
  <c r="F12" i="6"/>
  <c r="F46" i="6" s="1"/>
  <c r="AB12" i="6"/>
  <c r="AB46" i="6" s="1"/>
  <c r="X12" i="6"/>
  <c r="X46" i="6" s="1"/>
  <c r="Y12" i="6"/>
  <c r="Y46" i="6" s="1"/>
  <c r="T12" i="6"/>
  <c r="T46" i="6" s="1"/>
  <c r="AF12" i="6"/>
  <c r="AF46" i="6" s="1"/>
  <c r="K27" i="6"/>
  <c r="K61" i="6" s="1"/>
  <c r="AA27" i="6"/>
  <c r="AA61" i="6" s="1"/>
  <c r="H27" i="6"/>
  <c r="H61" i="6" s="1"/>
  <c r="X27" i="6"/>
  <c r="X61" i="6" s="1"/>
  <c r="M27" i="6"/>
  <c r="M61" i="6" s="1"/>
  <c r="N27" i="6"/>
  <c r="N61" i="6" s="1"/>
  <c r="Q27" i="6"/>
  <c r="Q61" i="6" s="1"/>
  <c r="J27" i="6"/>
  <c r="J61" i="6" s="1"/>
  <c r="Q21" i="6"/>
  <c r="Q55" i="6" s="1"/>
  <c r="F21" i="6"/>
  <c r="F55" i="6" s="1"/>
  <c r="V21" i="6"/>
  <c r="V55" i="6" s="1"/>
  <c r="S21" i="6"/>
  <c r="S55" i="6" s="1"/>
  <c r="L21" i="6"/>
  <c r="L55" i="6" s="1"/>
  <c r="O21" i="6"/>
  <c r="O55" i="6" s="1"/>
  <c r="H21" i="6"/>
  <c r="H55" i="6" s="1"/>
  <c r="H14" i="6"/>
  <c r="H48" i="6" s="1"/>
  <c r="X14" i="6"/>
  <c r="X48" i="6" s="1"/>
  <c r="I14" i="6"/>
  <c r="I48" i="6" s="1"/>
  <c r="Y14" i="6"/>
  <c r="Y48" i="6" s="1"/>
  <c r="Z14" i="6"/>
  <c r="Z48" i="6" s="1"/>
  <c r="N14" i="6"/>
  <c r="N48" i="6" s="1"/>
  <c r="C14" i="6"/>
  <c r="C48" i="6" s="1"/>
  <c r="W14" i="6"/>
  <c r="W48" i="6" s="1"/>
  <c r="R16" i="6"/>
  <c r="R50" i="6" s="1"/>
  <c r="G16" i="6"/>
  <c r="G50" i="6" s="1"/>
  <c r="W16" i="6"/>
  <c r="W50" i="6" s="1"/>
  <c r="P16" i="6"/>
  <c r="P50" i="6" s="1"/>
  <c r="Q16" i="6"/>
  <c r="Q50" i="6" s="1"/>
  <c r="C16" i="6"/>
  <c r="C50" i="6" s="1"/>
  <c r="AB16" i="6"/>
  <c r="AB50" i="6" s="1"/>
  <c r="I29" i="6"/>
  <c r="I63" i="6" s="1"/>
  <c r="Y29" i="6"/>
  <c r="Y63" i="6" s="1"/>
  <c r="N29" i="6"/>
  <c r="N63" i="6" s="1"/>
  <c r="F23" i="6"/>
  <c r="F57" i="6" s="1"/>
  <c r="E23" i="6"/>
  <c r="E57" i="6" s="1"/>
  <c r="Y23" i="6"/>
  <c r="Y57" i="6" s="1"/>
  <c r="AB23" i="6"/>
  <c r="AB57" i="6" s="1"/>
  <c r="L23" i="6"/>
  <c r="L57" i="6" s="1"/>
  <c r="AE23" i="6"/>
  <c r="AE57" i="6" s="1"/>
  <c r="O23" i="6"/>
  <c r="O57" i="6" s="1"/>
  <c r="Y17" i="6"/>
  <c r="Y51" i="6" s="1"/>
  <c r="AE17" i="6"/>
  <c r="AE51" i="6" s="1"/>
  <c r="S17" i="6"/>
  <c r="S51" i="6" s="1"/>
  <c r="Q17" i="6"/>
  <c r="Q51" i="6" s="1"/>
  <c r="AA17" i="6"/>
  <c r="AA51" i="6" s="1"/>
  <c r="AD17" i="6"/>
  <c r="AD51" i="6" s="1"/>
  <c r="N17" i="6"/>
  <c r="N51" i="6" s="1"/>
  <c r="E17" i="6"/>
  <c r="E51" i="6" s="1"/>
  <c r="W18" i="6"/>
  <c r="W52" i="6" s="1"/>
  <c r="N18" i="6"/>
  <c r="N52" i="6" s="1"/>
  <c r="K18" i="6"/>
  <c r="K52" i="6" s="1"/>
  <c r="AC18" i="6"/>
  <c r="AC52" i="6" s="1"/>
  <c r="M18" i="6"/>
  <c r="M52" i="6" s="1"/>
  <c r="AB18" i="6"/>
  <c r="AB52" i="6" s="1"/>
  <c r="L18" i="6"/>
  <c r="L52" i="6" s="1"/>
  <c r="C8" i="6"/>
  <c r="C42" i="6" s="1"/>
  <c r="AC8" i="6"/>
  <c r="AC42" i="6" s="1"/>
  <c r="D8" i="6"/>
  <c r="D42" i="6" s="1"/>
  <c r="V8" i="6"/>
  <c r="V42" i="6" s="1"/>
  <c r="AF8" i="6"/>
  <c r="AF42" i="6" s="1"/>
  <c r="J8" i="6"/>
  <c r="J42" i="6" s="1"/>
  <c r="W8" i="6"/>
  <c r="W42" i="6" s="1"/>
  <c r="G8" i="6"/>
  <c r="G42" i="6" s="1"/>
  <c r="Z30" i="6"/>
  <c r="Z64" i="6" s="1"/>
  <c r="W30" i="6"/>
  <c r="W64" i="6" s="1"/>
  <c r="V30" i="6"/>
  <c r="V64" i="6" s="1"/>
  <c r="AC30" i="6"/>
  <c r="AC64" i="6" s="1"/>
  <c r="M30" i="6"/>
  <c r="M64" i="6" s="1"/>
  <c r="AB30" i="6"/>
  <c r="AB64" i="6" s="1"/>
  <c r="L30" i="6"/>
  <c r="L64" i="6" s="1"/>
  <c r="AB25" i="6"/>
  <c r="AB59" i="6" s="1"/>
  <c r="AA25" i="6"/>
  <c r="AA59" i="6" s="1"/>
  <c r="X25" i="6"/>
  <c r="X59" i="6" s="1"/>
  <c r="W25" i="6"/>
  <c r="W59" i="6" s="1"/>
  <c r="Z25" i="6"/>
  <c r="Z59" i="6" s="1"/>
  <c r="J25" i="6"/>
  <c r="J59" i="6" s="1"/>
  <c r="U25" i="6"/>
  <c r="U59" i="6" s="1"/>
  <c r="E25" i="6"/>
  <c r="E59" i="6" s="1"/>
  <c r="C5" i="6"/>
  <c r="C39" i="6" s="1"/>
  <c r="S5" i="6"/>
  <c r="S39" i="6" s="1"/>
  <c r="H5" i="6"/>
  <c r="H39" i="6" s="1"/>
  <c r="G5" i="6"/>
  <c r="G39" i="6" s="1"/>
  <c r="R5" i="6"/>
  <c r="R39" i="6" s="1"/>
  <c r="AC5" i="6"/>
  <c r="AC39" i="6" s="1"/>
  <c r="M5" i="6"/>
  <c r="M39" i="6" s="1"/>
  <c r="C24" i="6"/>
  <c r="C58" i="6" s="1"/>
  <c r="X24" i="6"/>
  <c r="X58" i="6" s="1"/>
  <c r="U24" i="6"/>
  <c r="U58" i="6" s="1"/>
  <c r="T24" i="6"/>
  <c r="T58" i="6" s="1"/>
  <c r="AA24" i="6"/>
  <c r="AA58" i="6" s="1"/>
  <c r="K24" i="6"/>
  <c r="K58" i="6" s="1"/>
  <c r="V24" i="6"/>
  <c r="V58" i="6" s="1"/>
  <c r="F24" i="6"/>
  <c r="F58" i="6" s="1"/>
  <c r="C32" i="6"/>
  <c r="C66" i="6" s="1"/>
  <c r="H32" i="6"/>
  <c r="H66" i="6" s="1"/>
  <c r="E32" i="6"/>
  <c r="E66" i="6" s="1"/>
  <c r="D32" i="6"/>
  <c r="D66" i="6" s="1"/>
  <c r="S32" i="6"/>
  <c r="S66" i="6" s="1"/>
  <c r="AD32" i="6"/>
  <c r="AD66" i="6" s="1"/>
  <c r="N32" i="6"/>
  <c r="N66" i="6" s="1"/>
  <c r="E28" i="6"/>
  <c r="E62" i="6" s="1"/>
  <c r="T28" i="6"/>
  <c r="T62" i="6" s="1"/>
  <c r="Y28" i="6"/>
  <c r="Y62" i="6" s="1"/>
  <c r="X28" i="6"/>
  <c r="X62" i="6" s="1"/>
  <c r="AA28" i="6"/>
  <c r="AA62" i="6" s="1"/>
  <c r="K28" i="6"/>
  <c r="K62" i="6" s="1"/>
  <c r="V28" i="6"/>
  <c r="V62" i="6" s="1"/>
  <c r="F28" i="6"/>
  <c r="F62" i="6" s="1"/>
  <c r="C9" i="6"/>
  <c r="C43" i="6" s="1"/>
  <c r="Q9" i="6"/>
  <c r="Q43" i="6" s="1"/>
  <c r="E9" i="6"/>
  <c r="E43" i="6" s="1"/>
  <c r="O9" i="6"/>
  <c r="O43" i="6" s="1"/>
  <c r="X9" i="6"/>
  <c r="X43" i="6" s="1"/>
  <c r="AD9" i="6"/>
  <c r="AD43" i="6" s="1"/>
  <c r="N9" i="6"/>
  <c r="N43" i="6" s="1"/>
  <c r="D10" i="6"/>
  <c r="D44" i="6" s="1"/>
  <c r="N10" i="6"/>
  <c r="N44" i="6" s="1"/>
  <c r="AD10" i="6"/>
  <c r="AD44" i="6" s="1"/>
  <c r="W10" i="6"/>
  <c r="W44" i="6" s="1"/>
  <c r="AF10" i="6"/>
  <c r="AF44" i="6" s="1"/>
  <c r="K10" i="6"/>
  <c r="K44" i="6" s="1"/>
  <c r="U10" i="6"/>
  <c r="U44" i="6" s="1"/>
  <c r="E10" i="6"/>
  <c r="E44" i="6" s="1"/>
  <c r="E7" i="6"/>
  <c r="E41" i="6" s="1"/>
  <c r="K7" i="6"/>
  <c r="K41" i="6" s="1"/>
  <c r="J7" i="6"/>
  <c r="J41" i="6" s="1"/>
  <c r="N7" i="6"/>
  <c r="N41" i="6" s="1"/>
  <c r="R7" i="6"/>
  <c r="R41" i="6" s="1"/>
  <c r="AB7" i="6"/>
  <c r="AB41" i="6" s="1"/>
  <c r="L7" i="6"/>
  <c r="L41" i="6" s="1"/>
  <c r="J15" i="6"/>
  <c r="J49" i="6" s="1"/>
  <c r="Q15" i="6"/>
  <c r="Q49" i="6" s="1"/>
  <c r="F15" i="6"/>
  <c r="F49" i="6" s="1"/>
  <c r="M15" i="6"/>
  <c r="M49" i="6" s="1"/>
  <c r="X15" i="6"/>
  <c r="X49" i="6" s="1"/>
  <c r="H15" i="6"/>
  <c r="H49" i="6" s="1"/>
  <c r="W15" i="6"/>
  <c r="W49" i="6" s="1"/>
  <c r="G15" i="6"/>
  <c r="G49" i="6" s="1"/>
  <c r="Y19" i="6"/>
  <c r="Y53" i="6" s="1"/>
  <c r="V19" i="6"/>
  <c r="V53" i="6" s="1"/>
  <c r="U19" i="6"/>
  <c r="U53" i="6" s="1"/>
  <c r="AB19" i="6"/>
  <c r="AB53" i="6" s="1"/>
  <c r="L19" i="6"/>
  <c r="L53" i="6" s="1"/>
  <c r="AE19" i="6"/>
  <c r="AE53" i="6" s="1"/>
  <c r="O19" i="6"/>
  <c r="O53" i="6" s="1"/>
  <c r="S22" i="6"/>
  <c r="S56" i="6" s="1"/>
  <c r="J22" i="6"/>
  <c r="J56" i="6" s="1"/>
  <c r="G22" i="6"/>
  <c r="G56" i="6" s="1"/>
  <c r="F22" i="6"/>
  <c r="F56" i="6" s="1"/>
  <c r="U22" i="6"/>
  <c r="U56" i="6" s="1"/>
  <c r="E22" i="6"/>
  <c r="E56" i="6" s="1"/>
  <c r="T22" i="6"/>
  <c r="T56" i="6" s="1"/>
  <c r="D22" i="6"/>
  <c r="D56" i="6" s="1"/>
  <c r="AB13" i="6"/>
  <c r="AB47" i="6" s="1"/>
  <c r="AF13" i="6"/>
  <c r="AF47" i="6" s="1"/>
  <c r="AE13" i="6"/>
  <c r="AE47" i="6" s="1"/>
  <c r="AD13" i="6"/>
  <c r="AD47" i="6" s="1"/>
  <c r="N13" i="6"/>
  <c r="N47" i="6" s="1"/>
  <c r="Y13" i="6"/>
  <c r="Y47" i="6" s="1"/>
  <c r="I13" i="6"/>
  <c r="I47" i="6" s="1"/>
  <c r="H29" i="6"/>
  <c r="H63" i="6" s="1"/>
  <c r="W29" i="6"/>
  <c r="W63" i="6" s="1"/>
  <c r="T29" i="6"/>
  <c r="T63" i="6" s="1"/>
  <c r="K29" i="6"/>
  <c r="K63" i="6" s="1"/>
  <c r="J29" i="6"/>
  <c r="J63" i="6" s="1"/>
  <c r="E29" i="6"/>
  <c r="E63" i="6" s="1"/>
  <c r="T16" i="6"/>
  <c r="T50" i="6" s="1"/>
  <c r="H16" i="6"/>
  <c r="H50" i="6" s="1"/>
  <c r="AD16" i="6"/>
  <c r="AD50" i="6" s="1"/>
  <c r="G14" i="6"/>
  <c r="G48" i="6" s="1"/>
  <c r="AA14" i="6"/>
  <c r="AA48" i="6" s="1"/>
  <c r="O18" i="6"/>
  <c r="O52" i="6" s="1"/>
  <c r="C18" i="6"/>
  <c r="C52" i="6" s="1"/>
  <c r="F18" i="6"/>
  <c r="F52" i="6" s="1"/>
  <c r="Z18" i="6"/>
  <c r="Z52" i="6" s="1"/>
  <c r="Y18" i="6"/>
  <c r="Y52" i="6" s="1"/>
  <c r="I18" i="6"/>
  <c r="I52" i="6" s="1"/>
  <c r="X18" i="6"/>
  <c r="X52" i="6" s="1"/>
  <c r="H18" i="6"/>
  <c r="H52" i="6" s="1"/>
  <c r="R8" i="6"/>
  <c r="R42" i="6" s="1"/>
  <c r="H8" i="6"/>
  <c r="H42" i="6" s="1"/>
  <c r="X8" i="6"/>
  <c r="X42" i="6" s="1"/>
  <c r="Q8" i="6"/>
  <c r="Q42" i="6" s="1"/>
  <c r="Z8" i="6"/>
  <c r="Z42" i="6" s="1"/>
  <c r="E8" i="6"/>
  <c r="E42" i="6" s="1"/>
  <c r="S8" i="6"/>
  <c r="S42" i="6" s="1"/>
  <c r="S30" i="6"/>
  <c r="S64" i="6" s="1"/>
  <c r="R30" i="6"/>
  <c r="R64" i="6" s="1"/>
  <c r="O30" i="6"/>
  <c r="O64" i="6" s="1"/>
  <c r="N30" i="6"/>
  <c r="N64" i="6" s="1"/>
  <c r="Y30" i="6"/>
  <c r="Y64" i="6" s="1"/>
  <c r="I30" i="6"/>
  <c r="I64" i="6" s="1"/>
  <c r="X30" i="6"/>
  <c r="X64" i="6" s="1"/>
  <c r="H30" i="6"/>
  <c r="H64" i="6" s="1"/>
  <c r="T25" i="6"/>
  <c r="T59" i="6" s="1"/>
  <c r="S25" i="6"/>
  <c r="S59" i="6" s="1"/>
  <c r="P25" i="6"/>
  <c r="P59" i="6" s="1"/>
  <c r="O25" i="6"/>
  <c r="O59" i="6" s="1"/>
  <c r="V25" i="6"/>
  <c r="V59" i="6" s="1"/>
  <c r="F25" i="6"/>
  <c r="F59" i="6" s="1"/>
  <c r="Q25" i="6"/>
  <c r="Q59" i="6" s="1"/>
  <c r="L5" i="6"/>
  <c r="L39" i="6" s="1"/>
  <c r="AA5" i="6"/>
  <c r="AA39" i="6" s="1"/>
  <c r="AF5" i="6"/>
  <c r="AF39" i="6" s="1"/>
  <c r="AE5" i="6"/>
  <c r="AE39" i="6" s="1"/>
  <c r="AD5" i="6"/>
  <c r="AD39" i="6" s="1"/>
  <c r="N5" i="6"/>
  <c r="N39" i="6" s="1"/>
  <c r="Y5" i="6"/>
  <c r="Y39" i="6" s="1"/>
  <c r="I5" i="6"/>
  <c r="I39" i="6" s="1"/>
  <c r="Q24" i="6"/>
  <c r="Q58" i="6" s="1"/>
  <c r="P24" i="6"/>
  <c r="P58" i="6" s="1"/>
  <c r="M24" i="6"/>
  <c r="M58" i="6" s="1"/>
  <c r="L24" i="6"/>
  <c r="L58" i="6" s="1"/>
  <c r="W24" i="6"/>
  <c r="W58" i="6" s="1"/>
  <c r="G24" i="6"/>
  <c r="G58" i="6" s="1"/>
  <c r="R24" i="6"/>
  <c r="R58" i="6" s="1"/>
  <c r="Y32" i="6"/>
  <c r="Y66" i="6" s="1"/>
  <c r="AF32" i="6"/>
  <c r="AF66" i="6" s="1"/>
  <c r="AC32" i="6"/>
  <c r="AC66" i="6" s="1"/>
  <c r="AB32" i="6"/>
  <c r="AB66" i="6" s="1"/>
  <c r="AE32" i="6"/>
  <c r="AE66" i="6" s="1"/>
  <c r="O32" i="6"/>
  <c r="O66" i="6" s="1"/>
  <c r="Z32" i="6"/>
  <c r="Z66" i="6" s="1"/>
  <c r="J32" i="6"/>
  <c r="J66" i="6" s="1"/>
  <c r="AC28" i="6"/>
  <c r="AC62" i="6" s="1"/>
  <c r="L28" i="6"/>
  <c r="L62" i="6" s="1"/>
  <c r="Q28" i="6"/>
  <c r="Q62" i="6" s="1"/>
  <c r="P28" i="6"/>
  <c r="P62" i="6" s="1"/>
  <c r="W28" i="6"/>
  <c r="W62" i="6" s="1"/>
  <c r="G28" i="6"/>
  <c r="G62" i="6" s="1"/>
  <c r="R28" i="6"/>
  <c r="R62" i="6" s="1"/>
  <c r="L9" i="6"/>
  <c r="L43" i="6" s="1"/>
  <c r="W9" i="6"/>
  <c r="W43" i="6" s="1"/>
  <c r="G9" i="6"/>
  <c r="G43" i="6" s="1"/>
  <c r="AE9" i="6"/>
  <c r="AE43" i="6" s="1"/>
  <c r="I9" i="6"/>
  <c r="I43" i="6" s="1"/>
  <c r="S9" i="6"/>
  <c r="S43" i="6" s="1"/>
  <c r="Z9" i="6"/>
  <c r="Z43" i="6" s="1"/>
  <c r="J9" i="6"/>
  <c r="J43" i="6" s="1"/>
  <c r="X10" i="6"/>
  <c r="X44" i="6" s="1"/>
  <c r="AE10" i="6"/>
  <c r="AE44" i="6" s="1"/>
  <c r="S10" i="6"/>
  <c r="S44" i="6" s="1"/>
  <c r="R10" i="6"/>
  <c r="R44" i="6" s="1"/>
  <c r="AA10" i="6"/>
  <c r="AA44" i="6" s="1"/>
  <c r="F10" i="6"/>
  <c r="F44" i="6" s="1"/>
  <c r="Q10" i="6"/>
  <c r="Q44" i="6" s="1"/>
  <c r="AA7" i="6"/>
  <c r="AA41" i="6" s="1"/>
  <c r="Q7" i="6"/>
  <c r="Q41" i="6" s="1"/>
  <c r="C7" i="6"/>
  <c r="C41" i="6" s="1"/>
  <c r="AD7" i="6"/>
  <c r="AD41" i="6" s="1"/>
  <c r="I7" i="6"/>
  <c r="I41" i="6" s="1"/>
  <c r="M7" i="6"/>
  <c r="M41" i="6" s="1"/>
  <c r="X7" i="6"/>
  <c r="X41" i="6" s="1"/>
  <c r="H7" i="6"/>
  <c r="H41" i="6" s="1"/>
  <c r="Y15" i="6"/>
  <c r="Y49" i="6" s="1"/>
  <c r="AD15" i="6"/>
  <c r="AD49" i="6" s="1"/>
  <c r="C15" i="6"/>
  <c r="C49" i="6" s="1"/>
  <c r="E15" i="6"/>
  <c r="E49" i="6" s="1"/>
  <c r="T15" i="6"/>
  <c r="T49" i="6" s="1"/>
  <c r="D15" i="6"/>
  <c r="D49" i="6" s="1"/>
  <c r="S15" i="6"/>
  <c r="S49" i="6" s="1"/>
  <c r="R19" i="6"/>
  <c r="R53" i="6" s="1"/>
  <c r="Q19" i="6"/>
  <c r="Q53" i="6" s="1"/>
  <c r="N19" i="6"/>
  <c r="N53" i="6" s="1"/>
  <c r="M19" i="6"/>
  <c r="M53" i="6" s="1"/>
  <c r="X19" i="6"/>
  <c r="X53" i="6" s="1"/>
  <c r="H19" i="6"/>
  <c r="H53" i="6" s="1"/>
  <c r="AA19" i="6"/>
  <c r="AA53" i="6" s="1"/>
  <c r="K19" i="6"/>
  <c r="K53" i="6" s="1"/>
  <c r="K22" i="6"/>
  <c r="K56" i="6" s="1"/>
  <c r="AE22" i="6"/>
  <c r="AE56" i="6" s="1"/>
  <c r="AD22" i="6"/>
  <c r="AD56" i="6" s="1"/>
  <c r="C22" i="6"/>
  <c r="C56" i="6" s="1"/>
  <c r="Q22" i="6"/>
  <c r="Q56" i="6" s="1"/>
  <c r="AF22" i="6"/>
  <c r="AF56" i="6" s="1"/>
  <c r="P22" i="6"/>
  <c r="P56" i="6" s="1"/>
  <c r="T13" i="6"/>
  <c r="T47" i="6" s="1"/>
  <c r="L13" i="6"/>
  <c r="L47" i="6" s="1"/>
  <c r="X13" i="6"/>
  <c r="X47" i="6" s="1"/>
  <c r="W13" i="6"/>
  <c r="W47" i="6" s="1"/>
  <c r="Z13" i="6"/>
  <c r="Z47" i="6" s="1"/>
  <c r="J13" i="6"/>
  <c r="J47" i="6" s="1"/>
  <c r="U13" i="6"/>
  <c r="U47" i="6" s="1"/>
  <c r="D13" i="6"/>
  <c r="D47" i="6" s="1"/>
  <c r="AF29" i="6"/>
  <c r="AF63" i="6" s="1"/>
  <c r="O29" i="6"/>
  <c r="O63" i="6" s="1"/>
  <c r="D29" i="6"/>
  <c r="D63" i="6" s="1"/>
  <c r="AD29" i="6"/>
  <c r="AD63" i="6" s="1"/>
  <c r="AC29" i="6"/>
  <c r="AC63" i="6" s="1"/>
  <c r="M16" i="6"/>
  <c r="M50" i="6" s="1"/>
  <c r="Y16" i="6"/>
  <c r="Y50" i="6" s="1"/>
  <c r="AA16" i="6"/>
  <c r="AA50" i="6" s="1"/>
  <c r="V16" i="6"/>
  <c r="V50" i="6" s="1"/>
  <c r="F14" i="6"/>
  <c r="F48" i="6" s="1"/>
  <c r="K14" i="6"/>
  <c r="K48" i="6" s="1"/>
  <c r="J50" i="6"/>
  <c r="E33" i="5"/>
  <c r="C33" i="5" s="1"/>
  <c r="D33" i="5" s="1"/>
  <c r="B70" i="5"/>
  <c r="E39" i="5"/>
  <c r="C39" i="5" s="1"/>
  <c r="D39" i="5" s="1"/>
  <c r="B76" i="5"/>
  <c r="T66" i="5"/>
  <c r="E35" i="5"/>
  <c r="C35" i="5" s="1"/>
  <c r="D35" i="5" s="1"/>
  <c r="B72" i="5"/>
  <c r="R43" i="5"/>
  <c r="P43" i="5" s="1"/>
  <c r="Q43" i="5" s="1"/>
  <c r="O80" i="5"/>
  <c r="R30" i="5"/>
  <c r="P30" i="5" s="1"/>
  <c r="Q30" i="5" s="1"/>
  <c r="O67" i="5"/>
  <c r="R32" i="5"/>
  <c r="P32" i="5" s="1"/>
  <c r="Q32" i="5" s="1"/>
  <c r="O69" i="5"/>
  <c r="R33" i="5"/>
  <c r="P33" i="5" s="1"/>
  <c r="Q33" i="5" s="1"/>
  <c r="O70" i="5"/>
  <c r="E43" i="5"/>
  <c r="C43" i="5" s="1"/>
  <c r="D43" i="5" s="1"/>
  <c r="B80" i="5"/>
  <c r="R38" i="5"/>
  <c r="P38" i="5" s="1"/>
  <c r="Q38" i="5" s="1"/>
  <c r="O75" i="5"/>
  <c r="E37" i="5"/>
  <c r="C37" i="5" s="1"/>
  <c r="D37" i="5" s="1"/>
  <c r="B74" i="5"/>
  <c r="E32" i="5"/>
  <c r="C32" i="5" s="1"/>
  <c r="D32" i="5" s="1"/>
  <c r="B69" i="5"/>
  <c r="E42" i="5"/>
  <c r="C42" i="5" s="1"/>
  <c r="D42" i="5" s="1"/>
  <c r="B79" i="5"/>
  <c r="B66" i="5"/>
  <c r="E30" i="5"/>
  <c r="C30" i="5" s="1"/>
  <c r="D30" i="5" s="1"/>
  <c r="B67" i="5"/>
  <c r="R40" i="5"/>
  <c r="P40" i="5" s="1"/>
  <c r="Q40" i="5" s="1"/>
  <c r="O77" i="5"/>
  <c r="R42" i="5"/>
  <c r="P42" i="5" s="1"/>
  <c r="Q42" i="5" s="1"/>
  <c r="O79" i="5"/>
  <c r="R37" i="5"/>
  <c r="P37" i="5" s="1"/>
  <c r="Q37" i="5" s="1"/>
  <c r="O74" i="5"/>
  <c r="E40" i="5"/>
  <c r="C40" i="5" s="1"/>
  <c r="D40" i="5" s="1"/>
  <c r="B77" i="5"/>
  <c r="R41" i="5"/>
  <c r="P41" i="5" s="1"/>
  <c r="Q41" i="5" s="1"/>
  <c r="O78" i="5"/>
  <c r="R35" i="5"/>
  <c r="P35" i="5" s="1"/>
  <c r="Q35" i="5" s="1"/>
  <c r="O72" i="5"/>
  <c r="E34" i="5"/>
  <c r="C34" i="5" s="1"/>
  <c r="D34" i="5" s="1"/>
  <c r="B71" i="5"/>
  <c r="E36" i="5"/>
  <c r="C36" i="5" s="1"/>
  <c r="D36" i="5" s="1"/>
  <c r="B73" i="5"/>
  <c r="E41" i="5"/>
  <c r="C41" i="5" s="1"/>
  <c r="D41" i="5" s="1"/>
  <c r="B78" i="5"/>
  <c r="E38" i="5"/>
  <c r="C38" i="5" s="1"/>
  <c r="D38" i="5" s="1"/>
  <c r="B75" i="5"/>
  <c r="R39" i="5"/>
  <c r="P39" i="5" s="1"/>
  <c r="Q39" i="5" s="1"/>
  <c r="O76" i="5"/>
  <c r="R34" i="5"/>
  <c r="P34" i="5" s="1"/>
  <c r="Q34" i="5" s="1"/>
  <c r="O71" i="5"/>
  <c r="R36" i="5"/>
  <c r="P36" i="5" s="1"/>
  <c r="Q36" i="5" s="1"/>
  <c r="O73" i="5"/>
  <c r="R31" i="5"/>
  <c r="P31" i="5" s="1"/>
  <c r="Q31" i="5" s="1"/>
  <c r="O68" i="5"/>
  <c r="E29" i="5"/>
  <c r="C29" i="5" s="1"/>
  <c r="AA57" i="5" l="1"/>
  <c r="P73" i="5"/>
  <c r="R73" i="5"/>
  <c r="C78" i="5"/>
  <c r="E78" i="5"/>
  <c r="E74" i="5"/>
  <c r="C74" i="5"/>
  <c r="R80" i="5"/>
  <c r="P80" i="5"/>
  <c r="R66" i="5"/>
  <c r="P66" i="5"/>
  <c r="Q66" i="5" s="1"/>
  <c r="AA52" i="5"/>
  <c r="AA45" i="5"/>
  <c r="AA46" i="5"/>
  <c r="E69" i="5"/>
  <c r="C69" i="5"/>
  <c r="E71" i="5"/>
  <c r="C71" i="5"/>
  <c r="P78" i="5"/>
  <c r="R78" i="5"/>
  <c r="R77" i="5"/>
  <c r="P77" i="5"/>
  <c r="C79" i="5"/>
  <c r="E79" i="5"/>
  <c r="E80" i="5"/>
  <c r="C80" i="5"/>
  <c r="R69" i="5"/>
  <c r="P69" i="5"/>
  <c r="P68" i="5"/>
  <c r="R68" i="5"/>
  <c r="R71" i="5"/>
  <c r="P71" i="5"/>
  <c r="C75" i="5"/>
  <c r="E75" i="5"/>
  <c r="E73" i="5"/>
  <c r="C73" i="5"/>
  <c r="R72" i="5"/>
  <c r="P72" i="5"/>
  <c r="E77" i="5"/>
  <c r="C77" i="5"/>
  <c r="R79" i="5"/>
  <c r="P79" i="5"/>
  <c r="C67" i="5"/>
  <c r="E67" i="5"/>
  <c r="C76" i="5"/>
  <c r="E76" i="5"/>
  <c r="G68" i="5"/>
  <c r="C68" i="5"/>
  <c r="E68" i="5"/>
  <c r="AA55" i="5"/>
  <c r="AA56" i="5"/>
  <c r="AA49" i="5"/>
  <c r="AA50" i="5"/>
  <c r="R75" i="5"/>
  <c r="P75" i="5"/>
  <c r="P70" i="5"/>
  <c r="R70" i="5"/>
  <c r="R67" i="5"/>
  <c r="P67" i="5"/>
  <c r="E72" i="5"/>
  <c r="C72" i="5"/>
  <c r="AA42" i="5"/>
  <c r="AA34" i="5"/>
  <c r="AA30" i="5"/>
  <c r="AA41" i="5"/>
  <c r="AA37" i="5"/>
  <c r="AA33" i="5"/>
  <c r="AA29" i="5"/>
  <c r="AA39" i="5"/>
  <c r="AA38" i="5"/>
  <c r="AA40" i="5"/>
  <c r="AA36" i="5"/>
  <c r="AA32" i="5"/>
  <c r="AA28" i="5"/>
  <c r="AA35" i="5"/>
  <c r="AA31" i="5"/>
  <c r="AA44" i="5"/>
  <c r="AA47" i="5"/>
  <c r="AA53" i="5"/>
  <c r="AA54" i="5"/>
  <c r="P76" i="5"/>
  <c r="R76" i="5"/>
  <c r="R74" i="5"/>
  <c r="P74" i="5"/>
  <c r="C66" i="5"/>
  <c r="E66" i="5"/>
  <c r="C70" i="5"/>
  <c r="E70" i="5"/>
  <c r="AA48" i="5"/>
  <c r="AA51" i="5"/>
  <c r="S66" i="5"/>
  <c r="W90" i="5"/>
  <c r="X90" i="5" s="1"/>
  <c r="H124" i="16"/>
  <c r="H125" i="16"/>
  <c r="H131" i="16"/>
  <c r="H121" i="16"/>
  <c r="H126" i="16"/>
  <c r="H123" i="16"/>
  <c r="H122" i="16"/>
  <c r="Q9" i="16"/>
  <c r="AA9" i="16"/>
  <c r="AA59" i="16"/>
  <c r="AA83" i="16"/>
  <c r="Q59" i="16"/>
  <c r="AA33" i="16"/>
  <c r="Q33" i="16"/>
  <c r="Q83" i="16"/>
  <c r="D77" i="5"/>
  <c r="F77" i="5"/>
  <c r="F75" i="5"/>
  <c r="D75" i="5"/>
  <c r="Q77" i="5"/>
  <c r="S77" i="5"/>
  <c r="F72" i="5"/>
  <c r="D72" i="5"/>
  <c r="F68" i="5"/>
  <c r="D68" i="5"/>
  <c r="Q68" i="5"/>
  <c r="S68" i="5"/>
  <c r="D73" i="5"/>
  <c r="F73" i="5"/>
  <c r="F66" i="5"/>
  <c r="D66" i="5"/>
  <c r="S75" i="5"/>
  <c r="Q75" i="5"/>
  <c r="Q70" i="5"/>
  <c r="S70" i="5"/>
  <c r="S67" i="5"/>
  <c r="Q67" i="5"/>
  <c r="Q73" i="5"/>
  <c r="S73" i="5"/>
  <c r="Q76" i="5"/>
  <c r="S76" i="5"/>
  <c r="F78" i="5"/>
  <c r="D78" i="5"/>
  <c r="F71" i="5"/>
  <c r="D71" i="5"/>
  <c r="Q78" i="5"/>
  <c r="S78" i="5"/>
  <c r="F76" i="5"/>
  <c r="D76" i="5"/>
  <c r="S71" i="5"/>
  <c r="Q71" i="5"/>
  <c r="Q72" i="5"/>
  <c r="S72" i="5"/>
  <c r="F70" i="5"/>
  <c r="D70" i="5"/>
  <c r="Q74" i="5"/>
  <c r="S74" i="5"/>
  <c r="D69" i="5"/>
  <c r="F69" i="5"/>
  <c r="S79" i="5"/>
  <c r="Q79" i="5"/>
  <c r="F67" i="5"/>
  <c r="D67" i="5"/>
  <c r="F79" i="5"/>
  <c r="D79" i="5"/>
  <c r="F74" i="5"/>
  <c r="D74" i="5"/>
  <c r="F80" i="5"/>
  <c r="D80" i="5"/>
  <c r="Q69" i="5"/>
  <c r="S69" i="5"/>
  <c r="Q80" i="5"/>
  <c r="S80" i="5"/>
  <c r="W108" i="5"/>
  <c r="X108" i="5" s="1"/>
  <c r="M64" i="4"/>
  <c r="W94" i="5"/>
  <c r="X94" i="5" s="1"/>
  <c r="W96" i="5"/>
  <c r="X96" i="5" s="1"/>
  <c r="W112" i="5"/>
  <c r="X112" i="5" s="1"/>
  <c r="W92" i="5"/>
  <c r="X92" i="5" s="1"/>
  <c r="W110" i="5"/>
  <c r="X110" i="5" s="1"/>
  <c r="W114" i="5"/>
  <c r="X114" i="5" s="1"/>
  <c r="S38" i="5"/>
  <c r="G73" i="5"/>
  <c r="G77" i="5"/>
  <c r="T77" i="5"/>
  <c r="G69" i="5"/>
  <c r="T75" i="5"/>
  <c r="T70" i="5"/>
  <c r="T67" i="5"/>
  <c r="G72" i="5"/>
  <c r="T73" i="5"/>
  <c r="T76" i="5"/>
  <c r="G78" i="5"/>
  <c r="G71" i="5"/>
  <c r="T78" i="5"/>
  <c r="G76" i="5"/>
  <c r="T68" i="5"/>
  <c r="T72" i="5"/>
  <c r="T74" i="5"/>
  <c r="G66" i="5"/>
  <c r="T79" i="5"/>
  <c r="G67" i="5"/>
  <c r="G79" i="5"/>
  <c r="G74" i="5"/>
  <c r="G80" i="5"/>
  <c r="T69" i="5"/>
  <c r="T80" i="5"/>
  <c r="G75" i="5"/>
  <c r="G70" i="5"/>
  <c r="T71" i="5"/>
  <c r="S41" i="5"/>
  <c r="S39" i="5"/>
  <c r="F36" i="5"/>
  <c r="F42" i="5"/>
  <c r="S40" i="5"/>
  <c r="S33" i="5"/>
  <c r="F30" i="5"/>
  <c r="F32" i="5"/>
  <c r="S42" i="5"/>
  <c r="S32" i="5"/>
  <c r="F38" i="5"/>
  <c r="F34" i="5"/>
  <c r="S37" i="5"/>
  <c r="F33" i="5"/>
  <c r="F37" i="5"/>
  <c r="F35" i="5"/>
  <c r="F40" i="5"/>
  <c r="F43" i="5"/>
  <c r="S35" i="5"/>
  <c r="F41" i="5"/>
  <c r="F31" i="5"/>
  <c r="S30" i="5"/>
  <c r="D29" i="5"/>
  <c r="S43" i="5"/>
  <c r="S36" i="5"/>
  <c r="S34" i="5"/>
  <c r="S31" i="5"/>
  <c r="F39" i="5"/>
  <c r="AA17" i="16" l="1"/>
  <c r="AA23" i="16" s="1"/>
  <c r="AA5" i="16"/>
  <c r="Y88" i="16"/>
  <c r="F130" i="16" s="1"/>
  <c r="AA79" i="16"/>
  <c r="Y38" i="16"/>
  <c r="F128" i="16" s="1"/>
  <c r="AA29" i="16"/>
  <c r="S88" i="16"/>
  <c r="F120" i="16" s="1"/>
  <c r="Q79" i="16"/>
  <c r="S14" i="16"/>
  <c r="F117" i="16" s="1"/>
  <c r="Q5" i="16"/>
  <c r="Q41" i="16"/>
  <c r="Q47" i="16" s="1"/>
  <c r="Q29" i="16"/>
  <c r="S64" i="16"/>
  <c r="F119" i="16" s="1"/>
  <c r="Q55" i="16"/>
  <c r="Y64" i="16"/>
  <c r="F129" i="16" s="1"/>
  <c r="AA55" i="16"/>
  <c r="Q17" i="16"/>
  <c r="Q67" i="16"/>
  <c r="Q73" i="16" s="1"/>
  <c r="AA41" i="16"/>
  <c r="AA47" i="16" s="1"/>
  <c r="Q91" i="16"/>
  <c r="Q97" i="16" s="1"/>
  <c r="AA91" i="16"/>
  <c r="AA97" i="16" s="1"/>
  <c r="Y14" i="16"/>
  <c r="F127" i="16" s="1"/>
  <c r="S38" i="16"/>
  <c r="F118" i="16" s="1"/>
  <c r="AA67" i="16"/>
  <c r="AA73" i="16" s="1"/>
  <c r="Y90" i="5"/>
  <c r="Z91" i="5" s="1"/>
  <c r="Y108" i="5"/>
  <c r="Z109" i="5" s="1"/>
  <c r="Y96" i="5"/>
  <c r="Z95" i="5" s="1"/>
  <c r="Y114" i="5"/>
  <c r="Z113" i="5" s="1"/>
  <c r="K126" i="16" l="1"/>
  <c r="K117" i="16"/>
  <c r="K119" i="16"/>
  <c r="K127" i="16"/>
  <c r="K118" i="16"/>
  <c r="K125" i="16"/>
  <c r="K124" i="16"/>
  <c r="G118" i="16"/>
  <c r="H118" i="16"/>
  <c r="G119" i="16"/>
  <c r="H119" i="16"/>
  <c r="G117" i="16"/>
  <c r="H117" i="16"/>
  <c r="H127" i="16"/>
  <c r="H130" i="16"/>
  <c r="H129" i="16"/>
  <c r="H128" i="16"/>
  <c r="G129" i="16"/>
  <c r="G120" i="16"/>
  <c r="H120" i="16"/>
  <c r="G130" i="16"/>
  <c r="G127" i="16"/>
  <c r="G128" i="16"/>
  <c r="Q23" i="16"/>
  <c r="K116" i="16" s="1"/>
  <c r="Y66" i="16"/>
  <c r="W76" i="16" s="1"/>
  <c r="F126" i="16" s="1"/>
  <c r="S65" i="16"/>
  <c r="U76" i="16" s="1"/>
  <c r="F122" i="16" s="1"/>
  <c r="Y16" i="16"/>
  <c r="Y35" i="16" s="1"/>
  <c r="Y41" i="16" s="1"/>
  <c r="S15" i="16"/>
  <c r="AB109" i="5"/>
  <c r="AC111" i="5" s="1"/>
  <c r="W103" i="5" s="1"/>
  <c r="AB91" i="5"/>
  <c r="AC93" i="5" s="1"/>
  <c r="W100" i="5" s="1"/>
  <c r="W17" i="16" l="1"/>
  <c r="G122" i="16"/>
  <c r="G126" i="16"/>
  <c r="Y85" i="16"/>
  <c r="Y91" i="16" s="1"/>
  <c r="Y63" i="16"/>
  <c r="W26" i="16"/>
  <c r="S63" i="16"/>
  <c r="Y11" i="16"/>
  <c r="K128" i="16" s="1"/>
  <c r="S85" i="16"/>
  <c r="S35" i="16"/>
  <c r="S11" i="16"/>
  <c r="U26" i="16"/>
  <c r="Y101" i="5"/>
  <c r="AA100" i="5" s="1"/>
  <c r="K129" i="16" l="1"/>
  <c r="V20" i="16"/>
  <c r="U20" i="16" s="1"/>
  <c r="V15" i="16"/>
  <c r="U17" i="16" s="1"/>
  <c r="W28" i="16"/>
  <c r="W73" i="16" s="1"/>
  <c r="W79" i="16" s="1"/>
  <c r="F125" i="16"/>
  <c r="U28" i="16"/>
  <c r="U73" i="16" s="1"/>
  <c r="U79" i="16" s="1"/>
  <c r="F121" i="16"/>
  <c r="S41" i="16"/>
  <c r="K120" i="16" s="1"/>
  <c r="S91" i="16"/>
  <c r="K121" i="16" s="1"/>
  <c r="G125" i="16" l="1"/>
  <c r="G121" i="16"/>
  <c r="U23" i="16"/>
  <c r="V63" i="16"/>
  <c r="F124" i="16" s="1"/>
  <c r="W23" i="16"/>
  <c r="K130" i="16" s="1"/>
  <c r="V52" i="16"/>
  <c r="F123" i="16" s="1"/>
  <c r="AK45" i="16"/>
  <c r="AL45" i="16" s="1"/>
  <c r="AK48" i="16"/>
  <c r="AL48" i="16" s="1"/>
  <c r="AK27" i="16" l="1"/>
  <c r="AL27" i="16" s="1"/>
  <c r="K122" i="16"/>
  <c r="G124" i="16"/>
  <c r="G123" i="16"/>
  <c r="V54" i="16"/>
  <c r="V47" i="16" s="1"/>
  <c r="AK21" i="16"/>
  <c r="AL21" i="16" s="1"/>
  <c r="AK24" i="16"/>
  <c r="AL24" i="16" s="1"/>
  <c r="AK6" i="16" l="1"/>
  <c r="AL6" i="16" s="1"/>
  <c r="AK15" i="16"/>
  <c r="AL15" i="16" s="1"/>
  <c r="AK18" i="16"/>
  <c r="AL18" i="16" s="1"/>
  <c r="AK12" i="16"/>
  <c r="AL12" i="16" s="1"/>
  <c r="AK9" i="16"/>
  <c r="AL9" i="16" s="1"/>
  <c r="V61" i="16"/>
  <c r="V65" i="16" s="1"/>
  <c r="AK39" i="16" s="1"/>
  <c r="AL39" i="16" s="1"/>
  <c r="V56" i="16"/>
  <c r="F131" i="16" s="1"/>
  <c r="AK53" i="16"/>
  <c r="AL53" i="16" s="1"/>
  <c r="K123" i="16" l="1"/>
  <c r="K131" i="16" s="1"/>
  <c r="W11" i="16" s="1"/>
  <c r="G131" i="16"/>
  <c r="V9" i="16" s="1"/>
  <c r="AK33" i="16"/>
  <c r="AL33" i="16" s="1"/>
  <c r="V67" i="16"/>
  <c r="AK42" i="16"/>
  <c r="AL42" i="16" s="1"/>
  <c r="AK36" i="16"/>
  <c r="AL36" i="16" s="1"/>
  <c r="AK30" i="16"/>
  <c r="AL30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A1B308-C1B2-4B2F-85E5-FF614823EB0B}" keepAlive="1" name="Query - Eastern Conference" description="Connection to the 'Eastern Conference' query in the workbook." type="5" refreshedVersion="6" background="1" saveData="1">
    <dbPr connection="Provider=Microsoft.Mashup.OleDb.1;Data Source=$Workbook$;Location=Eastern Conference;Extended Properties=&quot;&quot;" command="SELECT * FROM [Eastern Conference]"/>
  </connection>
  <connection id="2" xr16:uid="{DF590F2A-8FE3-4A7C-B021-8E423CF0AB2B}" keepAlive="1" name="Query - Western Conference" description="Connection to the 'Western Conference' query in the workbook." type="5" refreshedVersion="6" background="1" saveData="1">
    <dbPr connection="Provider=Microsoft.Mashup.OleDb.1;Data Source=$Workbook$;Location=Western Conference;Extended Properties=&quot;&quot;" command="SELECT * FROM [Western Conference]"/>
  </connection>
</connections>
</file>

<file path=xl/sharedStrings.xml><?xml version="1.0" encoding="utf-8"?>
<sst xmlns="http://schemas.openxmlformats.org/spreadsheetml/2006/main" count="2293" uniqueCount="324">
  <si>
    <t>Teams</t>
  </si>
  <si>
    <t>W</t>
  </si>
  <si>
    <t>L</t>
  </si>
  <si>
    <t>WIN PCT</t>
  </si>
  <si>
    <t>GB</t>
  </si>
  <si>
    <t>PPG</t>
  </si>
  <si>
    <t>PAPG</t>
  </si>
  <si>
    <t>Simple Rating System (SRS)</t>
  </si>
  <si>
    <t>Philadelphia 76ers </t>
  </si>
  <si>
    <t>—</t>
  </si>
  <si>
    <t>Milwaukee Bucks </t>
  </si>
  <si>
    <t>Brooklyn Nets </t>
  </si>
  <si>
    <t>Indiana Pacers </t>
  </si>
  <si>
    <t>4.0</t>
  </si>
  <si>
    <t>Boston Celtics </t>
  </si>
  <si>
    <t>New York Knicks </t>
  </si>
  <si>
    <t>Charlotte Hornets </t>
  </si>
  <si>
    <t>5.0</t>
  </si>
  <si>
    <t>Toronto Raptors </t>
  </si>
  <si>
    <t>5.5</t>
  </si>
  <si>
    <t>Chicago Bulls </t>
  </si>
  <si>
    <t>6.0</t>
  </si>
  <si>
    <t>Miami Heat </t>
  </si>
  <si>
    <t>Atlanta Hawks </t>
  </si>
  <si>
    <t>Orlando Magic </t>
  </si>
  <si>
    <t>8.0</t>
  </si>
  <si>
    <t>Cleveland Cavaliers </t>
  </si>
  <si>
    <t>8.5</t>
  </si>
  <si>
    <t>Washington Wizards </t>
  </si>
  <si>
    <t>Detroit Pistons </t>
  </si>
  <si>
    <t>Utah Jazz </t>
  </si>
  <si>
    <t>Los Angeles Lakers </t>
  </si>
  <si>
    <t>Los Angeles Clippers </t>
  </si>
  <si>
    <t>2.5</t>
  </si>
  <si>
    <t>Phoenix Suns </t>
  </si>
  <si>
    <t>Portland Trail Blazers </t>
  </si>
  <si>
    <t>San Antonio Spurs </t>
  </si>
  <si>
    <t>Denver Nuggets </t>
  </si>
  <si>
    <t>7.0</t>
  </si>
  <si>
    <t>Golden State Warriors </t>
  </si>
  <si>
    <t>Memphis Grizzlies </t>
  </si>
  <si>
    <t>Dallas Mavericks </t>
  </si>
  <si>
    <t>10.0</t>
  </si>
  <si>
    <t>Sacramento Kings </t>
  </si>
  <si>
    <t>New Orleans Pelicans </t>
  </si>
  <si>
    <t>11.0</t>
  </si>
  <si>
    <t>Oklahoma City Thunder </t>
  </si>
  <si>
    <t>Houston Rockets </t>
  </si>
  <si>
    <t>Minnesota Timberwolves </t>
  </si>
  <si>
    <t>Gamma</t>
  </si>
  <si>
    <t>Point Diff</t>
  </si>
  <si>
    <t>Gamma WIN PCT</t>
  </si>
  <si>
    <t>Luck /(Unluck)</t>
  </si>
  <si>
    <t>Luck %</t>
  </si>
  <si>
    <r>
      <rPr>
        <sz val="11"/>
        <color theme="1"/>
        <rFont val="Calibri"/>
        <family val="2"/>
      </rPr>
      <t>Γ</t>
    </r>
    <r>
      <rPr>
        <sz val="11"/>
        <color theme="1"/>
        <rFont val="Calibri"/>
        <family val="2"/>
        <scheme val="minor"/>
      </rPr>
      <t xml:space="preserve"> WIN PCT</t>
    </r>
  </si>
  <si>
    <t>Rank</t>
  </si>
  <si>
    <t>Γ Place</t>
  </si>
  <si>
    <t>EASTERN CONFERENCE</t>
  </si>
  <si>
    <t>WESTERN CONFERENCE</t>
  </si>
  <si>
    <t>Current Standings</t>
  </si>
  <si>
    <t>GAMMA PROJECTED STANDINGS</t>
  </si>
  <si>
    <t>Lucky Teams</t>
  </si>
  <si>
    <t>% Luck</t>
  </si>
  <si>
    <t>Unlucky Teams</t>
  </si>
  <si>
    <t>Projected Final Standings Through Time</t>
  </si>
  <si>
    <t>Team</t>
  </si>
  <si>
    <t>Upper W Bd</t>
  </si>
  <si>
    <t>Lower W Bd</t>
  </si>
  <si>
    <t>Lower L Bd</t>
  </si>
  <si>
    <t>Luck % Bound</t>
  </si>
  <si>
    <t>Upper L Bd</t>
  </si>
  <si>
    <t>Current Luck %</t>
  </si>
  <si>
    <t>PROJECTED WIN RANGES</t>
  </si>
  <si>
    <t>Sim End of Season Luck %</t>
  </si>
  <si>
    <t>Sim End of Season WIN PCT</t>
  </si>
  <si>
    <t>E</t>
  </si>
  <si>
    <t>Seed</t>
  </si>
  <si>
    <t>3.5</t>
  </si>
  <si>
    <t>7.5</t>
  </si>
  <si>
    <t>Playoffs</t>
  </si>
  <si>
    <t>1st Seed</t>
  </si>
  <si>
    <t>Top 4 Seed</t>
  </si>
  <si>
    <t>ATL</t>
  </si>
  <si>
    <t>BOS</t>
  </si>
  <si>
    <t>BKN</t>
  </si>
  <si>
    <t>CHA</t>
  </si>
  <si>
    <t>CHI</t>
  </si>
  <si>
    <t>CLE</t>
  </si>
  <si>
    <t>DET</t>
  </si>
  <si>
    <t>IND</t>
  </si>
  <si>
    <t>MIA</t>
  </si>
  <si>
    <t>MIL</t>
  </si>
  <si>
    <t>NYK</t>
  </si>
  <si>
    <t>ORL</t>
  </si>
  <si>
    <t>PHI</t>
  </si>
  <si>
    <t>TOR</t>
  </si>
  <si>
    <t>WAS</t>
  </si>
  <si>
    <t>DAL</t>
  </si>
  <si>
    <t>DEN</t>
  </si>
  <si>
    <t>GSW</t>
  </si>
  <si>
    <t>HOU</t>
  </si>
  <si>
    <t>LAC</t>
  </si>
  <si>
    <t>LAL</t>
  </si>
  <si>
    <t>MEM</t>
  </si>
  <si>
    <t>MIN</t>
  </si>
  <si>
    <t>NOP</t>
  </si>
  <si>
    <t>OKC</t>
  </si>
  <si>
    <t>PHX</t>
  </si>
  <si>
    <t>POR</t>
  </si>
  <si>
    <t>SAC</t>
  </si>
  <si>
    <t>SAS</t>
  </si>
  <si>
    <t>UTA</t>
  </si>
  <si>
    <t>X</t>
  </si>
  <si>
    <t>Y</t>
  </si>
  <si>
    <t>Probability X beats Y one game</t>
  </si>
  <si>
    <t>Conf Semis</t>
  </si>
  <si>
    <t>Conf Finals</t>
  </si>
  <si>
    <t>NBA Finals</t>
  </si>
  <si>
    <t>Champs</t>
  </si>
  <si>
    <t>Probability X beats Y in Best of 7 Series</t>
  </si>
  <si>
    <t>One Time Playoff Probabilties</t>
  </si>
  <si>
    <t>Pw vs UTA</t>
  </si>
  <si>
    <t>RSQ</t>
  </si>
  <si>
    <t>Based on Sims and Gamma Win Probability</t>
  </si>
  <si>
    <t>2021 NBA PLAYOFF BRACKET</t>
  </si>
  <si>
    <t>PS/G</t>
  </si>
  <si>
    <t>PA/G</t>
  </si>
  <si>
    <t>SRS</t>
  </si>
  <si>
    <t>Milwaukee Bucks</t>
  </si>
  <si>
    <t>Toronto Raptors</t>
  </si>
  <si>
    <t>Boston Celtics</t>
  </si>
  <si>
    <t>Indiana Pacers</t>
  </si>
  <si>
    <t>Miami Heat</t>
  </si>
  <si>
    <t>12.0</t>
  </si>
  <si>
    <t>Philadelphia 76ers</t>
  </si>
  <si>
    <t>13.0</t>
  </si>
  <si>
    <t>Brooklyn Nets</t>
  </si>
  <si>
    <t>20.5</t>
  </si>
  <si>
    <t>Orlando Magic</t>
  </si>
  <si>
    <t>23.0</t>
  </si>
  <si>
    <t>Charlotte Hornets</t>
  </si>
  <si>
    <t>29.0</t>
  </si>
  <si>
    <t>Washington Wizards</t>
  </si>
  <si>
    <t>30.5</t>
  </si>
  <si>
    <t>Chicago Bulls</t>
  </si>
  <si>
    <t>30.0</t>
  </si>
  <si>
    <t>New York Knicks</t>
  </si>
  <si>
    <t>31.5</t>
  </si>
  <si>
    <t>Detroit Pistons</t>
  </si>
  <si>
    <t>32.5</t>
  </si>
  <si>
    <t>Atlanta Hawks</t>
  </si>
  <si>
    <t>33.0</t>
  </si>
  <si>
    <t>Cleveland Cavaliers</t>
  </si>
  <si>
    <t>Los Angeles Lakers</t>
  </si>
  <si>
    <t>Los Angeles Clippers</t>
  </si>
  <si>
    <t>Denver Nuggets</t>
  </si>
  <si>
    <t>Houston Rockets</t>
  </si>
  <si>
    <t>Oklahoma City Thunder</t>
  </si>
  <si>
    <t>Utah Jazz</t>
  </si>
  <si>
    <t>Dallas Mavericks</t>
  </si>
  <si>
    <t>Portland Trail Blazers</t>
  </si>
  <si>
    <t>18.5</t>
  </si>
  <si>
    <t>Memphis Grizzlies</t>
  </si>
  <si>
    <t>19.0</t>
  </si>
  <si>
    <t>Phoenix Suns</t>
  </si>
  <si>
    <t>San Antonio Spurs</t>
  </si>
  <si>
    <t>20.0</t>
  </si>
  <si>
    <t>Sacramento Kings</t>
  </si>
  <si>
    <t>21.5</t>
  </si>
  <si>
    <t>New Orleans Pelicans</t>
  </si>
  <si>
    <t>22.5</t>
  </si>
  <si>
    <t>Minnesota Timberwolves</t>
  </si>
  <si>
    <t>29.5</t>
  </si>
  <si>
    <t>Golden State Warriors</t>
  </si>
  <si>
    <t>34.0</t>
  </si>
  <si>
    <t>W/L%</t>
  </si>
  <si>
    <t>2019-2020</t>
  </si>
  <si>
    <t>Western Conference</t>
  </si>
  <si>
    <t>2018-2019</t>
  </si>
  <si>
    <t>Diff</t>
  </si>
  <si>
    <t>Γ WIN PCT</t>
  </si>
  <si>
    <t>Luck</t>
  </si>
  <si>
    <t>2017-2018</t>
  </si>
  <si>
    <t>2016-2017</t>
  </si>
  <si>
    <t>2015-2016</t>
  </si>
  <si>
    <t>2014-2015</t>
  </si>
  <si>
    <t>Charlotte Bobcats</t>
  </si>
  <si>
    <t>2013-2014</t>
  </si>
  <si>
    <t>Unlucky</t>
  </si>
  <si>
    <t>Lucky</t>
  </si>
  <si>
    <t>Standings</t>
  </si>
  <si>
    <t>a</t>
  </si>
  <si>
    <t>Current Standings (2020-2021)</t>
  </si>
  <si>
    <t>b</t>
  </si>
  <si>
    <t>End of Season Projected Standings (Using Pythagorean Wins)</t>
  </si>
  <si>
    <t>c</t>
  </si>
  <si>
    <t>Projected End of Season Win Ranges</t>
  </si>
  <si>
    <t>d</t>
  </si>
  <si>
    <t xml:space="preserve">1000 Simulations of Season </t>
  </si>
  <si>
    <t>i</t>
  </si>
  <si>
    <t>End of Season Standings Based on Simulations</t>
  </si>
  <si>
    <t>ii</t>
  </si>
  <si>
    <t>Playoff Bracket with Win Probabilities</t>
  </si>
  <si>
    <t>iii</t>
  </si>
  <si>
    <t>Playoff Probabilities</t>
  </si>
  <si>
    <t>Playoff Probabilities Based on Simulations and Gamma</t>
  </si>
  <si>
    <t>Pythagorean Wins Prediction Using Gamma</t>
  </si>
  <si>
    <t>Finding Value of Gamma Using Solver/Historical Data</t>
  </si>
  <si>
    <t>Luck Distribution Graph</t>
  </si>
  <si>
    <t>Analysis for Team A vs Team B Win Probability</t>
  </si>
  <si>
    <t>One Game Series Probabilities</t>
  </si>
  <si>
    <t>Seven Game Series Probabilities</t>
  </si>
  <si>
    <t>Probability Team X Plays Team Y in Conference Semifinals</t>
  </si>
  <si>
    <t>Probability Team X Plays Team Y in Conference Quarterfinals</t>
  </si>
  <si>
    <t>Probability Team X Plays Team Y in Conference Finals</t>
  </si>
  <si>
    <t>Probability Each Team X Plays Team Y in Playoffs Based on Simulation</t>
  </si>
  <si>
    <t>Γ Rank</t>
  </si>
  <si>
    <t>Interactive Historical Standings (Including Luck %)</t>
  </si>
  <si>
    <t>Historical Luck (2013-14 to 2019-20) with Gamma Calculations</t>
  </si>
  <si>
    <t>End of Season Projected Seeds Over Time</t>
  </si>
  <si>
    <t>Exponent Used to Calculate Win Probability</t>
  </si>
  <si>
    <t>[Tournament Bracket]</t>
  </si>
  <si>
    <t>Actual Results</t>
  </si>
  <si>
    <t>Expected Results</t>
  </si>
  <si>
    <t>Prob X Beats Y in Game</t>
  </si>
  <si>
    <t>Avg SRS Adj</t>
  </si>
  <si>
    <t>SRS Adj</t>
  </si>
  <si>
    <t>Avg Γ WIN PCT</t>
  </si>
  <si>
    <t>Gamma Factor</t>
  </si>
  <si>
    <t>Exponent</t>
  </si>
  <si>
    <t>Prob x beats y in series</t>
  </si>
  <si>
    <t>Historical Playoff Brackets</t>
  </si>
  <si>
    <t>Actual Playoff Results</t>
  </si>
  <si>
    <t>Predicted Historical Playoff Results</t>
  </si>
  <si>
    <t>0.5</t>
  </si>
  <si>
    <t>p x wins</t>
  </si>
  <si>
    <t>games</t>
  </si>
  <si>
    <t>win in 7</t>
  </si>
  <si>
    <t>win in 6</t>
  </si>
  <si>
    <t>win in 5</t>
  </si>
  <si>
    <t>win in 4</t>
  </si>
  <si>
    <t>lose in 7</t>
  </si>
  <si>
    <t>lose in 6</t>
  </si>
  <si>
    <t>lose in 5</t>
  </si>
  <si>
    <t>lose in 4</t>
  </si>
  <si>
    <t>P</t>
  </si>
  <si>
    <t>Most Likely Outcome Ranges</t>
  </si>
  <si>
    <t>Upper Bd</t>
  </si>
  <si>
    <t xml:space="preserve">Lower Bd </t>
  </si>
  <si>
    <t>Playoff Wins</t>
  </si>
  <si>
    <t>E[Playoff Wins]</t>
  </si>
  <si>
    <t>Actual-Expected Wins</t>
  </si>
  <si>
    <t>2012-2013</t>
  </si>
  <si>
    <t>2011-2012</t>
  </si>
  <si>
    <t>2010-2011</t>
  </si>
  <si>
    <t>2019-2010</t>
  </si>
  <si>
    <t>2008-2009</t>
  </si>
  <si>
    <t>2007-2008</t>
  </si>
  <si>
    <t>2006-2007</t>
  </si>
  <si>
    <t>2005-2006</t>
  </si>
  <si>
    <t>2004-2005</t>
  </si>
  <si>
    <t>2003-2004</t>
  </si>
  <si>
    <t>2002-2003</t>
  </si>
  <si>
    <t>2009-2010</t>
  </si>
  <si>
    <t>West</t>
  </si>
  <si>
    <t>Games Won</t>
  </si>
  <si>
    <t>East</t>
  </si>
  <si>
    <t>Rockets</t>
  </si>
  <si>
    <t>Clippers</t>
  </si>
  <si>
    <t>Grizzlies</t>
  </si>
  <si>
    <t>Nuggets</t>
  </si>
  <si>
    <t>Warriors</t>
  </si>
  <si>
    <t>Spurs</t>
  </si>
  <si>
    <t>Lakers</t>
  </si>
  <si>
    <t>Heat</t>
  </si>
  <si>
    <t>Bucks</t>
  </si>
  <si>
    <t>Nets</t>
  </si>
  <si>
    <t>Bulls</t>
  </si>
  <si>
    <t>Pacers</t>
  </si>
  <si>
    <t>Hawks</t>
  </si>
  <si>
    <t>Knicks</t>
  </si>
  <si>
    <t>Celtics</t>
  </si>
  <si>
    <t>Jazz</t>
  </si>
  <si>
    <t>Mavs</t>
  </si>
  <si>
    <t>Sixers</t>
  </si>
  <si>
    <t>Magic</t>
  </si>
  <si>
    <t>Denver</t>
  </si>
  <si>
    <t>Blazers</t>
  </si>
  <si>
    <t>Pelicans</t>
  </si>
  <si>
    <t>Suns</t>
  </si>
  <si>
    <t>Cavs</t>
  </si>
  <si>
    <t>Hornets</t>
  </si>
  <si>
    <t>Pistons</t>
  </si>
  <si>
    <t>Wizards</t>
  </si>
  <si>
    <t>Raptors</t>
  </si>
  <si>
    <t>Kings</t>
  </si>
  <si>
    <t>Twolves</t>
  </si>
  <si>
    <t>"00241113111"</t>
  </si>
  <si>
    <t>"02144414124"</t>
  </si>
  <si>
    <t>"04110301003"</t>
  </si>
  <si>
    <t>Year</t>
  </si>
  <si>
    <t>Projected Champion</t>
  </si>
  <si>
    <t>Actual Champion</t>
  </si>
  <si>
    <t>Actual Wins for Proj Champ</t>
  </si>
  <si>
    <t>Proj Wins for Actual Champ</t>
  </si>
  <si>
    <t>Biggest Upset:</t>
  </si>
  <si>
    <t>Over</t>
  </si>
  <si>
    <t>Win Prob</t>
  </si>
  <si>
    <t>Series Correct?</t>
  </si>
  <si>
    <t>Proj Team</t>
  </si>
  <si>
    <t>Act Team</t>
  </si>
  <si>
    <t>Act Loser</t>
  </si>
  <si>
    <t>Yearly Actual-Expected Playoff Wins</t>
  </si>
  <si>
    <t>Historical Predicted NBA Champions</t>
  </si>
  <si>
    <t>Top 20 VORP</t>
  </si>
  <si>
    <t>Total Record: 188-82</t>
  </si>
  <si>
    <t>15.0</t>
  </si>
  <si>
    <t>1000 Sims Rank</t>
  </si>
  <si>
    <t>1000 Sims</t>
  </si>
  <si>
    <t>6.5</t>
  </si>
  <si>
    <t>2.0</t>
  </si>
  <si>
    <t>9.5</t>
  </si>
  <si>
    <t>14.0</t>
  </si>
  <si>
    <t>52  Exactly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</si>
</sst>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%"/>
    <numFmt numFmtId="166" formatCode="0.0"/>
    <numFmt numFmtId="167" formatCode="0.0000"/>
    <numFmt numFmtId="168" formatCode="0.00000"/>
    <numFmt numFmtId="169" formatCode="0_);[Red]\(0\)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rgb="FFC00000"/>
      <name val="Calibri"/>
      <family val="2"/>
      <scheme val="minor"/>
    </font>
    <font>
      <sz val="14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.6"/>
      <color rgb="FF000000"/>
      <name val="Verdana"/>
      <family val="2"/>
    </font>
    <font>
      <u/>
      <sz val="11"/>
      <color theme="10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24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0"/>
      <name val="Calibri"/>
      <family val="2"/>
      <scheme val="minor"/>
    </font>
    <font>
      <sz val="36"/>
      <name val="Calibri"/>
      <family val="2"/>
      <scheme val="minor"/>
    </font>
    <font>
      <sz val="18"/>
      <name val="Calibri"/>
      <family val="2"/>
      <scheme val="minor"/>
    </font>
    <font>
      <sz val="20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4"/>
      <name val="Calibri"/>
      <family val="2"/>
      <scheme val="minor"/>
    </font>
    <font>
      <sz val="24"/>
      <color indexed="10"/>
      <name val="Calibri"/>
      <family val="2"/>
      <scheme val="minor"/>
    </font>
    <font>
      <sz val="28"/>
      <name val="Calibri"/>
      <family val="2"/>
      <scheme val="minor"/>
    </font>
    <font>
      <sz val="72"/>
      <name val="Calibri"/>
      <family val="2"/>
      <scheme val="minor"/>
    </font>
    <font>
      <sz val="72"/>
      <color theme="0"/>
      <name val="Calibri"/>
      <family val="2"/>
      <scheme val="minor"/>
    </font>
    <font>
      <b/>
      <sz val="24"/>
      <name val="Calibri"/>
      <family val="2"/>
      <scheme val="minor"/>
    </font>
    <font>
      <b/>
      <sz val="72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0"/>
      <name val="Times New Roman"/>
      <family val="1"/>
    </font>
    <font>
      <u/>
      <sz val="16"/>
      <color theme="1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DDDDDD"/>
      </left>
      <right/>
      <top/>
      <bottom/>
      <diagonal/>
    </border>
    <border>
      <left/>
      <right/>
      <top/>
      <bottom style="medium">
        <color rgb="FF74767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thin">
        <color indexed="21"/>
      </left>
      <right style="thin">
        <color indexed="21"/>
      </right>
      <top/>
      <bottom style="thin">
        <color indexed="21"/>
      </bottom>
      <diagonal/>
    </border>
    <border>
      <left/>
      <right/>
      <top style="thin">
        <color indexed="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6">
    <xf numFmtId="0" fontId="0" fillId="0" borderId="0" xfId="0"/>
    <xf numFmtId="0" fontId="0" fillId="0" borderId="0" xfId="0" applyNumberFormat="1"/>
    <xf numFmtId="0" fontId="0" fillId="0" borderId="1" xfId="0" applyNumberFormat="1" applyFont="1" applyFill="1" applyBorder="1"/>
    <xf numFmtId="0" fontId="0" fillId="0" borderId="0" xfId="0" applyNumberFormat="1" applyFont="1" applyFill="1" applyBorder="1"/>
    <xf numFmtId="164" fontId="0" fillId="0" borderId="0" xfId="0" applyNumberFormat="1"/>
    <xf numFmtId="10" fontId="0" fillId="0" borderId="0" xfId="1" applyNumberFormat="1" applyFont="1"/>
    <xf numFmtId="0" fontId="4" fillId="0" borderId="0" xfId="0" applyFont="1"/>
    <xf numFmtId="0" fontId="0" fillId="0" borderId="2" xfId="0" applyBorder="1"/>
    <xf numFmtId="0" fontId="0" fillId="2" borderId="3" xfId="0" applyFill="1" applyBorder="1"/>
    <xf numFmtId="164" fontId="0" fillId="2" borderId="3" xfId="0" applyNumberFormat="1" applyFill="1" applyBorder="1"/>
    <xf numFmtId="10" fontId="0" fillId="2" borderId="3" xfId="0" applyNumberFormat="1" applyFill="1" applyBorder="1"/>
    <xf numFmtId="0" fontId="0" fillId="0" borderId="0" xfId="0" applyBorder="1"/>
    <xf numFmtId="0" fontId="0" fillId="2" borderId="5" xfId="0" applyFill="1" applyBorder="1"/>
    <xf numFmtId="164" fontId="0" fillId="2" borderId="5" xfId="0" applyNumberFormat="1" applyFill="1" applyBorder="1"/>
    <xf numFmtId="10" fontId="0" fillId="2" borderId="5" xfId="0" applyNumberFormat="1" applyFill="1" applyBorder="1"/>
    <xf numFmtId="0" fontId="0" fillId="2" borderId="4" xfId="0" applyFill="1" applyBorder="1"/>
    <xf numFmtId="164" fontId="0" fillId="2" borderId="4" xfId="0" applyNumberFormat="1" applyFill="1" applyBorder="1"/>
    <xf numFmtId="10" fontId="0" fillId="2" borderId="4" xfId="0" applyNumberForma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3" xfId="0" applyFill="1" applyBorder="1" applyAlignment="1">
      <alignment horizontal="center"/>
    </xf>
    <xf numFmtId="0" fontId="0" fillId="2" borderId="15" xfId="0" applyFill="1" applyBorder="1"/>
    <xf numFmtId="0" fontId="0" fillId="2" borderId="10" xfId="0" applyFill="1" applyBorder="1" applyAlignment="1">
      <alignment horizontal="center"/>
    </xf>
    <xf numFmtId="0" fontId="6" fillId="0" borderId="0" xfId="0" applyFont="1"/>
    <xf numFmtId="0" fontId="2" fillId="0" borderId="8" xfId="0" applyFont="1" applyBorder="1"/>
    <xf numFmtId="10" fontId="0" fillId="0" borderId="17" xfId="0" applyNumberFormat="1" applyBorder="1"/>
    <xf numFmtId="10" fontId="0" fillId="0" borderId="10" xfId="0" applyNumberFormat="1" applyBorder="1"/>
    <xf numFmtId="10" fontId="0" fillId="0" borderId="12" xfId="0" applyNumberFormat="1" applyBorder="1"/>
    <xf numFmtId="10" fontId="0" fillId="0" borderId="17" xfId="1" applyNumberFormat="1" applyFont="1" applyBorder="1"/>
    <xf numFmtId="10" fontId="0" fillId="0" borderId="10" xfId="1" applyNumberFormat="1" applyFont="1" applyBorder="1"/>
    <xf numFmtId="10" fontId="0" fillId="0" borderId="12" xfId="1" applyNumberFormat="1" applyFont="1" applyBorder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4" fontId="6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center" wrapText="1"/>
    </xf>
    <xf numFmtId="0" fontId="0" fillId="3" borderId="0" xfId="0" applyFill="1"/>
    <xf numFmtId="165" fontId="0" fillId="3" borderId="0" xfId="1" applyNumberFormat="1" applyFont="1" applyFill="1"/>
    <xf numFmtId="0" fontId="0" fillId="3" borderId="3" xfId="0" applyFill="1" applyBorder="1"/>
    <xf numFmtId="0" fontId="0" fillId="3" borderId="21" xfId="0" applyFill="1" applyBorder="1"/>
    <xf numFmtId="0" fontId="0" fillId="3" borderId="0" xfId="0" applyFill="1" applyBorder="1"/>
    <xf numFmtId="0" fontId="0" fillId="3" borderId="22" xfId="0" applyFill="1" applyBorder="1"/>
    <xf numFmtId="0" fontId="0" fillId="3" borderId="9" xfId="0" applyFill="1" applyBorder="1"/>
    <xf numFmtId="10" fontId="0" fillId="3" borderId="10" xfId="1" applyNumberFormat="1" applyFont="1" applyFill="1" applyBorder="1"/>
    <xf numFmtId="0" fontId="0" fillId="3" borderId="11" xfId="0" applyFill="1" applyBorder="1"/>
    <xf numFmtId="0" fontId="0" fillId="3" borderId="4" xfId="0" applyFill="1" applyBorder="1"/>
    <xf numFmtId="10" fontId="0" fillId="3" borderId="12" xfId="1" applyNumberFormat="1" applyFont="1" applyFill="1" applyBorder="1"/>
    <xf numFmtId="165" fontId="0" fillId="0" borderId="0" xfId="1" applyNumberFormat="1" applyFont="1"/>
    <xf numFmtId="10" fontId="0" fillId="0" borderId="0" xfId="0" applyNumberFormat="1"/>
    <xf numFmtId="0" fontId="12" fillId="0" borderId="0" xfId="0" applyFont="1" applyAlignment="1">
      <alignment wrapText="1"/>
    </xf>
    <xf numFmtId="2" fontId="0" fillId="0" borderId="0" xfId="0" applyNumberFormat="1"/>
    <xf numFmtId="0" fontId="2" fillId="2" borderId="3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wrapText="1"/>
    </xf>
    <xf numFmtId="0" fontId="2" fillId="3" borderId="10" xfId="0" applyFont="1" applyFill="1" applyBorder="1" applyAlignment="1">
      <alignment horizontal="center" wrapText="1"/>
    </xf>
    <xf numFmtId="166" fontId="0" fillId="3" borderId="3" xfId="0" applyNumberFormat="1" applyFill="1" applyBorder="1"/>
    <xf numFmtId="0" fontId="0" fillId="3" borderId="6" xfId="0" applyFill="1" applyBorder="1"/>
    <xf numFmtId="0" fontId="0" fillId="3" borderId="8" xfId="0" applyFill="1" applyBorder="1"/>
    <xf numFmtId="164" fontId="0" fillId="3" borderId="10" xfId="0" applyNumberFormat="1" applyFill="1" applyBorder="1"/>
    <xf numFmtId="166" fontId="0" fillId="3" borderId="4" xfId="0" applyNumberFormat="1" applyFill="1" applyBorder="1"/>
    <xf numFmtId="164" fontId="0" fillId="3" borderId="12" xfId="0" applyNumberFormat="1" applyFill="1" applyBorder="1"/>
    <xf numFmtId="0" fontId="0" fillId="3" borderId="5" xfId="0" applyFill="1" applyBorder="1"/>
    <xf numFmtId="166" fontId="0" fillId="3" borderId="5" xfId="0" applyNumberFormat="1" applyFill="1" applyBorder="1"/>
    <xf numFmtId="164" fontId="0" fillId="3" borderId="14" xfId="0" applyNumberFormat="1" applyFill="1" applyBorder="1"/>
    <xf numFmtId="0" fontId="0" fillId="3" borderId="18" xfId="0" applyFill="1" applyBorder="1"/>
    <xf numFmtId="0" fontId="0" fillId="3" borderId="20" xfId="0" applyFill="1" applyBorder="1"/>
    <xf numFmtId="0" fontId="13" fillId="3" borderId="6" xfId="0" applyFont="1" applyFill="1" applyBorder="1" applyAlignment="1">
      <alignment wrapText="1"/>
    </xf>
    <xf numFmtId="0" fontId="0" fillId="3" borderId="16" xfId="0" applyFill="1" applyBorder="1"/>
    <xf numFmtId="0" fontId="0" fillId="3" borderId="17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31" xfId="0" applyFill="1" applyBorder="1"/>
    <xf numFmtId="0" fontId="0" fillId="3" borderId="13" xfId="0" applyFill="1" applyBorder="1"/>
    <xf numFmtId="167" fontId="0" fillId="0" borderId="0" xfId="0" applyNumberFormat="1"/>
    <xf numFmtId="168" fontId="0" fillId="0" borderId="0" xfId="0" applyNumberFormat="1"/>
    <xf numFmtId="0" fontId="0" fillId="3" borderId="2" xfId="0" applyFill="1" applyBorder="1"/>
    <xf numFmtId="2" fontId="0" fillId="3" borderId="3" xfId="0" applyNumberFormat="1" applyFill="1" applyBorder="1"/>
    <xf numFmtId="0" fontId="0" fillId="3" borderId="15" xfId="0" applyFill="1" applyBorder="1"/>
    <xf numFmtId="2" fontId="0" fillId="3" borderId="4" xfId="0" applyNumberFormat="1" applyFill="1" applyBorder="1"/>
    <xf numFmtId="2" fontId="0" fillId="3" borderId="16" xfId="0" applyNumberFormat="1" applyFill="1" applyBorder="1"/>
    <xf numFmtId="0" fontId="0" fillId="3" borderId="33" xfId="0" applyNumberFormat="1" applyFill="1" applyBorder="1" applyAlignment="1">
      <alignment horizontal="center"/>
    </xf>
    <xf numFmtId="0" fontId="0" fillId="3" borderId="34" xfId="0" applyNumberFormat="1" applyFill="1" applyBorder="1" applyAlignment="1">
      <alignment horizontal="center"/>
    </xf>
    <xf numFmtId="0" fontId="0" fillId="3" borderId="23" xfId="0" applyFill="1" applyBorder="1"/>
    <xf numFmtId="0" fontId="2" fillId="0" borderId="0" xfId="0" applyFont="1"/>
    <xf numFmtId="0" fontId="2" fillId="3" borderId="16" xfId="0" applyFont="1" applyFill="1" applyBorder="1" applyAlignment="1">
      <alignment horizontal="center"/>
    </xf>
    <xf numFmtId="0" fontId="2" fillId="3" borderId="16" xfId="0" applyFont="1" applyFill="1" applyBorder="1"/>
    <xf numFmtId="0" fontId="2" fillId="3" borderId="35" xfId="0" applyFont="1" applyFill="1" applyBorder="1" applyAlignment="1">
      <alignment horizontal="center"/>
    </xf>
    <xf numFmtId="2" fontId="0" fillId="3" borderId="36" xfId="0" applyNumberFormat="1" applyFill="1" applyBorder="1"/>
    <xf numFmtId="2" fontId="0" fillId="3" borderId="37" xfId="0" applyNumberFormat="1" applyFill="1" applyBorder="1"/>
    <xf numFmtId="2" fontId="0" fillId="3" borderId="35" xfId="0" applyNumberFormat="1" applyFill="1" applyBorder="1"/>
    <xf numFmtId="0" fontId="2" fillId="0" borderId="29" xfId="0" applyFont="1" applyBorder="1"/>
    <xf numFmtId="0" fontId="2" fillId="0" borderId="30" xfId="0" applyFont="1" applyBorder="1"/>
    <xf numFmtId="165" fontId="0" fillId="5" borderId="13" xfId="1" applyNumberFormat="1" applyFont="1" applyFill="1" applyBorder="1"/>
    <xf numFmtId="165" fontId="0" fillId="5" borderId="5" xfId="1" applyNumberFormat="1" applyFont="1" applyFill="1" applyBorder="1"/>
    <xf numFmtId="165" fontId="0" fillId="5" borderId="9" xfId="1" applyNumberFormat="1" applyFont="1" applyFill="1" applyBorder="1"/>
    <xf numFmtId="165" fontId="0" fillId="5" borderId="3" xfId="1" applyNumberFormat="1" applyFont="1" applyFill="1" applyBorder="1"/>
    <xf numFmtId="165" fontId="0" fillId="5" borderId="11" xfId="1" applyNumberFormat="1" applyFont="1" applyFill="1" applyBorder="1"/>
    <xf numFmtId="165" fontId="0" fillId="5" borderId="4" xfId="1" applyNumberFormat="1" applyFont="1" applyFill="1" applyBorder="1"/>
    <xf numFmtId="165" fontId="7" fillId="4" borderId="15" xfId="1" applyNumberFormat="1" applyFont="1" applyFill="1" applyBorder="1"/>
    <xf numFmtId="165" fontId="7" fillId="4" borderId="16" xfId="1" applyNumberFormat="1" applyFont="1" applyFill="1" applyBorder="1"/>
    <xf numFmtId="165" fontId="7" fillId="4" borderId="9" xfId="1" applyNumberFormat="1" applyFont="1" applyFill="1" applyBorder="1"/>
    <xf numFmtId="165" fontId="7" fillId="4" borderId="3" xfId="1" applyNumberFormat="1" applyFont="1" applyFill="1" applyBorder="1"/>
    <xf numFmtId="165" fontId="7" fillId="4" borderId="11" xfId="1" applyNumberFormat="1" applyFont="1" applyFill="1" applyBorder="1"/>
    <xf numFmtId="165" fontId="7" fillId="4" borderId="4" xfId="1" applyNumberFormat="1" applyFont="1" applyFill="1" applyBorder="1"/>
    <xf numFmtId="9" fontId="0" fillId="0" borderId="0" xfId="0" applyNumberFormat="1"/>
    <xf numFmtId="0" fontId="0" fillId="0" borderId="25" xfId="0" applyBorder="1"/>
    <xf numFmtId="0" fontId="0" fillId="3" borderId="25" xfId="0" applyFill="1" applyBorder="1"/>
    <xf numFmtId="2" fontId="0" fillId="0" borderId="0" xfId="0" applyNumberFormat="1" applyBorder="1"/>
    <xf numFmtId="164" fontId="0" fillId="0" borderId="0" xfId="0" applyNumberFormat="1" applyAlignment="1"/>
    <xf numFmtId="10" fontId="0" fillId="0" borderId="2" xfId="1" applyNumberFormat="1" applyFont="1" applyBorder="1"/>
    <xf numFmtId="165" fontId="7" fillId="4" borderId="35" xfId="1" applyNumberFormat="1" applyFont="1" applyFill="1" applyBorder="1"/>
    <xf numFmtId="165" fontId="7" fillId="4" borderId="36" xfId="1" applyNumberFormat="1" applyFont="1" applyFill="1" applyBorder="1"/>
    <xf numFmtId="165" fontId="7" fillId="4" borderId="37" xfId="1" applyNumberFormat="1" applyFont="1" applyFill="1" applyBorder="1"/>
    <xf numFmtId="10" fontId="7" fillId="4" borderId="3" xfId="1" applyNumberFormat="1" applyFont="1" applyFill="1" applyBorder="1"/>
    <xf numFmtId="165" fontId="0" fillId="5" borderId="40" xfId="1" applyNumberFormat="1" applyFont="1" applyFill="1" applyBorder="1"/>
    <xf numFmtId="165" fontId="0" fillId="5" borderId="36" xfId="1" applyNumberFormat="1" applyFont="1" applyFill="1" applyBorder="1"/>
    <xf numFmtId="165" fontId="0" fillId="5" borderId="37" xfId="1" applyNumberFormat="1" applyFont="1" applyFill="1" applyBorder="1"/>
    <xf numFmtId="10" fontId="0" fillId="5" borderId="3" xfId="1" applyNumberFormat="1" applyFont="1" applyFill="1" applyBorder="1"/>
    <xf numFmtId="0" fontId="2" fillId="0" borderId="41" xfId="0" applyFont="1" applyBorder="1"/>
    <xf numFmtId="0" fontId="2" fillId="0" borderId="29" xfId="0" applyFont="1" applyFill="1" applyBorder="1"/>
    <xf numFmtId="0" fontId="2" fillId="0" borderId="30" xfId="0" applyFont="1" applyFill="1" applyBorder="1"/>
    <xf numFmtId="0" fontId="2" fillId="0" borderId="31" xfId="0" applyFont="1" applyFill="1" applyBorder="1"/>
    <xf numFmtId="10" fontId="0" fillId="5" borderId="15" xfId="1" applyNumberFormat="1" applyFont="1" applyFill="1" applyBorder="1"/>
    <xf numFmtId="10" fontId="0" fillId="5" borderId="16" xfId="1" applyNumberFormat="1" applyFont="1" applyFill="1" applyBorder="1"/>
    <xf numFmtId="10" fontId="0" fillId="5" borderId="17" xfId="1" applyNumberFormat="1" applyFont="1" applyFill="1" applyBorder="1"/>
    <xf numFmtId="10" fontId="0" fillId="5" borderId="9" xfId="1" applyNumberFormat="1" applyFont="1" applyFill="1" applyBorder="1"/>
    <xf numFmtId="10" fontId="0" fillId="5" borderId="10" xfId="1" applyNumberFormat="1" applyFont="1" applyFill="1" applyBorder="1"/>
    <xf numFmtId="10" fontId="0" fillId="5" borderId="11" xfId="1" applyNumberFormat="1" applyFont="1" applyFill="1" applyBorder="1"/>
    <xf numFmtId="10" fontId="0" fillId="5" borderId="4" xfId="1" applyNumberFormat="1" applyFont="1" applyFill="1" applyBorder="1"/>
    <xf numFmtId="10" fontId="0" fillId="5" borderId="12" xfId="1" applyNumberFormat="1" applyFont="1" applyFill="1" applyBorder="1"/>
    <xf numFmtId="10" fontId="7" fillId="4" borderId="15" xfId="1" applyNumberFormat="1" applyFont="1" applyFill="1" applyBorder="1"/>
    <xf numFmtId="10" fontId="7" fillId="4" borderId="16" xfId="1" applyNumberFormat="1" applyFont="1" applyFill="1" applyBorder="1"/>
    <xf numFmtId="10" fontId="7" fillId="4" borderId="17" xfId="1" applyNumberFormat="1" applyFont="1" applyFill="1" applyBorder="1"/>
    <xf numFmtId="10" fontId="7" fillId="4" borderId="9" xfId="1" applyNumberFormat="1" applyFont="1" applyFill="1" applyBorder="1"/>
    <xf numFmtId="10" fontId="7" fillId="4" borderId="10" xfId="1" applyNumberFormat="1" applyFont="1" applyFill="1" applyBorder="1"/>
    <xf numFmtId="10" fontId="7" fillId="4" borderId="11" xfId="1" applyNumberFormat="1" applyFont="1" applyFill="1" applyBorder="1"/>
    <xf numFmtId="10" fontId="7" fillId="4" borderId="4" xfId="1" applyNumberFormat="1" applyFont="1" applyFill="1" applyBorder="1"/>
    <xf numFmtId="10" fontId="7" fillId="4" borderId="12" xfId="1" applyNumberFormat="1" applyFont="1" applyFill="1" applyBorder="1"/>
    <xf numFmtId="0" fontId="19" fillId="0" borderId="42" xfId="0" applyNumberFormat="1" applyFont="1" applyFill="1" applyBorder="1" applyAlignment="1">
      <alignment horizontal="right" vertical="center"/>
    </xf>
    <xf numFmtId="0" fontId="0" fillId="0" borderId="43" xfId="0" applyNumberFormat="1" applyBorder="1"/>
    <xf numFmtId="2" fontId="0" fillId="0" borderId="0" xfId="0" applyNumberFormat="1" applyAlignment="1"/>
    <xf numFmtId="2" fontId="0" fillId="0" borderId="0" xfId="1" applyNumberFormat="1" applyFont="1"/>
    <xf numFmtId="0" fontId="0" fillId="8" borderId="25" xfId="0" applyFill="1" applyBorder="1"/>
    <xf numFmtId="0" fontId="7" fillId="0" borderId="0" xfId="0" applyFont="1"/>
    <xf numFmtId="164" fontId="0" fillId="0" borderId="2" xfId="0" applyNumberFormat="1" applyBorder="1"/>
    <xf numFmtId="0" fontId="25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0" fontId="38" fillId="4" borderId="44" xfId="0" applyFont="1" applyFill="1" applyBorder="1" applyAlignment="1">
      <alignment horizontal="center"/>
    </xf>
    <xf numFmtId="0" fontId="38" fillId="9" borderId="44" xfId="0" applyFont="1" applyFill="1" applyBorder="1" applyAlignment="1">
      <alignment horizontal="center"/>
    </xf>
    <xf numFmtId="0" fontId="38" fillId="9" borderId="46" xfId="0" applyFont="1" applyFill="1" applyBorder="1" applyAlignment="1">
      <alignment horizontal="center"/>
    </xf>
    <xf numFmtId="0" fontId="39" fillId="4" borderId="44" xfId="0" applyFont="1" applyFill="1" applyBorder="1" applyAlignment="1">
      <alignment horizontal="center"/>
    </xf>
    <xf numFmtId="0" fontId="25" fillId="12" borderId="0" xfId="0" applyFont="1" applyFill="1"/>
    <xf numFmtId="0" fontId="26" fillId="12" borderId="0" xfId="0" applyFont="1" applyFill="1" applyAlignment="1">
      <alignment horizontal="left"/>
    </xf>
    <xf numFmtId="0" fontId="27" fillId="12" borderId="0" xfId="0" applyFont="1" applyFill="1" applyAlignment="1">
      <alignment horizontal="left"/>
    </xf>
    <xf numFmtId="0" fontId="28" fillId="12" borderId="0" xfId="0" applyFont="1" applyFill="1" applyAlignment="1">
      <alignment horizontal="left"/>
    </xf>
    <xf numFmtId="0" fontId="29" fillId="12" borderId="0" xfId="0" applyFont="1" applyFill="1"/>
    <xf numFmtId="14" fontId="27" fillId="12" borderId="0" xfId="0" applyNumberFormat="1" applyFont="1" applyFill="1" applyAlignment="1">
      <alignment horizontal="left"/>
    </xf>
    <xf numFmtId="0" fontId="27" fillId="12" borderId="0" xfId="0" applyFont="1" applyFill="1"/>
    <xf numFmtId="0" fontId="30" fillId="12" borderId="0" xfId="0" applyFont="1" applyFill="1"/>
    <xf numFmtId="0" fontId="31" fillId="12" borderId="0" xfId="0" applyFont="1" applyFill="1" applyAlignment="1">
      <alignment horizontal="center"/>
    </xf>
    <xf numFmtId="0" fontId="35" fillId="12" borderId="0" xfId="0" applyFont="1" applyFill="1"/>
    <xf numFmtId="0" fontId="31" fillId="12" borderId="45" xfId="0" applyFont="1" applyFill="1" applyBorder="1" applyAlignment="1">
      <alignment horizontal="center"/>
    </xf>
    <xf numFmtId="0" fontId="32" fillId="12" borderId="0" xfId="0" applyFont="1" applyFill="1" applyAlignment="1">
      <alignment horizontal="center"/>
    </xf>
    <xf numFmtId="164" fontId="31" fillId="12" borderId="0" xfId="0" applyNumberFormat="1" applyFont="1" applyFill="1" applyAlignment="1">
      <alignment horizontal="center"/>
    </xf>
    <xf numFmtId="0" fontId="0" fillId="12" borderId="0" xfId="0" applyFill="1"/>
    <xf numFmtId="0" fontId="31" fillId="13" borderId="0" xfId="0" applyFont="1" applyFill="1" applyAlignment="1">
      <alignment horizontal="center"/>
    </xf>
    <xf numFmtId="0" fontId="38" fillId="9" borderId="25" xfId="0" applyFont="1" applyFill="1" applyBorder="1" applyAlignment="1">
      <alignment horizontal="center"/>
    </xf>
    <xf numFmtId="0" fontId="38" fillId="4" borderId="25" xfId="0" applyFont="1" applyFill="1" applyBorder="1" applyAlignment="1">
      <alignment horizontal="center"/>
    </xf>
    <xf numFmtId="0" fontId="36" fillId="12" borderId="0" xfId="0" applyFont="1" applyFill="1" applyAlignment="1">
      <alignment horizontal="center"/>
    </xf>
    <xf numFmtId="0" fontId="31" fillId="12" borderId="3" xfId="0" applyFont="1" applyFill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1" fillId="12" borderId="0" xfId="0" applyFont="1" applyFill="1" applyBorder="1" applyAlignment="1"/>
    <xf numFmtId="0" fontId="31" fillId="12" borderId="0" xfId="0" applyFont="1" applyFill="1"/>
    <xf numFmtId="0" fontId="36" fillId="12" borderId="0" xfId="0" applyFont="1" applyFill="1"/>
    <xf numFmtId="0" fontId="28" fillId="12" borderId="0" xfId="0" applyFont="1" applyFill="1"/>
    <xf numFmtId="164" fontId="31" fillId="12" borderId="0" xfId="0" applyNumberFormat="1" applyFont="1" applyFill="1"/>
    <xf numFmtId="0" fontId="31" fillId="12" borderId="0" xfId="0" applyFont="1" applyFill="1" applyAlignment="1">
      <alignment horizontal="right"/>
    </xf>
    <xf numFmtId="0" fontId="31" fillId="12" borderId="0" xfId="0" applyFont="1" applyFill="1" applyBorder="1" applyAlignment="1">
      <alignment horizontal="center" vertical="top"/>
    </xf>
    <xf numFmtId="164" fontId="31" fillId="12" borderId="0" xfId="0" applyNumberFormat="1" applyFont="1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21" fillId="2" borderId="0" xfId="0" applyFont="1" applyFill="1"/>
    <xf numFmtId="0" fontId="8" fillId="2" borderId="0" xfId="0" applyFont="1" applyFill="1" applyAlignment="1"/>
    <xf numFmtId="0" fontId="5" fillId="2" borderId="0" xfId="0" applyFont="1" applyFill="1" applyAlignment="1"/>
    <xf numFmtId="0" fontId="0" fillId="2" borderId="0" xfId="0" applyFill="1" applyAlignment="1">
      <alignment horizontal="center"/>
    </xf>
    <xf numFmtId="0" fontId="21" fillId="2" borderId="0" xfId="0" applyFont="1" applyFill="1" applyAlignment="1">
      <alignment horizontal="center"/>
    </xf>
    <xf numFmtId="0" fontId="5" fillId="2" borderId="0" xfId="0" applyFont="1" applyFill="1"/>
    <xf numFmtId="0" fontId="23" fillId="2" borderId="0" xfId="2" applyFont="1" applyFill="1" applyAlignment="1">
      <alignment horizontal="left"/>
    </xf>
    <xf numFmtId="0" fontId="24" fillId="2" borderId="0" xfId="2" applyFont="1" applyFill="1" applyAlignment="1">
      <alignment horizontal="left"/>
    </xf>
    <xf numFmtId="0" fontId="22" fillId="2" borderId="0" xfId="2" applyFont="1" applyFill="1" applyAlignment="1">
      <alignment horizontal="left"/>
    </xf>
    <xf numFmtId="0" fontId="40" fillId="2" borderId="0" xfId="2" applyFont="1" applyFill="1" applyAlignment="1">
      <alignment horizontal="left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9" fillId="2" borderId="19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center"/>
    </xf>
    <xf numFmtId="0" fontId="10" fillId="2" borderId="19" xfId="0" applyFont="1" applyFill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11" fillId="0" borderId="6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8" xfId="0" applyFont="1" applyBorder="1" applyAlignment="1">
      <alignment horizontal="center" wrapText="1"/>
    </xf>
    <xf numFmtId="0" fontId="11" fillId="0" borderId="21" xfId="0" applyFont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1" fillId="0" borderId="22" xfId="0" applyFont="1" applyBorder="1" applyAlignment="1">
      <alignment horizontal="center" wrapText="1"/>
    </xf>
    <xf numFmtId="0" fontId="11" fillId="0" borderId="23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11" fillId="0" borderId="24" xfId="0" applyFont="1" applyBorder="1" applyAlignment="1">
      <alignment horizontal="center" wrapText="1"/>
    </xf>
    <xf numFmtId="0" fontId="0" fillId="0" borderId="9" xfId="0" applyBorder="1"/>
    <xf numFmtId="0" fontId="0" fillId="0" borderId="3" xfId="0" applyBorder="1"/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1" xfId="0" applyBorder="1"/>
    <xf numFmtId="0" fontId="0" fillId="0" borderId="4" xfId="0" applyBorder="1"/>
    <xf numFmtId="0" fontId="9" fillId="3" borderId="18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0" fillId="3" borderId="18" xfId="0" applyFont="1" applyFill="1" applyBorder="1" applyAlignment="1">
      <alignment horizontal="center"/>
    </xf>
    <xf numFmtId="0" fontId="10" fillId="3" borderId="19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4" fillId="3" borderId="26" xfId="0" applyFont="1" applyFill="1" applyBorder="1" applyAlignment="1">
      <alignment horizontal="center" vertical="center" textRotation="90"/>
    </xf>
    <xf numFmtId="0" fontId="14" fillId="3" borderId="27" xfId="0" applyFont="1" applyFill="1" applyBorder="1" applyAlignment="1">
      <alignment horizontal="center" vertical="center" textRotation="90"/>
    </xf>
    <xf numFmtId="0" fontId="14" fillId="3" borderId="28" xfId="0" applyFont="1" applyFill="1" applyBorder="1" applyAlignment="1">
      <alignment horizontal="center" vertical="center" textRotation="90"/>
    </xf>
    <xf numFmtId="0" fontId="15" fillId="3" borderId="6" xfId="0" applyFont="1" applyFill="1" applyBorder="1" applyAlignment="1">
      <alignment horizontal="center" vertical="center" textRotation="90"/>
    </xf>
    <xf numFmtId="0" fontId="15" fillId="3" borderId="27" xfId="0" applyFont="1" applyFill="1" applyBorder="1" applyAlignment="1">
      <alignment horizontal="center" vertical="center" textRotation="90"/>
    </xf>
    <xf numFmtId="0" fontId="15" fillId="3" borderId="28" xfId="0" applyFont="1" applyFill="1" applyBorder="1" applyAlignment="1">
      <alignment horizontal="center" vertical="center" textRotation="90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" borderId="5" xfId="0" applyFill="1" applyBorder="1" applyAlignment="1">
      <alignment horizontal="center" wrapText="1"/>
    </xf>
    <xf numFmtId="0" fontId="0" fillId="3" borderId="5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18" fillId="3" borderId="6" xfId="0" applyFont="1" applyFill="1" applyBorder="1" applyAlignment="1">
      <alignment horizontal="center" wrapText="1"/>
    </xf>
    <xf numFmtId="0" fontId="18" fillId="3" borderId="8" xfId="0" applyFont="1" applyFill="1" applyBorder="1" applyAlignment="1">
      <alignment horizontal="center" wrapText="1"/>
    </xf>
    <xf numFmtId="0" fontId="18" fillId="3" borderId="21" xfId="0" applyFont="1" applyFill="1" applyBorder="1" applyAlignment="1">
      <alignment horizontal="center" wrapText="1"/>
    </xf>
    <xf numFmtId="0" fontId="18" fillId="3" borderId="22" xfId="0" applyFont="1" applyFill="1" applyBorder="1" applyAlignment="1">
      <alignment horizontal="center" wrapText="1"/>
    </xf>
    <xf numFmtId="0" fontId="18" fillId="3" borderId="23" xfId="0" applyFont="1" applyFill="1" applyBorder="1" applyAlignment="1">
      <alignment horizontal="center" wrapText="1"/>
    </xf>
    <xf numFmtId="0" fontId="18" fillId="3" borderId="24" xfId="0" applyFont="1" applyFill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2" fillId="3" borderId="26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center" wrapText="1"/>
    </xf>
    <xf numFmtId="0" fontId="0" fillId="3" borderId="0" xfId="0" applyFill="1" applyBorder="1" applyAlignment="1">
      <alignment horizontal="center" wrapText="1"/>
    </xf>
    <xf numFmtId="0" fontId="16" fillId="7" borderId="6" xfId="0" applyFont="1" applyFill="1" applyBorder="1" applyAlignment="1">
      <alignment horizontal="center" wrapText="1"/>
    </xf>
    <xf numFmtId="0" fontId="16" fillId="7" borderId="8" xfId="0" applyFont="1" applyFill="1" applyBorder="1" applyAlignment="1">
      <alignment horizontal="center" wrapText="1"/>
    </xf>
    <xf numFmtId="0" fontId="16" fillId="7" borderId="23" xfId="0" applyFont="1" applyFill="1" applyBorder="1" applyAlignment="1">
      <alignment horizontal="center" wrapText="1"/>
    </xf>
    <xf numFmtId="0" fontId="16" fillId="7" borderId="24" xfId="0" applyFont="1" applyFill="1" applyBorder="1" applyAlignment="1">
      <alignment horizontal="center" wrapText="1"/>
    </xf>
    <xf numFmtId="0" fontId="16" fillId="4" borderId="6" xfId="0" applyFont="1" applyFill="1" applyBorder="1" applyAlignment="1">
      <alignment horizontal="center"/>
    </xf>
    <xf numFmtId="0" fontId="16" fillId="4" borderId="8" xfId="0" applyFont="1" applyFill="1" applyBorder="1" applyAlignment="1">
      <alignment horizontal="center"/>
    </xf>
    <xf numFmtId="0" fontId="16" fillId="4" borderId="23" xfId="0" applyFont="1" applyFill="1" applyBorder="1" applyAlignment="1">
      <alignment horizontal="center"/>
    </xf>
    <xf numFmtId="0" fontId="16" fillId="4" borderId="24" xfId="0" applyFont="1" applyFill="1" applyBorder="1" applyAlignment="1">
      <alignment horizont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 wrapText="1"/>
    </xf>
    <xf numFmtId="0" fontId="17" fillId="6" borderId="8" xfId="0" applyFont="1" applyFill="1" applyBorder="1" applyAlignment="1">
      <alignment horizontal="center" vertical="center" wrapText="1"/>
    </xf>
    <xf numFmtId="0" fontId="17" fillId="6" borderId="21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7" fillId="6" borderId="22" xfId="0" applyFont="1" applyFill="1" applyBorder="1" applyAlignment="1">
      <alignment horizontal="center" vertical="center" wrapText="1"/>
    </xf>
    <xf numFmtId="0" fontId="17" fillId="6" borderId="23" xfId="0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center" vertical="center" wrapText="1"/>
    </xf>
    <xf numFmtId="0" fontId="17" fillId="6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31" fillId="12" borderId="0" xfId="0" applyNumberFormat="1" applyFont="1" applyFill="1" applyAlignment="1">
      <alignment horizontal="center"/>
    </xf>
    <xf numFmtId="164" fontId="31" fillId="12" borderId="45" xfId="0" applyNumberFormat="1" applyFont="1" applyFill="1" applyBorder="1" applyAlignment="1">
      <alignment horizontal="center"/>
    </xf>
    <xf numFmtId="164" fontId="31" fillId="12" borderId="47" xfId="0" applyNumberFormat="1" applyFont="1" applyFill="1" applyBorder="1" applyAlignment="1">
      <alignment horizontal="center"/>
    </xf>
    <xf numFmtId="0" fontId="34" fillId="10" borderId="6" xfId="0" applyFont="1" applyFill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21" xfId="0" applyFont="1" applyFill="1" applyBorder="1" applyAlignment="1">
      <alignment horizontal="center"/>
    </xf>
    <xf numFmtId="0" fontId="34" fillId="10" borderId="22" xfId="0" applyFont="1" applyFill="1" applyBorder="1" applyAlignment="1">
      <alignment horizontal="center"/>
    </xf>
    <xf numFmtId="0" fontId="34" fillId="10" borderId="23" xfId="0" applyFont="1" applyFill="1" applyBorder="1" applyAlignment="1">
      <alignment horizontal="center"/>
    </xf>
    <xf numFmtId="0" fontId="34" fillId="10" borderId="24" xfId="0" applyFont="1" applyFill="1" applyBorder="1" applyAlignment="1">
      <alignment horizontal="center"/>
    </xf>
    <xf numFmtId="0" fontId="31" fillId="11" borderId="26" xfId="0" applyFont="1" applyFill="1" applyBorder="1" applyAlignment="1">
      <alignment horizontal="center"/>
    </xf>
    <xf numFmtId="0" fontId="31" fillId="11" borderId="27" xfId="0" applyFont="1" applyFill="1" applyBorder="1" applyAlignment="1">
      <alignment horizontal="center"/>
    </xf>
    <xf numFmtId="0" fontId="31" fillId="11" borderId="28" xfId="0" applyFont="1" applyFill="1" applyBorder="1" applyAlignment="1">
      <alignment horizontal="center"/>
    </xf>
    <xf numFmtId="0" fontId="37" fillId="12" borderId="6" xfId="0" applyFont="1" applyFill="1" applyBorder="1" applyAlignment="1">
      <alignment horizontal="center"/>
    </xf>
    <xf numFmtId="0" fontId="37" fillId="12" borderId="7" xfId="0" applyFont="1" applyFill="1" applyBorder="1" applyAlignment="1">
      <alignment horizontal="center"/>
    </xf>
    <xf numFmtId="0" fontId="37" fillId="12" borderId="8" xfId="0" applyFont="1" applyFill="1" applyBorder="1" applyAlignment="1">
      <alignment horizontal="center"/>
    </xf>
    <xf numFmtId="0" fontId="37" fillId="12" borderId="21" xfId="0" applyFont="1" applyFill="1" applyBorder="1" applyAlignment="1">
      <alignment horizontal="center"/>
    </xf>
    <xf numFmtId="0" fontId="37" fillId="12" borderId="0" xfId="0" applyFont="1" applyFill="1" applyBorder="1" applyAlignment="1">
      <alignment horizontal="center"/>
    </xf>
    <xf numFmtId="0" fontId="37" fillId="12" borderId="22" xfId="0" applyFont="1" applyFill="1" applyBorder="1" applyAlignment="1">
      <alignment horizontal="center"/>
    </xf>
    <xf numFmtId="0" fontId="37" fillId="12" borderId="23" xfId="0" applyFont="1" applyFill="1" applyBorder="1" applyAlignment="1">
      <alignment horizontal="center"/>
    </xf>
    <xf numFmtId="0" fontId="37" fillId="12" borderId="2" xfId="0" applyFont="1" applyFill="1" applyBorder="1" applyAlignment="1">
      <alignment horizontal="center"/>
    </xf>
    <xf numFmtId="0" fontId="37" fillId="12" borderId="24" xfId="0" applyFont="1" applyFill="1" applyBorder="1" applyAlignment="1">
      <alignment horizontal="center"/>
    </xf>
    <xf numFmtId="164" fontId="31" fillId="12" borderId="0" xfId="0" applyNumberFormat="1" applyFont="1" applyFill="1" applyBorder="1" applyAlignment="1">
      <alignment horizontal="center"/>
    </xf>
    <xf numFmtId="164" fontId="31" fillId="12" borderId="0" xfId="0" applyNumberFormat="1" applyFont="1" applyFill="1" applyAlignment="1">
      <alignment horizontal="center" vertical="top"/>
    </xf>
    <xf numFmtId="164" fontId="31" fillId="12" borderId="2" xfId="0" applyNumberFormat="1" applyFont="1" applyFill="1" applyBorder="1" applyAlignment="1">
      <alignment horizontal="center" vertical="top"/>
    </xf>
    <xf numFmtId="0" fontId="34" fillId="12" borderId="0" xfId="0" applyFont="1" applyFill="1" applyAlignment="1">
      <alignment horizontal="right"/>
    </xf>
    <xf numFmtId="16" fontId="31" fillId="12" borderId="0" xfId="0" applyNumberFormat="1" applyFont="1" applyFill="1" applyBorder="1" applyAlignment="1">
      <alignment horizontal="center"/>
    </xf>
    <xf numFmtId="0" fontId="31" fillId="11" borderId="26" xfId="0" applyFont="1" applyFill="1" applyBorder="1" applyAlignment="1">
      <alignment horizontal="center" wrapText="1"/>
    </xf>
    <xf numFmtId="0" fontId="31" fillId="11" borderId="27" xfId="0" applyFont="1" applyFill="1" applyBorder="1" applyAlignment="1">
      <alignment horizontal="center" wrapText="1"/>
    </xf>
    <xf numFmtId="0" fontId="31" fillId="11" borderId="28" xfId="0" applyFont="1" applyFill="1" applyBorder="1" applyAlignment="1">
      <alignment horizontal="center" wrapText="1"/>
    </xf>
    <xf numFmtId="0" fontId="31" fillId="12" borderId="0" xfId="0" applyFont="1" applyFill="1" applyAlignment="1">
      <alignment horizontal="center" vertical="top"/>
    </xf>
    <xf numFmtId="0" fontId="31" fillId="12" borderId="0" xfId="0" applyFont="1" applyFill="1" applyAlignment="1">
      <alignment horizontal="center"/>
    </xf>
    <xf numFmtId="0" fontId="31" fillId="12" borderId="3" xfId="0" applyFont="1" applyFill="1" applyBorder="1" applyAlignment="1">
      <alignment horizontal="center"/>
    </xf>
    <xf numFmtId="0" fontId="31" fillId="12" borderId="4" xfId="0" applyFont="1" applyFill="1" applyBorder="1" applyAlignment="1">
      <alignment horizontal="center"/>
    </xf>
    <xf numFmtId="0" fontId="31" fillId="12" borderId="48" xfId="0" applyFont="1" applyFill="1" applyBorder="1" applyAlignment="1">
      <alignment horizontal="center"/>
    </xf>
    <xf numFmtId="0" fontId="31" fillId="12" borderId="49" xfId="0" applyFont="1" applyFill="1" applyBorder="1" applyAlignment="1">
      <alignment horizontal="center"/>
    </xf>
    <xf numFmtId="0" fontId="31" fillId="12" borderId="50" xfId="0" applyFont="1" applyFill="1" applyBorder="1" applyAlignment="1">
      <alignment horizontal="center"/>
    </xf>
    <xf numFmtId="0" fontId="31" fillId="12" borderId="51" xfId="0" applyFont="1" applyFill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1" fillId="12" borderId="52" xfId="0" applyFont="1" applyFill="1" applyBorder="1" applyAlignment="1">
      <alignment horizontal="center"/>
    </xf>
    <xf numFmtId="0" fontId="31" fillId="12" borderId="40" xfId="0" applyFont="1" applyFill="1" applyBorder="1" applyAlignment="1">
      <alignment horizontal="center"/>
    </xf>
    <xf numFmtId="0" fontId="31" fillId="12" borderId="39" xfId="0" applyFont="1" applyFill="1" applyBorder="1" applyAlignment="1">
      <alignment horizontal="center"/>
    </xf>
    <xf numFmtId="0" fontId="31" fillId="12" borderId="53" xfId="0" applyFont="1" applyFill="1" applyBorder="1" applyAlignment="1">
      <alignment horizontal="center"/>
    </xf>
    <xf numFmtId="0" fontId="31" fillId="12" borderId="3" xfId="0" applyFont="1" applyFill="1" applyBorder="1" applyAlignment="1">
      <alignment horizontal="center" vertical="center" wrapText="1"/>
    </xf>
    <xf numFmtId="169" fontId="31" fillId="12" borderId="3" xfId="0" applyNumberFormat="1" applyFont="1" applyFill="1" applyBorder="1" applyAlignment="1">
      <alignment horizontal="center" vertical="center"/>
    </xf>
    <xf numFmtId="169" fontId="31" fillId="12" borderId="4" xfId="0" applyNumberFormat="1" applyFont="1" applyFill="1" applyBorder="1" applyAlignment="1">
      <alignment horizontal="center" vertical="center"/>
    </xf>
    <xf numFmtId="169" fontId="31" fillId="12" borderId="5" xfId="0" applyNumberFormat="1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31" fillId="12" borderId="4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/>
    </xf>
    <xf numFmtId="169" fontId="31" fillId="12" borderId="3" xfId="0" applyNumberFormat="1" applyFont="1" applyFill="1" applyBorder="1" applyAlignment="1">
      <alignment horizontal="center" vertical="center" wrapText="1"/>
    </xf>
    <xf numFmtId="0" fontId="31" fillId="12" borderId="0" xfId="0" applyFont="1" applyFill="1" applyAlignment="1">
      <alignment horizontal="center" vertical="center"/>
    </xf>
    <xf numFmtId="0" fontId="33" fillId="12" borderId="3" xfId="0" applyFont="1" applyFill="1" applyBorder="1" applyAlignment="1">
      <alignment horizontal="center"/>
    </xf>
    <xf numFmtId="0" fontId="34" fillId="12" borderId="3" xfId="0" applyFont="1" applyFill="1" applyBorder="1" applyAlignment="1">
      <alignment horizontal="center"/>
    </xf>
    <xf numFmtId="0" fontId="31" fillId="12" borderId="38" xfId="0" applyFont="1" applyFill="1" applyBorder="1" applyAlignment="1">
      <alignment horizontal="center" vertical="center"/>
    </xf>
    <xf numFmtId="0" fontId="31" fillId="12" borderId="32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/>
    </xf>
    <xf numFmtId="169" fontId="31" fillId="12" borderId="38" xfId="0" applyNumberFormat="1" applyFont="1" applyFill="1" applyBorder="1" applyAlignment="1">
      <alignment horizontal="center" vertical="center"/>
    </xf>
    <xf numFmtId="169" fontId="31" fillId="12" borderId="32" xfId="0" applyNumberFormat="1" applyFont="1" applyFill="1" applyBorder="1" applyAlignment="1">
      <alignment horizontal="center" vertical="center"/>
    </xf>
    <xf numFmtId="16" fontId="31" fillId="12" borderId="3" xfId="0" applyNumberFormat="1" applyFont="1" applyFill="1" applyBorder="1" applyAlignment="1">
      <alignment horizontal="center"/>
    </xf>
    <xf numFmtId="0" fontId="27" fillId="12" borderId="0" xfId="0" applyFont="1" applyFill="1" applyAlignment="1">
      <alignment horizontal="center"/>
    </xf>
    <xf numFmtId="164" fontId="31" fillId="12" borderId="0" xfId="0" applyNumberFormat="1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9" fontId="0" fillId="8" borderId="0" xfId="1" applyFont="1" applyFill="1"/>
  </cellXfs>
  <cellStyles count="3">
    <cellStyle name="Hyperlink" xfId="2" builtinId="8"/>
    <cellStyle name="Normal" xfId="0" builtinId="0"/>
    <cellStyle name="Percent" xfId="1" builtinId="5"/>
  </cellStyles>
  <dxfs count="101">
    <dxf>
      <numFmt numFmtId="0" formatCode="General"/>
    </dxf>
    <dxf>
      <numFmt numFmtId="14" formatCode="0.00%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DDDDDD"/>
        </left>
        <right/>
        <top/>
        <bottom style="dotted">
          <color rgb="FFDDDDDD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747678"/>
        </right>
        <top/>
        <bottom style="medium">
          <color rgb="FFDDDDDD"/>
        </bottom>
      </border>
    </dxf>
    <dxf>
      <border outline="0">
        <right style="medium">
          <color rgb="FF747678"/>
        </right>
        <top style="medium">
          <color rgb="FF74767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border outline="0">
        <bottom style="medium">
          <color rgb="FF747678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64" formatCode="0.000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64" formatCode="0.00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D8F989CA-122C-4E48-8972-705D472A29C1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Luck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Luck Distribution</a:t>
          </a:r>
        </a:p>
      </cx:txPr>
    </cx:title>
    <cx:plotArea>
      <cx:plotAreaRegion>
        <cx:series layoutId="clusteredColumn" uniqueId="{E9EE53F8-5218-4DAC-9FD1-C04A54EE109E}">
          <cx:dataId val="0"/>
          <cx:layoutPr>
            <cx:binning intervalClosed="r">
              <cx:binCount val="1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171450</xdr:rowOff>
        </xdr:from>
        <xdr:to>
          <xdr:col>7</xdr:col>
          <xdr:colOff>514350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88</xdr:row>
          <xdr:rowOff>276225</xdr:rowOff>
        </xdr:from>
        <xdr:to>
          <xdr:col>9</xdr:col>
          <xdr:colOff>180975</xdr:colOff>
          <xdr:row>89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152400</xdr:rowOff>
        </xdr:from>
        <xdr:to>
          <xdr:col>10</xdr:col>
          <xdr:colOff>57150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342900</xdr:colOff>
      <xdr:row>112</xdr:row>
      <xdr:rowOff>0</xdr:rowOff>
    </xdr:from>
    <xdr:to>
      <xdr:col>23</xdr:col>
      <xdr:colOff>342900</xdr:colOff>
      <xdr:row>113</xdr:row>
      <xdr:rowOff>12700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6154400" y="22860000"/>
          <a:ext cx="0" cy="215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355600</xdr:colOff>
      <xdr:row>108</xdr:row>
      <xdr:rowOff>12700</xdr:rowOff>
    </xdr:from>
    <xdr:to>
      <xdr:col>23</xdr:col>
      <xdr:colOff>355600</xdr:colOff>
      <xdr:row>109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16167100" y="22059900"/>
          <a:ext cx="0" cy="1905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109</xdr:row>
      <xdr:rowOff>12700</xdr:rowOff>
    </xdr:from>
    <xdr:to>
      <xdr:col>26</xdr:col>
      <xdr:colOff>0</xdr:colOff>
      <xdr:row>112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17805400" y="22326600"/>
          <a:ext cx="0" cy="596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101</xdr:row>
      <xdr:rowOff>12700</xdr:rowOff>
    </xdr:from>
    <xdr:to>
      <xdr:col>23</xdr:col>
      <xdr:colOff>0</xdr:colOff>
      <xdr:row>101</xdr:row>
      <xdr:rowOff>190500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15811500" y="20662900"/>
          <a:ext cx="0" cy="177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381000</xdr:colOff>
      <xdr:row>90</xdr:row>
      <xdr:rowOff>0</xdr:rowOff>
    </xdr:from>
    <xdr:to>
      <xdr:col>23</xdr:col>
      <xdr:colOff>381000</xdr:colOff>
      <xdr:row>91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192500" y="18503900"/>
          <a:ext cx="0" cy="20320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368300</xdr:colOff>
      <xdr:row>94</xdr:row>
      <xdr:rowOff>0</xdr:rowOff>
    </xdr:from>
    <xdr:to>
      <xdr:col>23</xdr:col>
      <xdr:colOff>368300</xdr:colOff>
      <xdr:row>95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16179800" y="19316700"/>
          <a:ext cx="0" cy="2032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91</xdr:row>
      <xdr:rowOff>0</xdr:rowOff>
    </xdr:from>
    <xdr:to>
      <xdr:col>26</xdr:col>
      <xdr:colOff>12700</xdr:colOff>
      <xdr:row>94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17805400" y="18707100"/>
          <a:ext cx="12700" cy="6096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615948</xdr:colOff>
      <xdr:row>1150</xdr:row>
      <xdr:rowOff>25400</xdr:rowOff>
    </xdr:from>
    <xdr:to>
      <xdr:col>19</xdr:col>
      <xdr:colOff>177799</xdr:colOff>
      <xdr:row>1170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92898" y="220652975"/>
              <a:ext cx="7086601" cy="3924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276225</xdr:colOff>
      <xdr:row>4</xdr:row>
      <xdr:rowOff>180974</xdr:rowOff>
    </xdr:from>
    <xdr:to>
      <xdr:col>25</xdr:col>
      <xdr:colOff>314325</xdr:colOff>
      <xdr:row>15</xdr:row>
      <xdr:rowOff>119061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82075" y="942974"/>
              <a:ext cx="3467100" cy="20335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1071</xdr:colOff>
      <xdr:row>7</xdr:row>
      <xdr:rowOff>254001</xdr:rowOff>
    </xdr:from>
    <xdr:to>
      <xdr:col>3</xdr:col>
      <xdr:colOff>2524</xdr:colOff>
      <xdr:row>19</xdr:row>
      <xdr:rowOff>254001</xdr:rowOff>
    </xdr:to>
    <xdr:grpSp>
      <xdr:nvGrpSpPr>
        <xdr:cNvPr id="2" name="Group 53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/>
        </xdr:cNvGrpSpPr>
      </xdr:nvGrpSpPr>
      <xdr:grpSpPr bwMode="auto">
        <a:xfrm>
          <a:off x="3779321" y="2667001"/>
          <a:ext cx="1176203" cy="3048000"/>
          <a:chOff x="333" y="153"/>
          <a:chExt cx="67" cy="204"/>
        </a:xfrm>
      </xdr:grpSpPr>
      <xdr:cxnSp macro="">
        <xdr:nvCxnSpPr>
          <xdr:cNvPr id="3" name="AutoShape 216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217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" name="AutoShape 218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364" y="256"/>
            <a:ext cx="36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31750</xdr:colOff>
      <xdr:row>13</xdr:row>
      <xdr:rowOff>188220</xdr:rowOff>
    </xdr:from>
    <xdr:to>
      <xdr:col>5</xdr:col>
      <xdr:colOff>95250</xdr:colOff>
      <xdr:row>37</xdr:row>
      <xdr:rowOff>285750</xdr:rowOff>
    </xdr:to>
    <xdr:grpSp>
      <xdr:nvGrpSpPr>
        <xdr:cNvPr id="6" name="Group 468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>
          <a:grpSpLocks/>
        </xdr:cNvGrpSpPr>
      </xdr:nvGrpSpPr>
      <xdr:grpSpPr bwMode="auto">
        <a:xfrm>
          <a:off x="8540750" y="4125220"/>
          <a:ext cx="1238250" cy="6193530"/>
          <a:chOff x="460" y="254"/>
          <a:chExt cx="69" cy="408"/>
        </a:xfrm>
      </xdr:grpSpPr>
      <xdr:cxnSp macro="">
        <xdr:nvCxnSpPr>
          <xdr:cNvPr id="7" name="AutoShape 237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" name="AutoShape 23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374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" name="AutoShape 23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2" y="458"/>
            <a:ext cx="37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5</xdr:col>
      <xdr:colOff>977900</xdr:colOff>
      <xdr:row>25</xdr:row>
      <xdr:rowOff>495300</xdr:rowOff>
    </xdr:from>
    <xdr:to>
      <xdr:col>5</xdr:col>
      <xdr:colOff>977900</xdr:colOff>
      <xdr:row>51</xdr:row>
      <xdr:rowOff>63500</xdr:rowOff>
    </xdr:to>
    <xdr:cxnSp macro="">
      <xdr:nvCxnSpPr>
        <xdr:cNvPr id="10" name="AutoShape 27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cxnSpLocks noChangeShapeType="1"/>
        </xdr:cNvCxnSpPr>
      </xdr:nvCxnSpPr>
      <xdr:spPr bwMode="auto">
        <a:xfrm>
          <a:off x="7635875" y="7543800"/>
          <a:ext cx="0" cy="6007100"/>
        </a:xfrm>
        <a:prstGeom prst="straightConnector1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1006162</xdr:colOff>
      <xdr:row>51</xdr:row>
      <xdr:rowOff>241480</xdr:rowOff>
    </xdr:from>
    <xdr:to>
      <xdr:col>6</xdr:col>
      <xdr:colOff>31750</xdr:colOff>
      <xdr:row>51</xdr:row>
      <xdr:rowOff>254000</xdr:rowOff>
    </xdr:to>
    <xdr:cxnSp macro="">
      <xdr:nvCxnSpPr>
        <xdr:cNvPr id="11" name="AutoShape 27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10594662" y="13576480"/>
          <a:ext cx="2581588" cy="12520"/>
        </a:xfrm>
        <a:prstGeom prst="straightConnector1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977900</xdr:colOff>
      <xdr:row>51</xdr:row>
      <xdr:rowOff>63500</xdr:rowOff>
    </xdr:from>
    <xdr:to>
      <xdr:col>5</xdr:col>
      <xdr:colOff>977900</xdr:colOff>
      <xdr:row>74</xdr:row>
      <xdr:rowOff>476250</xdr:rowOff>
    </xdr:to>
    <xdr:cxnSp macro="">
      <xdr:nvCxnSpPr>
        <xdr:cNvPr id="12" name="AutoShape 27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cxnSpLocks noChangeShapeType="1"/>
        </xdr:cNvCxnSpPr>
      </xdr:nvCxnSpPr>
      <xdr:spPr bwMode="auto">
        <a:xfrm>
          <a:off x="7635875" y="13550900"/>
          <a:ext cx="0" cy="6470650"/>
        </a:xfrm>
        <a:prstGeom prst="straightConnector1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26</xdr:row>
      <xdr:rowOff>9525</xdr:rowOff>
    </xdr:from>
    <xdr:to>
      <xdr:col>7</xdr:col>
      <xdr:colOff>606425</xdr:colOff>
      <xdr:row>75</xdr:row>
      <xdr:rowOff>15875</xdr:rowOff>
    </xdr:to>
    <xdr:grpSp>
      <xdr:nvGrpSpPr>
        <xdr:cNvPr id="13" name="Group 285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>
          <a:grpSpLocks/>
        </xdr:cNvGrpSpPr>
      </xdr:nvGrpSpPr>
      <xdr:grpSpPr bwMode="auto">
        <a:xfrm>
          <a:off x="17176750" y="7502525"/>
          <a:ext cx="606425" cy="12325350"/>
          <a:chOff x="655" y="467"/>
          <a:chExt cx="42" cy="848"/>
        </a:xfrm>
      </xdr:grpSpPr>
      <xdr:cxnSp macro="">
        <xdr:nvCxnSpPr>
          <xdr:cNvPr id="14" name="AutoShape 280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81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655" y="1087"/>
            <a:ext cx="4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" name="AutoShape 284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1074</xdr:colOff>
      <xdr:row>31</xdr:row>
      <xdr:rowOff>189561</xdr:rowOff>
    </xdr:from>
    <xdr:to>
      <xdr:col>3</xdr:col>
      <xdr:colOff>9526</xdr:colOff>
      <xdr:row>43</xdr:row>
      <xdr:rowOff>189561</xdr:rowOff>
    </xdr:to>
    <xdr:grpSp>
      <xdr:nvGrpSpPr>
        <xdr:cNvPr id="17" name="Group 53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>
          <a:grpSpLocks/>
        </xdr:cNvGrpSpPr>
      </xdr:nvGrpSpPr>
      <xdr:grpSpPr bwMode="auto">
        <a:xfrm>
          <a:off x="3779324" y="8698561"/>
          <a:ext cx="1183202" cy="3048000"/>
          <a:chOff x="333" y="153"/>
          <a:chExt cx="65" cy="204"/>
        </a:xfrm>
      </xdr:grpSpPr>
      <xdr:cxnSp macro="">
        <xdr:nvCxnSpPr>
          <xdr:cNvPr id="18" name="AutoShape 53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" name="AutoShape 53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" name="AutoShape 53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5" y="256"/>
            <a:ext cx="33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9525</xdr:colOff>
      <xdr:row>57</xdr:row>
      <xdr:rowOff>254000</xdr:rowOff>
    </xdr:from>
    <xdr:to>
      <xdr:col>3</xdr:col>
      <xdr:colOff>0</xdr:colOff>
      <xdr:row>69</xdr:row>
      <xdr:rowOff>222250</xdr:rowOff>
    </xdr:to>
    <xdr:grpSp>
      <xdr:nvGrpSpPr>
        <xdr:cNvPr id="21" name="Group 54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3787775" y="15113000"/>
          <a:ext cx="1165225" cy="3397250"/>
          <a:chOff x="333" y="153"/>
          <a:chExt cx="62" cy="204"/>
        </a:xfrm>
      </xdr:grpSpPr>
      <xdr:cxnSp macro="">
        <xdr:nvCxnSpPr>
          <xdr:cNvPr id="22" name="AutoShape 54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3" name="AutoShape 54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54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4" y="265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9524</xdr:colOff>
      <xdr:row>81</xdr:row>
      <xdr:rowOff>190501</xdr:rowOff>
    </xdr:from>
    <xdr:to>
      <xdr:col>3</xdr:col>
      <xdr:colOff>13678</xdr:colOff>
      <xdr:row>93</xdr:row>
      <xdr:rowOff>317501</xdr:rowOff>
    </xdr:to>
    <xdr:grpSp>
      <xdr:nvGrpSpPr>
        <xdr:cNvPr id="25" name="Group 54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>
          <a:grpSpLocks/>
        </xdr:cNvGrpSpPr>
      </xdr:nvGrpSpPr>
      <xdr:grpSpPr bwMode="auto">
        <a:xfrm>
          <a:off x="3787774" y="21526501"/>
          <a:ext cx="1178904" cy="3175000"/>
          <a:chOff x="333" y="153"/>
          <a:chExt cx="64" cy="204"/>
        </a:xfrm>
      </xdr:grpSpPr>
      <xdr:cxnSp macro="">
        <xdr:nvCxnSpPr>
          <xdr:cNvPr id="26" name="AutoShape 54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7" name="AutoShape 54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54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6" y="256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10</xdr:col>
      <xdr:colOff>8290</xdr:colOff>
      <xdr:row>57</xdr:row>
      <xdr:rowOff>190501</xdr:rowOff>
    </xdr:from>
    <xdr:to>
      <xdr:col>11</xdr:col>
      <xdr:colOff>23207</xdr:colOff>
      <xdr:row>69</xdr:row>
      <xdr:rowOff>285751</xdr:rowOff>
    </xdr:to>
    <xdr:grpSp>
      <xdr:nvGrpSpPr>
        <xdr:cNvPr id="29" name="Group 57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>
          <a:grpSpLocks/>
        </xdr:cNvGrpSpPr>
      </xdr:nvGrpSpPr>
      <xdr:grpSpPr bwMode="auto">
        <a:xfrm flipH="1">
          <a:off x="25122540" y="15049501"/>
          <a:ext cx="1189667" cy="3524250"/>
          <a:chOff x="333" y="153"/>
          <a:chExt cx="64" cy="204"/>
        </a:xfrm>
      </xdr:grpSpPr>
      <xdr:cxnSp macro="">
        <xdr:nvCxnSpPr>
          <xdr:cNvPr id="30" name="AutoShape 576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577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2" name="AutoShape 578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365" y="262"/>
            <a:ext cx="32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10</xdr:col>
      <xdr:colOff>13415</xdr:colOff>
      <xdr:row>81</xdr:row>
      <xdr:rowOff>222250</xdr:rowOff>
    </xdr:from>
    <xdr:to>
      <xdr:col>11</xdr:col>
      <xdr:colOff>9793</xdr:colOff>
      <xdr:row>93</xdr:row>
      <xdr:rowOff>317500</xdr:rowOff>
    </xdr:to>
    <xdr:grpSp>
      <xdr:nvGrpSpPr>
        <xdr:cNvPr id="33" name="Group 57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>
          <a:grpSpLocks/>
        </xdr:cNvGrpSpPr>
      </xdr:nvGrpSpPr>
      <xdr:grpSpPr bwMode="auto">
        <a:xfrm flipH="1">
          <a:off x="25127665" y="21558250"/>
          <a:ext cx="1171128" cy="3143250"/>
          <a:chOff x="333" y="153"/>
          <a:chExt cx="63" cy="204"/>
        </a:xfrm>
      </xdr:grpSpPr>
      <xdr:cxnSp macro="">
        <xdr:nvCxnSpPr>
          <xdr:cNvPr id="34" name="AutoShape 580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5" name="AutoShape 581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6" name="AutoShape 582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5" y="254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10</xdr:col>
      <xdr:colOff>993</xdr:colOff>
      <xdr:row>7</xdr:row>
      <xdr:rowOff>189561</xdr:rowOff>
    </xdr:from>
    <xdr:to>
      <xdr:col>11</xdr:col>
      <xdr:colOff>4</xdr:colOff>
      <xdr:row>19</xdr:row>
      <xdr:rowOff>189561</xdr:rowOff>
    </xdr:to>
    <xdr:grpSp>
      <xdr:nvGrpSpPr>
        <xdr:cNvPr id="37" name="Group 66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pSpPr>
          <a:grpSpLocks/>
        </xdr:cNvGrpSpPr>
      </xdr:nvGrpSpPr>
      <xdr:grpSpPr bwMode="auto">
        <a:xfrm>
          <a:off x="25115243" y="2602561"/>
          <a:ext cx="1173761" cy="3048000"/>
          <a:chOff x="861" y="153"/>
          <a:chExt cx="60" cy="204"/>
        </a:xfrm>
      </xdr:grpSpPr>
      <xdr:cxnSp macro="">
        <xdr:nvCxnSpPr>
          <xdr:cNvPr id="38" name="AutoShape 661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9" name="AutoShape 662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663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861" y="254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10</xdr:col>
      <xdr:colOff>12695</xdr:colOff>
      <xdr:row>31</xdr:row>
      <xdr:rowOff>285749</xdr:rowOff>
    </xdr:from>
    <xdr:to>
      <xdr:col>11</xdr:col>
      <xdr:colOff>31750</xdr:colOff>
      <xdr:row>43</xdr:row>
      <xdr:rowOff>222250</xdr:rowOff>
    </xdr:to>
    <xdr:grpSp>
      <xdr:nvGrpSpPr>
        <xdr:cNvPr id="41" name="Group 664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pSpPr>
          <a:grpSpLocks/>
        </xdr:cNvGrpSpPr>
      </xdr:nvGrpSpPr>
      <xdr:grpSpPr bwMode="auto">
        <a:xfrm>
          <a:off x="25126945" y="8794749"/>
          <a:ext cx="1193805" cy="2984501"/>
          <a:chOff x="856" y="153"/>
          <a:chExt cx="65" cy="204"/>
        </a:xfrm>
      </xdr:grpSpPr>
      <xdr:cxnSp macro="">
        <xdr:nvCxnSpPr>
          <xdr:cNvPr id="42" name="AutoShape 665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666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4" name="AutoShape 667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856" y="253"/>
            <a:ext cx="35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19050</xdr:colOff>
      <xdr:row>63</xdr:row>
      <xdr:rowOff>222250</xdr:rowOff>
    </xdr:from>
    <xdr:to>
      <xdr:col>5</xdr:col>
      <xdr:colOff>23204</xdr:colOff>
      <xdr:row>87</xdr:row>
      <xdr:rowOff>317500</xdr:rowOff>
    </xdr:to>
    <xdr:grpSp>
      <xdr:nvGrpSpPr>
        <xdr:cNvPr id="46" name="Group 54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GrpSpPr>
          <a:grpSpLocks/>
        </xdr:cNvGrpSpPr>
      </xdr:nvGrpSpPr>
      <xdr:grpSpPr bwMode="auto">
        <a:xfrm>
          <a:off x="8528050" y="16986250"/>
          <a:ext cx="1178904" cy="6191250"/>
          <a:chOff x="333" y="153"/>
          <a:chExt cx="64" cy="204"/>
        </a:xfrm>
      </xdr:grpSpPr>
      <xdr:cxnSp macro="">
        <xdr:nvCxnSpPr>
          <xdr:cNvPr id="47" name="AutoShape 545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8" name="AutoShape 546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547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5" y="255"/>
            <a:ext cx="32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7</xdr:col>
      <xdr:colOff>3302000</xdr:colOff>
      <xdr:row>13</xdr:row>
      <xdr:rowOff>285750</xdr:rowOff>
    </xdr:from>
    <xdr:to>
      <xdr:col>9</xdr:col>
      <xdr:colOff>63500</xdr:colOff>
      <xdr:row>37</xdr:row>
      <xdr:rowOff>285750</xdr:rowOff>
    </xdr:to>
    <xdr:grpSp>
      <xdr:nvGrpSpPr>
        <xdr:cNvPr id="50" name="Group 660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pSpPr>
          <a:grpSpLocks/>
        </xdr:cNvGrpSpPr>
      </xdr:nvGrpSpPr>
      <xdr:grpSpPr bwMode="auto">
        <a:xfrm>
          <a:off x="20478750" y="4222750"/>
          <a:ext cx="1333500" cy="6096000"/>
          <a:chOff x="861" y="153"/>
          <a:chExt cx="60" cy="204"/>
        </a:xfrm>
      </xdr:grpSpPr>
      <xdr:cxnSp macro="">
        <xdr:nvCxnSpPr>
          <xdr:cNvPr id="51" name="AutoShape 661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662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3" name="AutoShape 663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861" y="254"/>
            <a:ext cx="30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0</xdr:colOff>
      <xdr:row>63</xdr:row>
      <xdr:rowOff>222250</xdr:rowOff>
    </xdr:from>
    <xdr:to>
      <xdr:col>9</xdr:col>
      <xdr:colOff>0</xdr:colOff>
      <xdr:row>87</xdr:row>
      <xdr:rowOff>254000</xdr:rowOff>
    </xdr:to>
    <xdr:grpSp>
      <xdr:nvGrpSpPr>
        <xdr:cNvPr id="54" name="Group 66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GrpSpPr>
          <a:grpSpLocks/>
        </xdr:cNvGrpSpPr>
      </xdr:nvGrpSpPr>
      <xdr:grpSpPr bwMode="auto">
        <a:xfrm>
          <a:off x="20574000" y="16986250"/>
          <a:ext cx="1174750" cy="6127750"/>
          <a:chOff x="861" y="153"/>
          <a:chExt cx="60" cy="204"/>
        </a:xfrm>
      </xdr:grpSpPr>
      <xdr:cxnSp macro="">
        <xdr:nvCxnSpPr>
          <xdr:cNvPr id="55" name="AutoShape 661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6" name="AutoShape 662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7" name="AutoShape 663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861" y="254"/>
            <a:ext cx="30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1071</xdr:colOff>
      <xdr:row>7</xdr:row>
      <xdr:rowOff>190501</xdr:rowOff>
    </xdr:from>
    <xdr:to>
      <xdr:col>18</xdr:col>
      <xdr:colOff>2524</xdr:colOff>
      <xdr:row>19</xdr:row>
      <xdr:rowOff>285751</xdr:rowOff>
    </xdr:to>
    <xdr:grpSp>
      <xdr:nvGrpSpPr>
        <xdr:cNvPr id="114" name="Group 535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GrpSpPr>
          <a:grpSpLocks/>
        </xdr:cNvGrpSpPr>
      </xdr:nvGrpSpPr>
      <xdr:grpSpPr bwMode="auto">
        <a:xfrm>
          <a:off x="36450071" y="2603501"/>
          <a:ext cx="2319203" cy="3143250"/>
          <a:chOff x="333" y="153"/>
          <a:chExt cx="67" cy="204"/>
        </a:xfrm>
      </xdr:grpSpPr>
      <xdr:cxnSp macro="">
        <xdr:nvCxnSpPr>
          <xdr:cNvPr id="115" name="AutoShape 216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6" name="AutoShape 217">
            <a:extLst>
              <a:ext uri="{FF2B5EF4-FFF2-40B4-BE49-F238E27FC236}">
                <a16:creationId xmlns:a16="http://schemas.microsoft.com/office/drawing/2014/main" id="{00000000-0008-0000-0500-000074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7" name="AutoShape 218">
            <a:extLst>
              <a:ext uri="{FF2B5EF4-FFF2-40B4-BE49-F238E27FC236}">
                <a16:creationId xmlns:a16="http://schemas.microsoft.com/office/drawing/2014/main" id="{00000000-0008-0000-0500-0000750000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364" y="256"/>
            <a:ext cx="36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18</xdr:col>
      <xdr:colOff>3238500</xdr:colOff>
      <xdr:row>13</xdr:row>
      <xdr:rowOff>222250</xdr:rowOff>
    </xdr:from>
    <xdr:to>
      <xdr:col>20</xdr:col>
      <xdr:colOff>0</xdr:colOff>
      <xdr:row>37</xdr:row>
      <xdr:rowOff>222250</xdr:rowOff>
    </xdr:to>
    <xdr:grpSp>
      <xdr:nvGrpSpPr>
        <xdr:cNvPr id="118" name="Group 468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GrpSpPr>
          <a:grpSpLocks/>
        </xdr:cNvGrpSpPr>
      </xdr:nvGrpSpPr>
      <xdr:grpSpPr bwMode="auto">
        <a:xfrm>
          <a:off x="42005250" y="4159250"/>
          <a:ext cx="2413000" cy="6096000"/>
          <a:chOff x="460" y="254"/>
          <a:chExt cx="69" cy="408"/>
        </a:xfrm>
      </xdr:grpSpPr>
      <xdr:cxnSp macro="">
        <xdr:nvCxnSpPr>
          <xdr:cNvPr id="119" name="AutoShape 237">
            <a:extLst>
              <a:ext uri="{FF2B5EF4-FFF2-40B4-BE49-F238E27FC236}">
                <a16:creationId xmlns:a16="http://schemas.microsoft.com/office/drawing/2014/main" id="{00000000-0008-0000-0500-000077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0" name="AutoShape 238">
            <a:extLst>
              <a:ext uri="{FF2B5EF4-FFF2-40B4-BE49-F238E27FC236}">
                <a16:creationId xmlns:a16="http://schemas.microsoft.com/office/drawing/2014/main" id="{00000000-0008-0000-0500-000078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374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1" name="AutoShape 239">
            <a:extLst>
              <a:ext uri="{FF2B5EF4-FFF2-40B4-BE49-F238E27FC236}">
                <a16:creationId xmlns:a16="http://schemas.microsoft.com/office/drawing/2014/main" id="{00000000-0008-0000-0500-00007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2" y="458"/>
            <a:ext cx="37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20</xdr:col>
      <xdr:colOff>977900</xdr:colOff>
      <xdr:row>25</xdr:row>
      <xdr:rowOff>495300</xdr:rowOff>
    </xdr:from>
    <xdr:to>
      <xdr:col>20</xdr:col>
      <xdr:colOff>977900</xdr:colOff>
      <xdr:row>51</xdr:row>
      <xdr:rowOff>63500</xdr:rowOff>
    </xdr:to>
    <xdr:cxnSp macro="">
      <xdr:nvCxnSpPr>
        <xdr:cNvPr id="122" name="AutoShape 276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CxnSpPr>
          <a:cxnSpLocks noChangeShapeType="1"/>
        </xdr:cNvCxnSpPr>
      </xdr:nvCxnSpPr>
      <xdr:spPr bwMode="auto">
        <a:xfrm>
          <a:off x="7645400" y="7480300"/>
          <a:ext cx="0" cy="5918200"/>
        </a:xfrm>
        <a:prstGeom prst="straightConnector1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1006162</xdr:colOff>
      <xdr:row>51</xdr:row>
      <xdr:rowOff>241479</xdr:rowOff>
    </xdr:from>
    <xdr:to>
      <xdr:col>21</xdr:col>
      <xdr:colOff>0</xdr:colOff>
      <xdr:row>51</xdr:row>
      <xdr:rowOff>241479</xdr:rowOff>
    </xdr:to>
    <xdr:cxnSp macro="">
      <xdr:nvCxnSpPr>
        <xdr:cNvPr id="123" name="AutoShape 277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>
          <a:cxnSpLocks noChangeShapeType="1"/>
        </xdr:cNvCxnSpPr>
      </xdr:nvCxnSpPr>
      <xdr:spPr bwMode="auto">
        <a:xfrm flipH="1">
          <a:off x="7673662" y="13576479"/>
          <a:ext cx="1057588" cy="0"/>
        </a:xfrm>
        <a:prstGeom prst="straightConnector1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977900</xdr:colOff>
      <xdr:row>51</xdr:row>
      <xdr:rowOff>63500</xdr:rowOff>
    </xdr:from>
    <xdr:to>
      <xdr:col>20</xdr:col>
      <xdr:colOff>984250</xdr:colOff>
      <xdr:row>74</xdr:row>
      <xdr:rowOff>101600</xdr:rowOff>
    </xdr:to>
    <xdr:cxnSp macro="">
      <xdr:nvCxnSpPr>
        <xdr:cNvPr id="124" name="AutoShape 278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cxnSpLocks noChangeShapeType="1"/>
        </xdr:cNvCxnSpPr>
      </xdr:nvCxnSpPr>
      <xdr:spPr bwMode="auto">
        <a:xfrm flipH="1">
          <a:off x="45300900" y="13398500"/>
          <a:ext cx="6350" cy="6388100"/>
        </a:xfrm>
        <a:prstGeom prst="straightConnector1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0</xdr:colOff>
      <xdr:row>26</xdr:row>
      <xdr:rowOff>9525</xdr:rowOff>
    </xdr:from>
    <xdr:to>
      <xdr:col>22</xdr:col>
      <xdr:colOff>606425</xdr:colOff>
      <xdr:row>75</xdr:row>
      <xdr:rowOff>15875</xdr:rowOff>
    </xdr:to>
    <xdr:grpSp>
      <xdr:nvGrpSpPr>
        <xdr:cNvPr id="125" name="Group 28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GrpSpPr>
          <a:grpSpLocks/>
        </xdr:cNvGrpSpPr>
      </xdr:nvGrpSpPr>
      <xdr:grpSpPr bwMode="auto">
        <a:xfrm>
          <a:off x="50704750" y="7502525"/>
          <a:ext cx="606425" cy="12325350"/>
          <a:chOff x="655" y="467"/>
          <a:chExt cx="42" cy="848"/>
        </a:xfrm>
      </xdr:grpSpPr>
      <xdr:cxnSp macro="">
        <xdr:nvCxnSpPr>
          <xdr:cNvPr id="126" name="AutoShape 280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7" name="AutoShape 281">
            <a:extLst>
              <a:ext uri="{FF2B5EF4-FFF2-40B4-BE49-F238E27FC236}">
                <a16:creationId xmlns:a16="http://schemas.microsoft.com/office/drawing/2014/main" id="{00000000-0008-0000-0500-00007F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655" y="1087"/>
            <a:ext cx="4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284">
            <a:extLst>
              <a:ext uri="{FF2B5EF4-FFF2-40B4-BE49-F238E27FC236}">
                <a16:creationId xmlns:a16="http://schemas.microsoft.com/office/drawing/2014/main" id="{00000000-0008-0000-0500-00008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1074</xdr:colOff>
      <xdr:row>31</xdr:row>
      <xdr:rowOff>189561</xdr:rowOff>
    </xdr:from>
    <xdr:to>
      <xdr:col>18</xdr:col>
      <xdr:colOff>9526</xdr:colOff>
      <xdr:row>43</xdr:row>
      <xdr:rowOff>189561</xdr:rowOff>
    </xdr:to>
    <xdr:grpSp>
      <xdr:nvGrpSpPr>
        <xdr:cNvPr id="129" name="Group 536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GrpSpPr>
          <a:grpSpLocks/>
        </xdr:cNvGrpSpPr>
      </xdr:nvGrpSpPr>
      <xdr:grpSpPr bwMode="auto">
        <a:xfrm>
          <a:off x="36450074" y="8698561"/>
          <a:ext cx="2326202" cy="3048000"/>
          <a:chOff x="333" y="153"/>
          <a:chExt cx="65" cy="204"/>
        </a:xfrm>
      </xdr:grpSpPr>
      <xdr:cxnSp macro="">
        <xdr:nvCxnSpPr>
          <xdr:cNvPr id="130" name="AutoShape 537">
            <a:extLst>
              <a:ext uri="{FF2B5EF4-FFF2-40B4-BE49-F238E27FC236}">
                <a16:creationId xmlns:a16="http://schemas.microsoft.com/office/drawing/2014/main" id="{00000000-0008-0000-0500-000082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538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2" name="AutoShape 539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5" y="256"/>
            <a:ext cx="33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9525</xdr:colOff>
      <xdr:row>57</xdr:row>
      <xdr:rowOff>158750</xdr:rowOff>
    </xdr:from>
    <xdr:to>
      <xdr:col>18</xdr:col>
      <xdr:colOff>0</xdr:colOff>
      <xdr:row>69</xdr:row>
      <xdr:rowOff>317500</xdr:rowOff>
    </xdr:to>
    <xdr:grpSp>
      <xdr:nvGrpSpPr>
        <xdr:cNvPr id="133" name="Group 540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GrpSpPr>
          <a:grpSpLocks/>
        </xdr:cNvGrpSpPr>
      </xdr:nvGrpSpPr>
      <xdr:grpSpPr bwMode="auto">
        <a:xfrm>
          <a:off x="36458525" y="15017750"/>
          <a:ext cx="2308225" cy="3587750"/>
          <a:chOff x="333" y="153"/>
          <a:chExt cx="62" cy="204"/>
        </a:xfrm>
      </xdr:grpSpPr>
      <xdr:cxnSp macro="">
        <xdr:nvCxnSpPr>
          <xdr:cNvPr id="134" name="AutoShape 541">
            <a:extLst>
              <a:ext uri="{FF2B5EF4-FFF2-40B4-BE49-F238E27FC236}">
                <a16:creationId xmlns:a16="http://schemas.microsoft.com/office/drawing/2014/main" id="{00000000-0008-0000-0500-000086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5" name="AutoShape 542">
            <a:extLst>
              <a:ext uri="{FF2B5EF4-FFF2-40B4-BE49-F238E27FC236}">
                <a16:creationId xmlns:a16="http://schemas.microsoft.com/office/drawing/2014/main" id="{00000000-0008-0000-0500-000087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6" name="AutoShape 543">
            <a:extLst>
              <a:ext uri="{FF2B5EF4-FFF2-40B4-BE49-F238E27FC236}">
                <a16:creationId xmlns:a16="http://schemas.microsoft.com/office/drawing/2014/main" id="{00000000-0008-0000-0500-000088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4" y="265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9524</xdr:colOff>
      <xdr:row>81</xdr:row>
      <xdr:rowOff>127001</xdr:rowOff>
    </xdr:from>
    <xdr:to>
      <xdr:col>18</xdr:col>
      <xdr:colOff>13678</xdr:colOff>
      <xdr:row>93</xdr:row>
      <xdr:rowOff>285751</xdr:rowOff>
    </xdr:to>
    <xdr:grpSp>
      <xdr:nvGrpSpPr>
        <xdr:cNvPr id="137" name="Group 544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pSpPr>
          <a:grpSpLocks/>
        </xdr:cNvGrpSpPr>
      </xdr:nvGrpSpPr>
      <xdr:grpSpPr bwMode="auto">
        <a:xfrm>
          <a:off x="36458524" y="21463001"/>
          <a:ext cx="2321904" cy="3206750"/>
          <a:chOff x="333" y="153"/>
          <a:chExt cx="64" cy="204"/>
        </a:xfrm>
      </xdr:grpSpPr>
      <xdr:cxnSp macro="">
        <xdr:nvCxnSpPr>
          <xdr:cNvPr id="138" name="AutoShape 545">
            <a:extLst>
              <a:ext uri="{FF2B5EF4-FFF2-40B4-BE49-F238E27FC236}">
                <a16:creationId xmlns:a16="http://schemas.microsoft.com/office/drawing/2014/main" id="{00000000-0008-0000-0500-00008A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9" name="AutoShape 546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547">
            <a:extLst>
              <a:ext uri="{FF2B5EF4-FFF2-40B4-BE49-F238E27FC236}">
                <a16:creationId xmlns:a16="http://schemas.microsoft.com/office/drawing/2014/main" id="{00000000-0008-0000-0500-00008C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6" y="256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25</xdr:col>
      <xdr:colOff>13415</xdr:colOff>
      <xdr:row>81</xdr:row>
      <xdr:rowOff>222250</xdr:rowOff>
    </xdr:from>
    <xdr:to>
      <xdr:col>26</xdr:col>
      <xdr:colOff>9793</xdr:colOff>
      <xdr:row>93</xdr:row>
      <xdr:rowOff>222250</xdr:rowOff>
    </xdr:to>
    <xdr:grpSp>
      <xdr:nvGrpSpPr>
        <xdr:cNvPr id="145" name="Group 579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GrpSpPr>
          <a:grpSpLocks/>
        </xdr:cNvGrpSpPr>
      </xdr:nvGrpSpPr>
      <xdr:grpSpPr bwMode="auto">
        <a:xfrm flipH="1">
          <a:off x="56877665" y="21558250"/>
          <a:ext cx="1107628" cy="3048000"/>
          <a:chOff x="333" y="153"/>
          <a:chExt cx="63" cy="204"/>
        </a:xfrm>
      </xdr:grpSpPr>
      <xdr:cxnSp macro="">
        <xdr:nvCxnSpPr>
          <xdr:cNvPr id="146" name="AutoShape 580">
            <a:extLst>
              <a:ext uri="{FF2B5EF4-FFF2-40B4-BE49-F238E27FC236}">
                <a16:creationId xmlns:a16="http://schemas.microsoft.com/office/drawing/2014/main" id="{00000000-0008-0000-0500-000092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7" name="AutoShape 581">
            <a:extLst>
              <a:ext uri="{FF2B5EF4-FFF2-40B4-BE49-F238E27FC236}">
                <a16:creationId xmlns:a16="http://schemas.microsoft.com/office/drawing/2014/main" id="{00000000-0008-0000-0500-000093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8" name="AutoShape 582">
            <a:extLst>
              <a:ext uri="{FF2B5EF4-FFF2-40B4-BE49-F238E27FC236}">
                <a16:creationId xmlns:a16="http://schemas.microsoft.com/office/drawing/2014/main" id="{00000000-0008-0000-0500-000094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5" y="254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25</xdr:col>
      <xdr:colOff>993</xdr:colOff>
      <xdr:row>7</xdr:row>
      <xdr:rowOff>189561</xdr:rowOff>
    </xdr:from>
    <xdr:to>
      <xdr:col>26</xdr:col>
      <xdr:colOff>4</xdr:colOff>
      <xdr:row>19</xdr:row>
      <xdr:rowOff>189561</xdr:rowOff>
    </xdr:to>
    <xdr:grpSp>
      <xdr:nvGrpSpPr>
        <xdr:cNvPr id="149" name="Group 660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GrpSpPr>
          <a:grpSpLocks/>
        </xdr:cNvGrpSpPr>
      </xdr:nvGrpSpPr>
      <xdr:grpSpPr bwMode="auto">
        <a:xfrm>
          <a:off x="56865243" y="2602561"/>
          <a:ext cx="1110261" cy="3048000"/>
          <a:chOff x="861" y="153"/>
          <a:chExt cx="60" cy="204"/>
        </a:xfrm>
      </xdr:grpSpPr>
      <xdr:cxnSp macro="">
        <xdr:nvCxnSpPr>
          <xdr:cNvPr id="150" name="AutoShape 661">
            <a:extLst>
              <a:ext uri="{FF2B5EF4-FFF2-40B4-BE49-F238E27FC236}">
                <a16:creationId xmlns:a16="http://schemas.microsoft.com/office/drawing/2014/main" id="{00000000-0008-0000-0500-000096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1" name="AutoShape 662">
            <a:extLst>
              <a:ext uri="{FF2B5EF4-FFF2-40B4-BE49-F238E27FC236}">
                <a16:creationId xmlns:a16="http://schemas.microsoft.com/office/drawing/2014/main" id="{00000000-0008-0000-0500-000097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63">
            <a:extLst>
              <a:ext uri="{FF2B5EF4-FFF2-40B4-BE49-F238E27FC236}">
                <a16:creationId xmlns:a16="http://schemas.microsoft.com/office/drawing/2014/main" id="{00000000-0008-0000-0500-000098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861" y="254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19050</xdr:colOff>
      <xdr:row>63</xdr:row>
      <xdr:rowOff>222250</xdr:rowOff>
    </xdr:from>
    <xdr:to>
      <xdr:col>20</xdr:col>
      <xdr:colOff>23204</xdr:colOff>
      <xdr:row>87</xdr:row>
      <xdr:rowOff>285750</xdr:rowOff>
    </xdr:to>
    <xdr:grpSp>
      <xdr:nvGrpSpPr>
        <xdr:cNvPr id="158" name="Group 544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GrpSpPr>
          <a:grpSpLocks/>
        </xdr:cNvGrpSpPr>
      </xdr:nvGrpSpPr>
      <xdr:grpSpPr bwMode="auto">
        <a:xfrm>
          <a:off x="42119550" y="16986250"/>
          <a:ext cx="2321904" cy="6159500"/>
          <a:chOff x="333" y="153"/>
          <a:chExt cx="64" cy="204"/>
        </a:xfrm>
      </xdr:grpSpPr>
      <xdr:cxnSp macro="">
        <xdr:nvCxnSpPr>
          <xdr:cNvPr id="159" name="AutoShape 545">
            <a:extLst>
              <a:ext uri="{FF2B5EF4-FFF2-40B4-BE49-F238E27FC236}">
                <a16:creationId xmlns:a16="http://schemas.microsoft.com/office/drawing/2014/main" id="{00000000-0008-0000-0500-00009F000000}"/>
              </a:ext>
            </a:extLst>
          </xdr:cNvPr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0" name="AutoShape 546">
            <a:extLst>
              <a:ext uri="{FF2B5EF4-FFF2-40B4-BE49-F238E27FC236}">
                <a16:creationId xmlns:a16="http://schemas.microsoft.com/office/drawing/2014/main" id="{00000000-0008-0000-0500-0000A0000000}"/>
              </a:ext>
            </a:extLst>
          </xdr:cNvPr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547">
            <a:extLst>
              <a:ext uri="{FF2B5EF4-FFF2-40B4-BE49-F238E27FC236}">
                <a16:creationId xmlns:a16="http://schemas.microsoft.com/office/drawing/2014/main" id="{00000000-0008-0000-0500-0000A1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65" y="255"/>
            <a:ext cx="32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23</xdr:col>
      <xdr:colOff>0</xdr:colOff>
      <xdr:row>13</xdr:row>
      <xdr:rowOff>222250</xdr:rowOff>
    </xdr:from>
    <xdr:to>
      <xdr:col>24</xdr:col>
      <xdr:colOff>31749</xdr:colOff>
      <xdr:row>37</xdr:row>
      <xdr:rowOff>349250</xdr:rowOff>
    </xdr:to>
    <xdr:grpSp>
      <xdr:nvGrpSpPr>
        <xdr:cNvPr id="162" name="Group 660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GrpSpPr>
          <a:grpSpLocks/>
        </xdr:cNvGrpSpPr>
      </xdr:nvGrpSpPr>
      <xdr:grpSpPr bwMode="auto">
        <a:xfrm>
          <a:off x="53530500" y="4159250"/>
          <a:ext cx="666749" cy="6223000"/>
          <a:chOff x="861" y="153"/>
          <a:chExt cx="60" cy="204"/>
        </a:xfrm>
      </xdr:grpSpPr>
      <xdr:cxnSp macro="">
        <xdr:nvCxnSpPr>
          <xdr:cNvPr id="163" name="AutoShape 661">
            <a:extLst>
              <a:ext uri="{FF2B5EF4-FFF2-40B4-BE49-F238E27FC236}">
                <a16:creationId xmlns:a16="http://schemas.microsoft.com/office/drawing/2014/main" id="{00000000-0008-0000-0500-0000A3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62">
            <a:extLst>
              <a:ext uri="{FF2B5EF4-FFF2-40B4-BE49-F238E27FC236}">
                <a16:creationId xmlns:a16="http://schemas.microsoft.com/office/drawing/2014/main" id="{00000000-0008-0000-0500-0000A4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5" name="AutoShape 663">
            <a:extLst>
              <a:ext uri="{FF2B5EF4-FFF2-40B4-BE49-F238E27FC236}">
                <a16:creationId xmlns:a16="http://schemas.microsoft.com/office/drawing/2014/main" id="{00000000-0008-0000-0500-0000A50000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861" y="254"/>
            <a:ext cx="30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23</xdr:col>
      <xdr:colOff>0</xdr:colOff>
      <xdr:row>63</xdr:row>
      <xdr:rowOff>222250</xdr:rowOff>
    </xdr:from>
    <xdr:to>
      <xdr:col>24</xdr:col>
      <xdr:colOff>0</xdr:colOff>
      <xdr:row>87</xdr:row>
      <xdr:rowOff>285750</xdr:rowOff>
    </xdr:to>
    <xdr:grpSp>
      <xdr:nvGrpSpPr>
        <xdr:cNvPr id="166" name="Group 660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GrpSpPr>
          <a:grpSpLocks/>
        </xdr:cNvGrpSpPr>
      </xdr:nvGrpSpPr>
      <xdr:grpSpPr bwMode="auto">
        <a:xfrm>
          <a:off x="53530500" y="16986250"/>
          <a:ext cx="635000" cy="6159500"/>
          <a:chOff x="861" y="153"/>
          <a:chExt cx="60" cy="204"/>
        </a:xfrm>
      </xdr:grpSpPr>
      <xdr:cxnSp macro="">
        <xdr:nvCxnSpPr>
          <xdr:cNvPr id="167" name="AutoShape 661">
            <a:extLst>
              <a:ext uri="{FF2B5EF4-FFF2-40B4-BE49-F238E27FC236}">
                <a16:creationId xmlns:a16="http://schemas.microsoft.com/office/drawing/2014/main" id="{00000000-0008-0000-0500-0000A7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8" name="AutoShape 662">
            <a:extLst>
              <a:ext uri="{FF2B5EF4-FFF2-40B4-BE49-F238E27FC236}">
                <a16:creationId xmlns:a16="http://schemas.microsoft.com/office/drawing/2014/main" id="{00000000-0008-0000-0500-0000A8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9" name="AutoShape 663">
            <a:extLst>
              <a:ext uri="{FF2B5EF4-FFF2-40B4-BE49-F238E27FC236}">
                <a16:creationId xmlns:a16="http://schemas.microsoft.com/office/drawing/2014/main" id="{00000000-0008-0000-0500-0000A90000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861" y="254"/>
            <a:ext cx="30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25</xdr:col>
      <xdr:colOff>993</xdr:colOff>
      <xdr:row>31</xdr:row>
      <xdr:rowOff>189561</xdr:rowOff>
    </xdr:from>
    <xdr:to>
      <xdr:col>26</xdr:col>
      <xdr:colOff>4</xdr:colOff>
      <xdr:row>43</xdr:row>
      <xdr:rowOff>189561</xdr:rowOff>
    </xdr:to>
    <xdr:grpSp>
      <xdr:nvGrpSpPr>
        <xdr:cNvPr id="172" name="Group 66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pSpPr>
          <a:grpSpLocks/>
        </xdr:cNvGrpSpPr>
      </xdr:nvGrpSpPr>
      <xdr:grpSpPr bwMode="auto">
        <a:xfrm>
          <a:off x="56865243" y="8698561"/>
          <a:ext cx="1110261" cy="3048000"/>
          <a:chOff x="861" y="153"/>
          <a:chExt cx="60" cy="204"/>
        </a:xfrm>
      </xdr:grpSpPr>
      <xdr:cxnSp macro="">
        <xdr:nvCxnSpPr>
          <xdr:cNvPr id="173" name="AutoShape 661">
            <a:extLst>
              <a:ext uri="{FF2B5EF4-FFF2-40B4-BE49-F238E27FC236}">
                <a16:creationId xmlns:a16="http://schemas.microsoft.com/office/drawing/2014/main" id="{00000000-0008-0000-0500-0000AD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2">
            <a:extLst>
              <a:ext uri="{FF2B5EF4-FFF2-40B4-BE49-F238E27FC236}">
                <a16:creationId xmlns:a16="http://schemas.microsoft.com/office/drawing/2014/main" id="{00000000-0008-0000-0500-0000AE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3">
            <a:extLst>
              <a:ext uri="{FF2B5EF4-FFF2-40B4-BE49-F238E27FC236}">
                <a16:creationId xmlns:a16="http://schemas.microsoft.com/office/drawing/2014/main" id="{00000000-0008-0000-0500-0000AF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861" y="254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25</xdr:col>
      <xdr:colOff>993</xdr:colOff>
      <xdr:row>57</xdr:row>
      <xdr:rowOff>381000</xdr:rowOff>
    </xdr:from>
    <xdr:to>
      <xdr:col>26</xdr:col>
      <xdr:colOff>4</xdr:colOff>
      <xdr:row>69</xdr:row>
      <xdr:rowOff>189560</xdr:rowOff>
    </xdr:to>
    <xdr:grpSp>
      <xdr:nvGrpSpPr>
        <xdr:cNvPr id="176" name="Group 66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pSpPr>
          <a:grpSpLocks/>
        </xdr:cNvGrpSpPr>
      </xdr:nvGrpSpPr>
      <xdr:grpSpPr bwMode="auto">
        <a:xfrm>
          <a:off x="56865243" y="15240000"/>
          <a:ext cx="1110261" cy="3237560"/>
          <a:chOff x="861" y="153"/>
          <a:chExt cx="60" cy="204"/>
        </a:xfrm>
      </xdr:grpSpPr>
      <xdr:cxnSp macro="">
        <xdr:nvCxnSpPr>
          <xdr:cNvPr id="177" name="AutoShape 661">
            <a:extLst>
              <a:ext uri="{FF2B5EF4-FFF2-40B4-BE49-F238E27FC236}">
                <a16:creationId xmlns:a16="http://schemas.microsoft.com/office/drawing/2014/main" id="{00000000-0008-0000-0500-0000B1000000}"/>
              </a:ext>
            </a:extLst>
          </xdr:cNvPr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62">
            <a:extLst>
              <a:ext uri="{FF2B5EF4-FFF2-40B4-BE49-F238E27FC236}">
                <a16:creationId xmlns:a16="http://schemas.microsoft.com/office/drawing/2014/main" id="{00000000-0008-0000-0500-0000B2000000}"/>
              </a:ext>
            </a:extLst>
          </xdr:cNvPr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ysClr val="windowText" lastClr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9" name="AutoShape 663">
            <a:extLst>
              <a:ext uri="{FF2B5EF4-FFF2-40B4-BE49-F238E27FC236}">
                <a16:creationId xmlns:a16="http://schemas.microsoft.com/office/drawing/2014/main" id="{00000000-0008-0000-0500-0000B3000000}"/>
              </a:ext>
            </a:extLst>
          </xdr:cNvPr>
          <xdr:cNvCxnSpPr>
            <a:cxnSpLocks noChangeShapeType="1"/>
          </xdr:cNvCxnSpPr>
        </xdr:nvCxnSpPr>
        <xdr:spPr bwMode="auto">
          <a:xfrm flipH="1">
            <a:off x="861" y="254"/>
            <a:ext cx="31" cy="0"/>
          </a:xfrm>
          <a:prstGeom prst="straightConnector1">
            <a:avLst/>
          </a:prstGeom>
          <a:noFill/>
          <a:ln w="952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20</xdr:col>
      <xdr:colOff>1587500</xdr:colOff>
      <xdr:row>32</xdr:row>
      <xdr:rowOff>95250</xdr:rowOff>
    </xdr:from>
    <xdr:to>
      <xdr:col>21</xdr:col>
      <xdr:colOff>3126513</xdr:colOff>
      <xdr:row>45</xdr:row>
      <xdr:rowOff>73025</xdr:rowOff>
    </xdr:to>
    <xdr:pic>
      <xdr:nvPicPr>
        <xdr:cNvPr id="189" name="Picture 188" descr="NBA Finals - Wikipedia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0" y="9112250"/>
          <a:ext cx="4587013" cy="3152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2286000</xdr:colOff>
      <xdr:row>34</xdr:row>
      <xdr:rowOff>222250</xdr:rowOff>
    </xdr:from>
    <xdr:to>
      <xdr:col>6</xdr:col>
      <xdr:colOff>3317013</xdr:colOff>
      <xdr:row>46</xdr:row>
      <xdr:rowOff>327025</xdr:rowOff>
    </xdr:to>
    <xdr:pic>
      <xdr:nvPicPr>
        <xdr:cNvPr id="191" name="Picture 190" descr="NBA Finals - Wikipedia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74500" y="9493250"/>
          <a:ext cx="4587013" cy="3152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EF51E6-E9E3-4B2E-88A5-95E7A781680A}" autoFormatId="16" applyNumberFormats="0" applyBorderFormats="0" applyFontFormats="0" applyPatternFormats="0" applyAlignmentFormats="0" applyWidthHeightFormats="0">
  <queryTableRefresh nextId="12" unboundColumnsRight="3">
    <queryTableFields count="11">
      <queryTableField id="1" name="Teams" tableColumnId="9"/>
      <queryTableField id="2" name="W" tableColumnId="2"/>
      <queryTableField id="3" name="L" tableColumnId="3"/>
      <queryTableField id="4" name="WIN PCT" tableColumnId="4"/>
      <queryTableField id="5" name="GB" tableColumnId="5"/>
      <queryTableField id="6" name="PPG" tableColumnId="6"/>
      <queryTableField id="7" name="PAPG" tableColumnId="7"/>
      <queryTableField id="8" name="Simple Rating System (SRS)" tableColumnId="8"/>
      <queryTableField id="9" dataBound="0" tableColumnId="10"/>
      <queryTableField id="10" dataBound="0" tableColumnId="11"/>
      <queryTableField id="11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BFC6A2-0290-45A5-A5D3-986E65BF9A28}" autoFormatId="16" applyNumberFormats="0" applyBorderFormats="0" applyFontFormats="0" applyPatternFormats="0" applyAlignmentFormats="0" applyWidthHeightFormats="0">
  <queryTableRefresh nextId="12" unboundColumnsRight="3">
    <queryTableFields count="11">
      <queryTableField id="1" name="Teams" tableColumnId="9"/>
      <queryTableField id="2" name="W" tableColumnId="2"/>
      <queryTableField id="3" name="L" tableColumnId="3"/>
      <queryTableField id="4" name="WIN PCT" tableColumnId="4"/>
      <queryTableField id="5" name="GB" tableColumnId="5"/>
      <queryTableField id="6" name="PPG" tableColumnId="6"/>
      <queryTableField id="7" name="PAPG" tableColumnId="7"/>
      <queryTableField id="8" name="Simple Rating System (SRS)" tableColumnId="8"/>
      <queryTableField id="9" dataBound="0" tableColumnId="10"/>
      <queryTableField id="10" dataBound="0" tableColumnId="11"/>
      <queryTableField id="11" dataBound="0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25C686D-25BB-4329-9D64-D4B429AA6495}" name="East_Snapshot" displayName="East_Snapshot" ref="C1:J16" totalsRowShown="0" headerRowDxfId="100">
  <autoFilter ref="C1:J16" xr:uid="{65AFBEE6-DBD3-43D2-AC4C-8027CE5997C9}"/>
  <tableColumns count="8">
    <tableColumn id="1" xr3:uid="{E5BB8278-110E-4BD6-A363-F856D8998435}" name="Teams" dataDxfId="99">
      <calculatedColumnFormula>IF($A$2=2020,East2020[[#This Row],[Teams]],IF($A$2=2019,East2019[[#This Row],[Teams]],IF($A$2=2018,'Historical Standings'!B35,IF($A$2=2017,'Historical Standings'!L35,IF($A$2=2016,'Historical Standings'!B69,IF($A$2=2015,'Historical Standings'!L69,IF($A$2=2014,'Historical Standings'!B103,IF($A$2=2013,'Historical Standings'!L103,IF($A$2=2012,'Historical Standings'!B137,IF($A$2=2011,'Historical Standings'!L137,IF($A$2=2010,'Historical Standings'!B171,IF($A$2=2009,'Historical Standings'!L171,IF($A$2=2008,'Historical Standings'!B205,IF($A$2=2007,'Historical Standings'!L205,IF($A$2=2006,'Historical Standings'!B239,IF($A$2=2005,'Historical Standings'!L239,IF($A$2=2004,'Historical Standings'!B273,'Historical Standings'!L273)))))))))))))))))</calculatedColumnFormula>
    </tableColumn>
    <tableColumn id="2" xr3:uid="{F28F375D-7034-40B9-A770-267FBB238157}" name="W">
      <calculatedColumnFormula>IF($A$2=2020,East2020[[#This Row],[W]],IF($A$2=2019,East2019[[#This Row],[W]],IF($A$2=2018,'Historical Standings'!C35,IF($A$2=2017,'Historical Standings'!M35,IF($A$2=2016,'Historical Standings'!C69,IF($A$2=2015,'Historical Standings'!M69,IF($A$2=2014,'Historical Standings'!C103,IF($A$2=2013,'Historical Standings'!M103,IF($A$2=2012,'Historical Standings'!C137,IF($A$2=2011,'Historical Standings'!M137,IF($A$2=2010,'Historical Standings'!C171,IF($A$2=2009,'Historical Standings'!M171,IF($A$2=2008,'Historical Standings'!C205,IF($A$2=2007,'Historical Standings'!M205,IF($A$2=2006,'Historical Standings'!C239,IF($A$2=2005,'Historical Standings'!M239,IF($A$2=2004,'Historical Standings'!C273,'Historical Standings'!M273)))))))))))))))))</calculatedColumnFormula>
    </tableColumn>
    <tableColumn id="3" xr3:uid="{34DBFDF1-A847-4943-A111-63C10F14285C}" name="L">
      <calculatedColumnFormula>IF($A$2=2020,East2020[[#This Row],[L]],IF($A$2=2019,East2019[[#This Row],[L]],IF($A$2=2018,'Historical Standings'!D35,IF($A$2=2017,'Historical Standings'!N35,IF($A$2=2016,'Historical Standings'!D69,IF($A$2=2015,'Historical Standings'!N69,IF($A$2=2014,'Historical Standings'!D103,IF($A$2=2013,'Historical Standings'!N103,IF($A$2=2012,'Historical Standings'!D137,IF($A$2=2011,'Historical Standings'!N137,IF($A$2=2010,'Historical Standings'!D171,IF($A$2=2009,'Historical Standings'!N171,IF($A$2=2008,'Historical Standings'!D205,IF($A$2=2007,'Historical Standings'!N205,IF($A$2=2006,'Historical Standings'!D239,IF($A$2=2005,'Historical Standings'!N239,IF($A$2=2004,'Historical Standings'!D273,'Historical Standings'!N273)))))))))))))))))</calculatedColumnFormula>
    </tableColumn>
    <tableColumn id="4" xr3:uid="{73A6B73B-058F-43A9-B240-6FC2DFA1823C}" name="WIN PCT" dataDxfId="98">
      <calculatedColumnFormula>IF($A$2=2020,East2020[[#This Row],[WIN PCT]],IF($A$2=2019,East2019[[#This Row],[WIN PCT]],IF($A$2=2018,'Historical Standings'!E35,IF($A$2=2017,'Historical Standings'!O35,IF($A$2=2016,'Historical Standings'!E69,IF($A$2=2015,'Historical Standings'!O69,IF($A$2=2014,'Historical Standings'!E103,IF($A$2=2013,'Historical Standings'!O103,IF($A$2=2012,'Historical Standings'!E137,IF($A$2=2011,'Historical Standings'!O137,IF($A$2=2010,'Historical Standings'!E171,IF($A$2=2009,'Historical Standings'!O171,IF($A$2=2008,'Historical Standings'!E205,IF($A$2=2007,'Historical Standings'!O205,IF($A$2=2006,'Historical Standings'!E239,IF($A$2=2005,'Historical Standings'!O239,IF($A$2=2004,'Historical Standings'!E273,'Historical Standings'!O273)))))))))))))))))</calculatedColumnFormula>
    </tableColumn>
    <tableColumn id="5" xr3:uid="{5819E30F-8B11-4455-81D9-2AE5B6017C0C}" name="Γ WIN PCT" dataDxfId="97">
      <calculatedColumnFormula>VLOOKUP($C2,'Historical Luck'!$A$7:$CM$36,5*ABS($A$2-2021),FALSE)</calculatedColumnFormula>
    </tableColumn>
    <tableColumn id="6" xr3:uid="{02B96EA3-C665-45DF-A20C-8D32B940227F}" name="Luck %" dataDxfId="96" dataCellStyle="Percent">
      <calculatedColumnFormula>VLOOKUP($C2,'Historical Luck'!$A$7:$CM$36,5*ABS($A$2-2020)+6,FALSE)</calculatedColumnFormula>
    </tableColumn>
    <tableColumn id="7" xr3:uid="{CEB9BD5B-4874-4CEB-9D8E-B3FAC4072D25}" name="Γ Rank">
      <calculatedColumnFormula>RANK(G2,$G$2:$G$16,0)</calculatedColumnFormula>
    </tableColumn>
    <tableColumn id="8" xr3:uid="{7C1C8054-CE5D-45D6-B7A1-7ECFFDBD0729}" name="SRS Adj" dataDxfId="95">
      <calculatedColumnFormula>IF($A$2=2020,East2020[[#This Row],[L]],IF($A$2=2019,East2019[[#This Row],[L]],IF($A$2=2018,'Historical Standings'!I35,IF($A$2=2017,'Historical Standings'!S35,IF($A$2=2016,'Historical Standings'!I69,IF($A$2=2015,'Historical Standings'!S69,IF($A$2=2014,'Historical Standings'!I103,IF($A$2=2013,'Historical Standings'!S103,IF($A$2=2012,'Historical Standings'!I137,IF($A$2=2011,'Historical Standings'!S137,IF($A$2=2010,'Historical Standings'!I171,IF($A$2=2009,'Historical Standings'!S171,IF($A$2=2008,'Historical Standings'!I205,IF($A$2=2007,'Historical Standings'!S205,IF($A$2=2006,'Historical Standings'!I239,IF($A$2=2005,'Historical Standings'!S239,IF($A$2=2004,'Historical Standings'!I273,'Historical Standings'!S273)))))))))))))))))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36053-1E3C-44A8-AE96-F75AEC1274EA}" name="West_Snapshot" displayName="West_Snapshot" ref="M1:T16" totalsRowShown="0" headerRowDxfId="94">
  <autoFilter ref="M1:T16" xr:uid="{530FA384-F25C-4D98-9134-7D73A9495CEB}"/>
  <tableColumns count="8">
    <tableColumn id="1" xr3:uid="{C3C74899-EC46-41E8-8D11-6FDBF81517F3}" name="Teams" dataDxfId="93">
      <calculatedColumnFormula>IF($A$2=2020,'Historical Standings'!B18,IF($A$2=2019,'Historical Standings'!L18,IF($A$2=2018,'Historical Standings'!B52,IF($A$2=2017,'Historical Standings'!L52,IF($A$2=2016,'Historical Standings'!B86,IF($A$2=2015,'Historical Standings'!L86,IF($A$2=2014,'Historical Standings'!B120,IF($A$2=2013,'Historical Standings'!L120,IF($A$2=2012,'Historical Standings'!B154,IF($A$2=2011,'Historical Standings'!L154,IF($A$2=2010,'Historical Standings'!B188,IF($A$2=2009,'Historical Standings'!L188,IF($A$2=2008,'Historical Standings'!B222,IF($A$2=2007,'Historical Standings'!L222,IF($A$2=2006,'Historical Standings'!B256,IF($A$2=2005,'Historical Standings'!L256,IF($A$2=2004,'Historical Standings'!B290,'Historical Standings'!L290)))))))))))))))))</calculatedColumnFormula>
    </tableColumn>
    <tableColumn id="2" xr3:uid="{FC85E52C-4561-48AA-9A9F-D0C891B50A99}" name="W" dataDxfId="92">
      <calculatedColumnFormula>IF($A$2=2020,'Historical Standings'!C18,IF($A$2=2019,'Historical Standings'!M18,IF($A$2=2018,'Historical Standings'!C52,IF($A$2=2017,'Historical Standings'!M52,IF($A$2=2016,'Historical Standings'!C86,IF($A$2=2015,'Historical Standings'!M86,IF($A$2=2014,'Historical Standings'!C120,IF($A$2=2013,'Historical Standings'!M120,IF($A$2=2012,'Historical Standings'!C154,IF($A$2=2011,'Historical Standings'!M154,IF($A$2=2010,'Historical Standings'!C188,IF($A$2=2009,'Historical Standings'!M188,IF($A$2=2008,'Historical Standings'!C222,IF($A$2=2007,'Historical Standings'!M222,IF($A$2=2006,'Historical Standings'!C256,IF($A$2=2005,'Historical Standings'!M256,IF($A$2=2004,'Historical Standings'!C290,'Historical Standings'!M290)))))))))))))))))</calculatedColumnFormula>
    </tableColumn>
    <tableColumn id="3" xr3:uid="{12BF725F-7BB9-4743-A36F-761EACEF7641}" name="L" dataDxfId="91">
      <calculatedColumnFormula>IF($A$2=2020,'Historical Standings'!D18,IF($A$2=2019,'Historical Standings'!N18,IF($A$2=2018,'Historical Standings'!D52,IF($A$2=2017,'Historical Standings'!N52,IF($A$2=2016,'Historical Standings'!D86,IF($A$2=2015,'Historical Standings'!N86,IF($A$2=2014,'Historical Standings'!D120,IF($A$2=2013,'Historical Standings'!N120,IF($A$2=2012,'Historical Standings'!D154,IF($A$2=2011,'Historical Standings'!N154,IF($A$2=2010,'Historical Standings'!D188,IF($A$2=2009,'Historical Standings'!N188,IF($A$2=2008,'Historical Standings'!D222,IF($A$2=2007,'Historical Standings'!N222,IF($A$2=2006,'Historical Standings'!D256,IF($A$2=2005,'Historical Standings'!N256,IF($A$2=2004,'Historical Standings'!D290,'Historical Standings'!N290)))))))))))))))))</calculatedColumnFormula>
    </tableColumn>
    <tableColumn id="4" xr3:uid="{BD8F8D46-D97D-4515-A0FB-6293EB9554EE}" name="WIN PCT" dataDxfId="90">
      <calculatedColumnFormula>IF($A$2=2020,'Historical Standings'!E18,IF($A$2=2019,'Historical Standings'!O18,IF($A$2=2018,'Historical Standings'!E52,IF($A$2=2017,'Historical Standings'!O52,IF($A$2=2016,'Historical Standings'!E86,IF($A$2=2015,'Historical Standings'!O86,IF($A$2=2014,'Historical Standings'!E120,IF($A$2=2013,'Historical Standings'!O120,IF($A$2=2012,'Historical Standings'!E154,IF($A$2=2011,'Historical Standings'!O154,IF($A$2=2010,'Historical Standings'!E188,IF($A$2=2009,'Historical Standings'!O188,IF($A$2=2008,'Historical Standings'!E222,IF($A$2=2007,'Historical Standings'!O222,IF($A$2=2006,'Historical Standings'!E256,IF($A$2=2005,'Historical Standings'!O256,IF($A$2=2004,'Historical Standings'!E290,'Historical Standings'!O290)))))))))))))))))</calculatedColumnFormula>
    </tableColumn>
    <tableColumn id="5" xr3:uid="{B671B8EF-6C46-45B1-B0DC-41C35D8D1CD1}" name="Γ WIN PCT" dataDxfId="89">
      <calculatedColumnFormula>IFERROR(VLOOKUP($M2,'Historical Luck'!$A$7:$CM$36,5*ABS($A$2-2021),FALSE),"")</calculatedColumnFormula>
    </tableColumn>
    <tableColumn id="6" xr3:uid="{66721A86-0219-4CF3-BD6E-A5D39B24A5DF}" name="Luck %" dataDxfId="88" dataCellStyle="Percent">
      <calculatedColumnFormula>IFERROR(VLOOKUP($M2,'Historical Luck'!$A$7:$CM$36,5*ABS($A$2-2020)+6,FALSE),"")</calculatedColumnFormula>
    </tableColumn>
    <tableColumn id="7" xr3:uid="{8D2873A3-F955-417B-A90B-3FE3A023942E}" name="Γ Rank" dataDxfId="87">
      <calculatedColumnFormula>IFERROR(RANK(Q2,$Q$2:$Q$16,0),"")</calculatedColumnFormula>
    </tableColumn>
    <tableColumn id="8" xr3:uid="{000795A7-BD9E-4AB5-856A-3B5B1D0E7DD3}" name="SRS Adj" dataDxfId="86">
      <calculatedColumnFormula>IF($A$2=2020,'Historical Standings'!I18,IF($A$2=2019,'Historical Standings'!S18,IF($A$2=2018,'Historical Standings'!I52,IF($A$2=2017,'Historical Standings'!S52,IF($A$2=2016,'Historical Standings'!I86,IF($A$2=2015,'Historical Standings'!S86,IF($A$2=2014,'Historical Standings'!J120,IF($A$2=2013,'Historical Standings'!S120,IF($A$2=2012,'Historical Standings'!I154,IF($A$2=2011,'Historical Standings'!S154,IF($A$2=2010,'Historical Standings'!I188,IF($A$2=2009,'Historical Standings'!S188,IF($A$2=2008,'Historical Standings'!I222,IF($A$2=2007,'Historical Standings'!S222,IF($A$2=2006,'Historical Standings'!I256,IF($A$2=2005,'Historical Standings'!S256,IF($A$2=2004,'Historical Standings'!I290,'Historical Standings'!S290)))))))))))))))))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6B05CF-22C8-4B1F-8D2D-D47614B5DD92}" name="Eastern_Conference" displayName="Eastern_Conference" ref="B1:L16" tableType="queryTable" totalsRowShown="0">
  <autoFilter ref="B1:L16" xr:uid="{7EEB5E64-4E43-4344-A02C-20268C9C8F18}"/>
  <tableColumns count="11">
    <tableColumn id="9" xr3:uid="{AB95CE68-8961-485B-847F-852C5BF0CC83}" uniqueName="9" name="Teams" queryTableFieldId="1" dataDxfId="10"/>
    <tableColumn id="2" xr3:uid="{B1A8C9B8-C458-4D89-B2C5-9D9A40BDAAFA}" uniqueName="2" name="W" queryTableFieldId="2" dataDxfId="9"/>
    <tableColumn id="3" xr3:uid="{035CC82F-5B51-4204-8E18-B490F39903E7}" uniqueName="3" name="L" queryTableFieldId="3" dataDxfId="8"/>
    <tableColumn id="4" xr3:uid="{C91E038F-6B95-4E35-AD76-5BD04101534C}" uniqueName="4" name="WIN PCT" queryTableFieldId="4" dataDxfId="7"/>
    <tableColumn id="5" xr3:uid="{95ACD7D0-32E2-4DDF-A5FC-607C89F1789A}" uniqueName="5" name="GB" queryTableFieldId="5" dataDxfId="6"/>
    <tableColumn id="6" xr3:uid="{FF2E9CE3-1AE7-4E9F-80F5-D1424D33AEC8}" uniqueName="6" name="PPG" queryTableFieldId="6" dataDxfId="5"/>
    <tableColumn id="7" xr3:uid="{876DEA42-2163-4339-B9A6-70BA75AA7EA3}" uniqueName="7" name="PAPG" queryTableFieldId="7" dataDxfId="4"/>
    <tableColumn id="8" xr3:uid="{C8B4BCFC-23BF-4780-9804-3A460E0EEDAB}" uniqueName="8" name="Simple Rating System (SRS)" queryTableFieldId="8" dataDxfId="3"/>
    <tableColumn id="10" xr3:uid="{D6D3EA22-2F7B-4239-AF71-68567EE1E89B}" uniqueName="10" name="Γ WIN PCT" queryTableFieldId="9" dataDxfId="2">
      <calculatedColumnFormula>VLOOKUP(Eastern_Conference[[#This Row],[Teams]],'Gamma Prediction'!$A$2:$G$31,6,FALSE)</calculatedColumnFormula>
    </tableColumn>
    <tableColumn id="11" xr3:uid="{A0EB6E58-D478-4C06-84C5-6924BC1041C8}" uniqueName="11" name="Luck %" queryTableFieldId="10" dataDxfId="1" dataCellStyle="Percent">
      <calculatedColumnFormula>VLOOKUP(Eastern_Conference[[#This Row],[Teams]],'Gamma Prediction'!$A$2:$G$31,7,FALSE)</calculatedColumnFormula>
    </tableColumn>
    <tableColumn id="12" xr3:uid="{8A319DD5-3C24-42B4-B679-1FAD035F480F}" uniqueName="12" name="Γ Place" queryTableFieldId="11" dataDxfId="0">
      <calculatedColumnFormula>RANK(Eastern_Conference[[#This Row],[Γ WIN PCT]],Eastern_Conference[Γ WIN PCT],0)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2DF3B0-D3BA-462D-8C3F-9E80B3548886}" name="Western_Conference" displayName="Western_Conference" ref="B1:L16" tableType="queryTable" totalsRowShown="0">
  <autoFilter ref="B1:L16" xr:uid="{981DC116-F2EA-4621-B77A-0C6A19127E24}"/>
  <tableColumns count="11">
    <tableColumn id="9" xr3:uid="{240FBF27-04B7-476C-8E8A-D3765D833145}" uniqueName="9" name="Teams" queryTableFieldId="1" dataDxfId="21"/>
    <tableColumn id="2" xr3:uid="{EF51C449-C708-45AF-BAFA-8F2AC5B90CF8}" uniqueName="2" name="W" queryTableFieldId="2" dataDxfId="20"/>
    <tableColumn id="3" xr3:uid="{BCA93B5D-48AF-4D41-8153-25662983C11B}" uniqueName="3" name="L" queryTableFieldId="3" dataDxfId="19"/>
    <tableColumn id="4" xr3:uid="{BFA9CC79-C236-471E-96F9-DEAE70CF6E3E}" uniqueName="4" name="WIN PCT" queryTableFieldId="4" dataDxfId="18"/>
    <tableColumn id="5" xr3:uid="{4F867F51-BE83-4E15-9927-4CBF2D2CDFED}" uniqueName="5" name="GB" queryTableFieldId="5" dataDxfId="17"/>
    <tableColumn id="6" xr3:uid="{89802538-61BF-418C-AB30-92B7FD829E7C}" uniqueName="6" name="PPG" queryTableFieldId="6" dataDxfId="16"/>
    <tableColumn id="7" xr3:uid="{C36DC2FE-65EF-41E9-AC80-6CFDD0F2DA33}" uniqueName="7" name="PAPG" queryTableFieldId="7" dataDxfId="15"/>
    <tableColumn id="8" xr3:uid="{90CFB74C-237E-4359-B427-5767720A939A}" uniqueName="8" name="Simple Rating System (SRS)" queryTableFieldId="8" dataDxfId="14"/>
    <tableColumn id="10" xr3:uid="{AFF47059-5591-4A24-B352-DE7BA269D58B}" uniqueName="10" name="Γ WIN PCT" queryTableFieldId="9" dataDxfId="13">
      <calculatedColumnFormula>VLOOKUP(Western_Conference[[#This Row],[Teams]],'Gamma Prediction'!$A$2:$G$31,6,FALSE)</calculatedColumnFormula>
    </tableColumn>
    <tableColumn id="11" xr3:uid="{2000A891-0B08-411A-AF02-C9A1F34F432A}" uniqueName="11" name="Luck %" queryTableFieldId="10" dataDxfId="12" dataCellStyle="Percent">
      <calculatedColumnFormula>VLOOKUP(Western_Conference[[#This Row],[Teams]],'Gamma Prediction'!$A$2:$G$31,7,FALSE)</calculatedColumnFormula>
    </tableColumn>
    <tableColumn id="12" xr3:uid="{8A8C01CF-CC16-4322-977F-BA97384376EA}" uniqueName="12" name="Γ Place" queryTableFieldId="11" dataDxfId="11">
      <calculatedColumnFormula>RANK(Western_Conference[[#This Row],[Γ WIN PCT]],Western_Conference[Γ WIN PCT],0)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36723D-151D-4297-8A29-03C3DAC4C7DE}" name="East2020" displayName="East2020" ref="B1:J16" totalsRowShown="0">
  <autoFilter ref="B1:J16" xr:uid="{3B78D349-E945-4A2B-B39F-A6E2A1118053}"/>
  <tableColumns count="9">
    <tableColumn id="9" xr3:uid="{5AED4616-F252-458B-8F06-A2FF579E96C3}" name="Teams" dataDxfId="85"/>
    <tableColumn id="2" xr3:uid="{4AF7DF80-762E-442F-857B-6336A662B950}" name="W" dataDxfId="84"/>
    <tableColumn id="3" xr3:uid="{796AE69E-0727-4348-B9DA-8D91E5EA0FE3}" name="L" dataDxfId="83"/>
    <tableColumn id="4" xr3:uid="{1BC80F6A-3605-46BD-BB44-E7CC135738EB}" name="WIN PCT" dataDxfId="82"/>
    <tableColumn id="5" xr3:uid="{5521EC25-E2CE-485A-8074-0A518D26B72D}" name="GB" dataDxfId="81"/>
    <tableColumn id="6" xr3:uid="{66E6F631-A032-43D6-97D2-B749E9B92BE9}" name="PS/G" dataDxfId="80"/>
    <tableColumn id="7" xr3:uid="{DE85C7EF-F128-463C-B2C0-9F0BAF56F32F}" name="PA/G" dataDxfId="79"/>
    <tableColumn id="8" xr3:uid="{D8E2D689-1621-4B42-ACC1-CABEF1ED5C47}" name="SRS" dataDxfId="78"/>
    <tableColumn id="10" xr3:uid="{7B83059B-B0D2-4B14-ABEF-FDA79260FADA}" name="Diff" dataDxfId="77">
      <calculatedColumnFormula>East2020[[#This Row],[SRS]]-MIN($I$2:$I$32)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042693-A154-4C59-9F61-86E17EAB9348}" name="West2020" displayName="West2020" ref="B17:J32" totalsRowShown="0">
  <autoFilter ref="B17:J32" xr:uid="{F40D2418-8DD4-404A-9BAF-58FB66056515}"/>
  <tableColumns count="9">
    <tableColumn id="9" xr3:uid="{13AF49A4-C55B-4AAA-885B-156E842A32D5}" name="Teams" dataDxfId="76"/>
    <tableColumn id="2" xr3:uid="{F4C019EB-1F82-45BD-BF3C-478A39AE3969}" name="W" dataDxfId="75"/>
    <tableColumn id="3" xr3:uid="{3ABC2893-65CF-4B35-B6EA-022433DDC2FA}" name="L" dataDxfId="74"/>
    <tableColumn id="4" xr3:uid="{55EA9CFF-3EDC-45EC-9047-DE022CAEEA45}" name="WIN PCT" dataDxfId="73"/>
    <tableColumn id="5" xr3:uid="{5D1C93E9-B940-4E9E-80BF-1051A789C34E}" name="GB" dataDxfId="72"/>
    <tableColumn id="6" xr3:uid="{1D64E2F2-8FF5-4BCA-8AA4-BACF622A2F6D}" name="PS/G" dataDxfId="71"/>
    <tableColumn id="7" xr3:uid="{31D0156B-D798-4D40-B7B6-6610FADCF0F4}" name="PA/G" dataDxfId="70"/>
    <tableColumn id="8" xr3:uid="{AFBD348F-6D27-4D40-80D3-E414DBB721EA}" name="SRS" dataDxfId="69"/>
    <tableColumn id="10" xr3:uid="{B8B3D11D-31F8-48D6-A844-66AF07644B10}" name="Diff" dataDxfId="68">
      <calculatedColumnFormula>West2020[[#This Row],[SRS]]-MIN($I$2:$I$32)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73504A-31C8-4AA7-9CF9-F3FCAA4F3A02}" name="East2019" displayName="East2019" ref="L1:T16" totalsRowShown="0" headerRowDxfId="67" dataDxfId="65" headerRowBorderDxfId="66" tableBorderDxfId="64">
  <autoFilter ref="L1:T16" xr:uid="{B96244CB-4065-4C5F-BE2D-FAFDE91E07FF}"/>
  <tableColumns count="9">
    <tableColumn id="1" xr3:uid="{F52F91EB-4D81-46BE-8B71-CF6DF5FA5404}" name="Teams" dataDxfId="63" dataCellStyle="Hyperlink"/>
    <tableColumn id="2" xr3:uid="{15550578-1131-468E-883F-E09C7199FFAD}" name="W" dataDxfId="62"/>
    <tableColumn id="3" xr3:uid="{E0A41E3B-0A88-44B3-8CC4-A30BCEB87E6F}" name="L" dataDxfId="61"/>
    <tableColumn id="4" xr3:uid="{1CD86BDD-DDFC-420B-9BFF-0D9F7028E9DB}" name="WIN PCT" dataDxfId="60"/>
    <tableColumn id="5" xr3:uid="{281D4819-C246-4BF5-8186-32B430225B8E}" name="GB" dataDxfId="59"/>
    <tableColumn id="6" xr3:uid="{04A8D08A-4B29-488E-96C2-3A93FB522049}" name="PS/G" dataDxfId="58"/>
    <tableColumn id="7" xr3:uid="{E9F7D174-A50F-4178-B132-5D7DE9A8A604}" name="PA/G" dataDxfId="57"/>
    <tableColumn id="8" xr3:uid="{23FCED5D-538F-43F9-896A-C94A268910AA}" name="SRS" dataDxfId="56"/>
    <tableColumn id="9" xr3:uid="{49FA53DF-B32B-4B03-BD61-DB327587A601}" name="Diff" dataDxfId="55">
      <calculatedColumnFormula>S2-MIN($S$2:$S$32)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8111DD0-0995-451B-8EA0-D498082D0E46}" name="West2019" displayName="West2019" ref="L17:T32" totalsRowShown="0">
  <autoFilter ref="L17:T32" xr:uid="{19EC53E2-9D9C-4F19-AA8F-8CB8ED617D50}"/>
  <tableColumns count="9">
    <tableColumn id="1" xr3:uid="{7783823E-36FD-44F6-9BDB-56DA61144859}" name="Western Conference"/>
    <tableColumn id="2" xr3:uid="{CBE8970F-EB04-424B-8EBD-D5C62CBEA6C9}" name="W"/>
    <tableColumn id="3" xr3:uid="{9DA17144-E48A-4E18-82AA-36A576F89E0D}" name="L"/>
    <tableColumn id="4" xr3:uid="{D37FC334-4025-4464-A037-87369AA906EA}" name="W/L%"/>
    <tableColumn id="5" xr3:uid="{66A7E4B6-D0FB-4CE5-A981-B36C528A1F5F}" name="GB"/>
    <tableColumn id="6" xr3:uid="{ADBADEFE-06B4-4763-9D18-CA52A9846288}" name="PS/G"/>
    <tableColumn id="7" xr3:uid="{A64F6FCB-37C4-4496-AD9C-C6D35FAB47B1}" name="PA/G"/>
    <tableColumn id="8" xr3:uid="{4C4086BF-5F3C-4937-84C9-3F8234067299}" name="SRS"/>
    <tableColumn id="9" xr3:uid="{E06EA4E3-DAEF-494C-802B-B3EA7E0E034F}" name="Diff" dataDxfId="54">
      <calculatedColumnFormula>West2019[[#This Row],[SRS]]-MIN($S$2:$S$32)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F4FBEC-D80E-4210-B5D1-8F7AA219DA56}" name="East2018" displayName="East2018" ref="B34:J49" totalsRowShown="0">
  <autoFilter ref="B34:J49" xr:uid="{26C6CA58-6E9F-4987-A259-E0FE7AA86555}"/>
  <tableColumns count="9">
    <tableColumn id="1" xr3:uid="{19063B17-80F1-4B86-B9C2-E5F18DE6F261}" name="Teams"/>
    <tableColumn id="2" xr3:uid="{A1C86E90-2273-459C-B8D8-7031E7B8D901}" name="W"/>
    <tableColumn id="3" xr3:uid="{836E517C-8745-4F0A-87C8-8359A60F3EDE}" name="L"/>
    <tableColumn id="4" xr3:uid="{1AA19B51-2594-445B-82DA-DADD6769F850}" name="WIN PCT"/>
    <tableColumn id="5" xr3:uid="{ABDA32D2-762C-4996-8690-90DA3621F65B}" name="GB"/>
    <tableColumn id="6" xr3:uid="{B3019DA6-2FFC-41F3-8565-40B593327E73}" name="PS/G"/>
    <tableColumn id="7" xr3:uid="{871A8ADE-A15B-4155-8EC8-F09E0DE6CF2B}" name="PA/G"/>
    <tableColumn id="8" xr3:uid="{E1991699-54BF-4AA9-9BF5-2DAF5466E1FE}" name="SRS"/>
    <tableColumn id="9" xr3:uid="{894C94B4-450E-4244-A51C-F19961A2F8D6}" name="Diff" dataDxfId="53">
      <calculatedColumnFormula>East2018[[#This Row],[SRS]]-MIN($I$35:$I$66)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62AD8E9-12FF-4E20-8D7D-C48553EA6913}" name="West2018" displayName="West2018" ref="B51:J66" totalsRowShown="0">
  <autoFilter ref="B51:J66" xr:uid="{DD75DAB2-6E00-48A3-B8AF-B25BD9ECB299}"/>
  <tableColumns count="9">
    <tableColumn id="1" xr3:uid="{4B29CBE6-1EBF-4866-B21F-F13ACE82EA8E}" name="Teams"/>
    <tableColumn id="2" xr3:uid="{85882067-04CD-4C4B-BF5B-E24E83BA9CB2}" name="W"/>
    <tableColumn id="3" xr3:uid="{799C5060-8AAE-47F0-8F91-0103871478B4}" name="L"/>
    <tableColumn id="4" xr3:uid="{07F79CBD-9D43-4E05-A31F-2B971619EED8}" name="WIN PCT"/>
    <tableColumn id="5" xr3:uid="{6A417BE9-2187-4164-8577-BB781E5E909C}" name="GB"/>
    <tableColumn id="6" xr3:uid="{C25BDABF-A773-4610-895F-5D702FB600D1}" name="PS/G"/>
    <tableColumn id="7" xr3:uid="{6B389521-9A21-42F0-B307-E342FC85A866}" name="PA/G"/>
    <tableColumn id="8" xr3:uid="{C1C70332-5388-4A96-A92F-DC8B2F8F9818}" name="SRS"/>
    <tableColumn id="9" xr3:uid="{F15B3A69-9F33-4B8D-B5CC-B70E98A7328D}" name="Diff" dataDxfId="52">
      <calculatedColumnFormula>West2018[[#This Row],[SRS]]-MIN($I$35:$I$66)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CAF74C-9737-4A14-80AA-3AF6124A7CF9}" name="East2017" displayName="East2017" ref="L34:T49" totalsRowShown="0">
  <autoFilter ref="L34:T49" xr:uid="{F76B1B71-B167-4757-8EFE-018712D62380}"/>
  <tableColumns count="9">
    <tableColumn id="1" xr3:uid="{476D5435-C33A-42A2-AF9F-E460020C4350}" name="Teams"/>
    <tableColumn id="2" xr3:uid="{5CA4E816-BA22-4DEC-AFBB-4620E3C42331}" name="W"/>
    <tableColumn id="3" xr3:uid="{88F1CE08-084A-4BCE-B49D-A3FD90DE60C8}" name="L"/>
    <tableColumn id="4" xr3:uid="{27B3F075-C156-428A-9064-B1336895CA5C}" name="WIN PCT"/>
    <tableColumn id="5" xr3:uid="{EE8A40A1-9523-4A23-AD3E-88E7C1F92B22}" name="GB"/>
    <tableColumn id="6" xr3:uid="{37118B79-E177-4514-B4B6-4F1E5A99BD02}" name="PS/G"/>
    <tableColumn id="7" xr3:uid="{8AC8A28A-9792-4C70-B37C-186B023486AD}" name="PA/G"/>
    <tableColumn id="8" xr3:uid="{EA300058-2E53-4480-AA44-FE4AC9D8E146}" name="SRS"/>
    <tableColumn id="9" xr3:uid="{D4AB0859-2C05-4BF9-B7EF-D36DB3BF98F0}" name="Diff" dataDxfId="51">
      <calculatedColumnFormula>East2017[[#This Row],[SRS]]-MIN($S$35:$S$66)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55BB905-93F0-42D5-9843-DEDD8053ABD0}" name="West2017" displayName="West2017" ref="L51:T66" totalsRowShown="0">
  <autoFilter ref="L51:T66" xr:uid="{62C674E0-1975-49EF-859A-F3444995FAE6}"/>
  <tableColumns count="9">
    <tableColumn id="1" xr3:uid="{80EECC6F-8202-483C-99C4-3F45365A8C09}" name="Teams"/>
    <tableColumn id="2" xr3:uid="{9D29FAC2-C0E9-4FDF-9212-59B4053BC733}" name="W"/>
    <tableColumn id="3" xr3:uid="{E086ECBC-28B2-4C57-A2BD-0581C1D8FD6D}" name="L"/>
    <tableColumn id="4" xr3:uid="{79D1F872-5750-40C9-B1AF-0C2D3D36EB8F}" name="WIN PCT"/>
    <tableColumn id="5" xr3:uid="{5DB5F790-EB90-4030-85F3-40CA7BAF7819}" name="GB"/>
    <tableColumn id="6" xr3:uid="{99A959CA-565D-4DEB-A212-39710916CAD0}" name="PS/G"/>
    <tableColumn id="7" xr3:uid="{B8F580EA-EF9C-4D27-83C2-6D9EE610707B}" name="PA/G"/>
    <tableColumn id="8" xr3:uid="{FA7DC0F1-CF3E-412B-9F3A-D1B29DCA544C}" name="SRS"/>
    <tableColumn id="9" xr3:uid="{67A0A5C6-DE83-4E91-BA60-DCD2B831480F}" name="Diff" dataDxfId="50">
      <calculatedColumnFormula>West2017[[#This Row],[SRS]]-MIN($S$35:$S$66)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05928C1-ED86-4789-BBAA-A397FF3BD2D0}" name="East2016" displayName="East2016" ref="B68:J83" totalsRowShown="0">
  <autoFilter ref="B68:J83" xr:uid="{3A889108-98B0-4686-AA19-FC086E1C6DFB}"/>
  <tableColumns count="9">
    <tableColumn id="1" xr3:uid="{536B27BD-6E28-49D4-AEBF-9DEBE61A0B6F}" name="Teams"/>
    <tableColumn id="2" xr3:uid="{F3AD2210-0AAD-423E-AD33-0C36EA50C4DE}" name="W"/>
    <tableColumn id="3" xr3:uid="{E72A4132-D2F3-4C22-91CD-E8A1BDFD9927}" name="L"/>
    <tableColumn id="4" xr3:uid="{7BADAE50-8189-498A-A8F2-C92374E90E13}" name="WIN PCT"/>
    <tableColumn id="5" xr3:uid="{2C2C2CB6-230C-4B96-B374-54BD3E5AF936}" name="GB"/>
    <tableColumn id="6" xr3:uid="{8B1D14FA-6F8B-46EA-AB3C-7CC5E799F678}" name="PS/G"/>
    <tableColumn id="7" xr3:uid="{3B4C55AC-56C3-4FD7-90E9-8DD7E3994149}" name="PA/G"/>
    <tableColumn id="8" xr3:uid="{4A5FE5EC-C751-453D-8E2A-FF0EE18C33A9}" name="SRS"/>
    <tableColumn id="9" xr3:uid="{BACDA6CE-94D8-46D2-AE23-42E7446E6DDE}" name="Diff" dataDxfId="49">
      <calculatedColumnFormula>East2016[[#This Row],[SRS]]-MIN($I$69:$I$100)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F2F65D-B3A2-4534-8E20-6F6CAB1DA95F}" name="West2016" displayName="West2016" ref="B85:J100" totalsRowShown="0">
  <autoFilter ref="B85:J100" xr:uid="{F374B37C-F9D4-4605-BAC0-EB2918D75F3F}"/>
  <tableColumns count="9">
    <tableColumn id="1" xr3:uid="{0F5957C1-92C9-43EF-A6F4-9F2B3DA5D13E}" name="Teams"/>
    <tableColumn id="2" xr3:uid="{67E40C80-F300-4998-A196-7668A59A4879}" name="W"/>
    <tableColumn id="3" xr3:uid="{151E6846-69FE-40A9-BD6C-63CADD15E7EA}" name="L"/>
    <tableColumn id="4" xr3:uid="{7AB82954-8DFB-4A09-84B5-D6755DBD0EC4}" name="WIN PCT"/>
    <tableColumn id="5" xr3:uid="{5EA37413-B72B-4D05-A6DF-45D92BD83D98}" name="GB"/>
    <tableColumn id="6" xr3:uid="{DFE1D4DA-892C-448B-A182-BA655453586F}" name="PS/G"/>
    <tableColumn id="7" xr3:uid="{7A479746-3484-4D2B-9351-C45FA2E3EE40}" name="PA/G"/>
    <tableColumn id="8" xr3:uid="{B8958928-63B4-46AD-A2F0-C997298AB651}" name="SRS"/>
    <tableColumn id="9" xr3:uid="{FD4223D8-6180-4008-8B19-DFCD7BBDCE2C}" name="Diff" dataDxfId="48">
      <calculatedColumnFormula>West2016[[#This Row],[SRS]]-MIN($I$69:$I$100)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E0EFA00-F403-4B0E-B08D-4103A159319E}" name="East2015" displayName="East2015" ref="L68:T83" totalsRowShown="0">
  <autoFilter ref="L68:T83" xr:uid="{EEE560A6-D50A-4D46-AE29-B565724BE980}"/>
  <sortState xmlns:xlrd2="http://schemas.microsoft.com/office/spreadsheetml/2017/richdata2" ref="L69:S86">
    <sortCondition descending="1" ref="O68:O86"/>
  </sortState>
  <tableColumns count="9">
    <tableColumn id="1" xr3:uid="{F6586110-943E-4256-82C4-793EFC1B8AD8}" name="Teams"/>
    <tableColumn id="2" xr3:uid="{26D96873-DD8C-4F33-B06D-40D155D534FE}" name="W"/>
    <tableColumn id="3" xr3:uid="{D283DC98-5F64-4E37-AD4A-B23B1938D891}" name="L"/>
    <tableColumn id="4" xr3:uid="{9E9A1818-F798-4AAD-A646-EAB75F6F827D}" name="WIN PCT"/>
    <tableColumn id="5" xr3:uid="{16B26B34-DF3A-45A4-A873-DB020860789C}" name="GB"/>
    <tableColumn id="6" xr3:uid="{7DE6B972-C5DE-4B1E-AF29-927C298E70C5}" name="PS/G"/>
    <tableColumn id="7" xr3:uid="{652F2AE0-7EA7-4B2D-9AC7-58A376E456EC}" name="PA/G"/>
    <tableColumn id="8" xr3:uid="{5D7561D4-AB96-4968-9819-D227AA08F9B0}" name="SRS"/>
    <tableColumn id="9" xr3:uid="{2A0CA547-B235-4EF6-A083-0DA8E08091C3}" name="Diff" dataDxfId="47">
      <calculatedColumnFormula>East2015[[#This Row],[SRS]]-MIN($S$69:$S$100)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CEC4BE4-6252-4843-9438-EF3A8682ACF2}" name="West2015" displayName="West2015" ref="L85:T100" totalsRowShown="0">
  <autoFilter ref="L85:T100" xr:uid="{F22BAC1A-1060-4FA9-BF95-4F03604B3E8C}"/>
  <sortState xmlns:xlrd2="http://schemas.microsoft.com/office/spreadsheetml/2017/richdata2" ref="L86:S103">
    <sortCondition descending="1" ref="O85:O103"/>
  </sortState>
  <tableColumns count="9">
    <tableColumn id="1" xr3:uid="{F725A366-A2BC-4D6A-B009-15C9AFDFE869}" name="Teams"/>
    <tableColumn id="2" xr3:uid="{91A8627A-9EB9-44F5-B4E4-DA75215B7705}" name="W"/>
    <tableColumn id="3" xr3:uid="{FFE38E59-4392-4951-AC36-3B6D056F9E1B}" name="L"/>
    <tableColumn id="4" xr3:uid="{62A1C483-698E-40A5-B5F1-9E916B37BB42}" name="WIN PCT"/>
    <tableColumn id="5" xr3:uid="{5C5A9C60-97B3-4705-A8DC-D914B0874D68}" name="GB"/>
    <tableColumn id="6" xr3:uid="{F8E7D821-EC79-4A8E-B99A-13DAA4CFAD75}" name="PS/G"/>
    <tableColumn id="7" xr3:uid="{133D3DD8-0224-4EAF-B69A-7331AB38262F}" name="PA/G"/>
    <tableColumn id="8" xr3:uid="{2A7ED5B5-1422-4A66-91CF-69C628F9982D}" name="SRS"/>
    <tableColumn id="9" xr3:uid="{F1E2539B-373D-4C68-B018-E5FC4E36F07B}" name="Diff" dataDxfId="46">
      <calculatedColumnFormula>West2015[[#This Row],[SRS]]-MIN($S$69:$S$100)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34E1F1C-94BA-4D61-ABDB-1C9A19A55141}" name="East2014" displayName="East2014" ref="B102:J117" totalsRowShown="0">
  <autoFilter ref="B102:J117" xr:uid="{EA790E0C-1F08-4A60-818B-E5D22A22BB50}"/>
  <sortState xmlns:xlrd2="http://schemas.microsoft.com/office/spreadsheetml/2017/richdata2" ref="B103:I120">
    <sortCondition descending="1" ref="E102:E120"/>
  </sortState>
  <tableColumns count="9">
    <tableColumn id="1" xr3:uid="{FADAE903-290C-4FD6-9659-0C4825586948}" name="Teams"/>
    <tableColumn id="2" xr3:uid="{3E2D71F4-2C34-4677-B208-FD2942505205}" name="W"/>
    <tableColumn id="3" xr3:uid="{1BE7A870-13DE-459B-ADB4-36D0046C6A56}" name="L"/>
    <tableColumn id="4" xr3:uid="{3A4DA3AF-09DE-4301-BFD9-9E565D6909E8}" name="WIN PCT"/>
    <tableColumn id="5" xr3:uid="{FEC66293-097B-45FD-A29D-01C15E50B248}" name="GB"/>
    <tableColumn id="6" xr3:uid="{28716D4F-B610-4640-B379-AA1207E57948}" name="PS/G"/>
    <tableColumn id="7" xr3:uid="{157BC313-416A-454C-BD1B-747BDB25B0C4}" name="PA/G"/>
    <tableColumn id="8" xr3:uid="{554529CF-0750-471A-8AE7-A8A3E319B094}" name="SRS"/>
    <tableColumn id="9" xr3:uid="{C0E6C6F5-51C8-45E0-B041-24FAFC49B151}" name="Diff" dataDxfId="45">
      <calculatedColumnFormula>East2014[[#This Row],[SRS]]-MIN($I$103:$I$134)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DCC0390-60BA-431A-877F-540AB8C82F28}" name="West2014" displayName="West2014" ref="B119:J134" totalsRowShown="0">
  <autoFilter ref="B119:J134" xr:uid="{9B71C6B6-3966-4845-A064-340E6F46E9E0}"/>
  <sortState xmlns:xlrd2="http://schemas.microsoft.com/office/spreadsheetml/2017/richdata2" ref="B120:I137">
    <sortCondition descending="1" ref="E119:E137"/>
  </sortState>
  <tableColumns count="9">
    <tableColumn id="1" xr3:uid="{CE65ED88-76FC-455F-A5CE-26E18EE98739}" name="Teams"/>
    <tableColumn id="2" xr3:uid="{B8EBE022-A55C-48E2-B507-1EF1E013C6C1}" name="W"/>
    <tableColumn id="3" xr3:uid="{31334D22-A8EB-4D31-A74C-8C6FA72F07B7}" name="L"/>
    <tableColumn id="4" xr3:uid="{91891CF3-2652-4860-8844-3896364E662C}" name="WIN PCT"/>
    <tableColumn id="5" xr3:uid="{A1A49BD3-8570-4547-9ABA-E50750960E66}" name="GB"/>
    <tableColumn id="6" xr3:uid="{BC5F0BBB-8B81-4EBB-A359-AD5329AC353C}" name="PS/G"/>
    <tableColumn id="7" xr3:uid="{87F909CC-BCBB-432E-BC6F-4F323E1B4562}" name="PA/G"/>
    <tableColumn id="8" xr3:uid="{E4926491-C4E8-4FE8-A673-FFEDAC4B850E}" name="SRS"/>
    <tableColumn id="9" xr3:uid="{2D578D0E-EC82-43DE-ACF3-DDA0C750054E}" name="Diff" dataDxfId="44">
      <calculatedColumnFormula>West2014[[#This Row],[SRS]]-MIN($I$103:$I$134)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4E5C0B-3571-4C07-B99F-EFBABAE425C4}" name="East2013" displayName="East2013" ref="L102:T117" totalsRowShown="0">
  <autoFilter ref="L102:T117" xr:uid="{39C50C36-5CDC-4053-9B48-69CF83468F41}"/>
  <sortState xmlns:xlrd2="http://schemas.microsoft.com/office/spreadsheetml/2017/richdata2" ref="L103:S120">
    <sortCondition descending="1" ref="O102:O120"/>
  </sortState>
  <tableColumns count="9">
    <tableColumn id="1" xr3:uid="{2C908F5D-66B5-4F20-8CD4-C2D5CD30F82A}" name="Teams"/>
    <tableColumn id="2" xr3:uid="{604B7EA0-969E-4D67-8A92-D3F5ECF2E08F}" name="W"/>
    <tableColumn id="3" xr3:uid="{C1BEEB6F-B6AE-4C2C-BF9D-20EB24F37509}" name="L"/>
    <tableColumn id="4" xr3:uid="{BF9D1568-576B-4DA8-9872-7473515EA55E}" name="W/L%"/>
    <tableColumn id="5" xr3:uid="{075B5CB5-A923-4F2E-98D5-4DD9F5B64881}" name="GB"/>
    <tableColumn id="6" xr3:uid="{5BA8784F-2F1F-4E77-ACE1-B1BF4CFD4F5A}" name="PS/G"/>
    <tableColumn id="7" xr3:uid="{65C03273-2A4A-4468-99DF-E97603556EB1}" name="PA/G"/>
    <tableColumn id="8" xr3:uid="{7BD02DFF-F6FC-45A5-92AC-AE9EEA29F741}" name="SRS"/>
    <tableColumn id="9" xr3:uid="{DC069646-F6B5-437E-BE08-56535F90A361}" name="Diff" dataDxfId="43">
      <calculatedColumnFormula>East2013[[#This Row],[SRS]]-MIN($S$103:$S$134)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A309E7D-5145-41B1-A6B5-E6A1BB6D9998}" name="West2013" displayName="West2013" ref="L119:T134" totalsRowShown="0">
  <autoFilter ref="L119:T134" xr:uid="{EE1BD76A-1949-4533-BF5E-57C489B9E9D9}"/>
  <sortState xmlns:xlrd2="http://schemas.microsoft.com/office/spreadsheetml/2017/richdata2" ref="L120:S137">
    <sortCondition descending="1" ref="O119:O137"/>
  </sortState>
  <tableColumns count="9">
    <tableColumn id="1" xr3:uid="{24349D31-567C-442A-8B09-17FF0E30E305}" name="Teams"/>
    <tableColumn id="2" xr3:uid="{0FE5ABA6-F122-4E29-8C34-C0D2927CB274}" name="W"/>
    <tableColumn id="3" xr3:uid="{B4F12EDC-4E7E-4197-B9D1-C5E3DD418A55}" name="L"/>
    <tableColumn id="4" xr3:uid="{B02E8A72-FF32-41B2-B6D6-E78637F5DB99}" name="W/L%"/>
    <tableColumn id="5" xr3:uid="{81995A2A-570C-4742-A1F0-D1FD60404C04}" name="GB"/>
    <tableColumn id="6" xr3:uid="{178500F4-36DE-4DE2-B897-48A514478108}" name="PS/G"/>
    <tableColumn id="7" xr3:uid="{6A73C7A9-5705-4525-A354-D97C2E5FAEB2}" name="PA/G"/>
    <tableColumn id="8" xr3:uid="{F21B5AC0-3FDB-402A-9E26-BC1C95CDC5C5}" name="SRS"/>
    <tableColumn id="9" xr3:uid="{74E73914-9206-4159-AA87-45C465F41446}" name="Diff" dataDxfId="42">
      <calculatedColumnFormula>West2013[[#This Row],[SRS]]-MIN($S$103:$S$134)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AD5292A-B07B-4C67-98FD-57C4F2206FE9}" name="East2012" displayName="East2012" ref="B136:J151" totalsRowShown="0">
  <autoFilter ref="B136:J151" xr:uid="{49EFB238-FE6F-4014-B27C-00DC27B10DD5}"/>
  <sortState xmlns:xlrd2="http://schemas.microsoft.com/office/spreadsheetml/2017/richdata2" ref="B137:I154">
    <sortCondition descending="1" ref="E136:E154"/>
  </sortState>
  <tableColumns count="9">
    <tableColumn id="1" xr3:uid="{EE443815-9409-484F-A7C3-BAA89EA90FCB}" name="Teams"/>
    <tableColumn id="2" xr3:uid="{B2AC118C-10FF-434C-B80F-455EFC26E2A9}" name="W"/>
    <tableColumn id="3" xr3:uid="{FE28415F-C085-47D9-97A4-9DCDFA250116}" name="L"/>
    <tableColumn id="4" xr3:uid="{B06CB3EF-E1E8-4FBB-8D72-44DF020494E6}" name="W/L%"/>
    <tableColumn id="5" xr3:uid="{57D85AF1-B094-40C5-BA9E-3F1ADEC6DF85}" name="GB"/>
    <tableColumn id="6" xr3:uid="{3ED38195-9621-4CB2-9DE2-1FE838FD6380}" name="PS/G"/>
    <tableColumn id="7" xr3:uid="{CF4A79AD-8A7A-4747-9BCE-CC449EC830B8}" name="PA/G"/>
    <tableColumn id="8" xr3:uid="{7A6E6FCD-3DA2-4BCE-9DAC-B30A9D6594C0}" name="SRS"/>
    <tableColumn id="9" xr3:uid="{495D8A40-3481-4DC9-8F0E-2CD918A38F0E}" name="Diff" dataDxfId="41">
      <calculatedColumnFormula>East2012[[#This Row],[SRS]]-MIN($I$137:$I$168)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DB27F0-4AA0-487D-9D4B-C0927870F6A5}" name="West2012" displayName="West2012" ref="B153:J168" totalsRowShown="0">
  <autoFilter ref="B153:J168" xr:uid="{C07404D1-55C6-420A-8C30-BB43774C3602}"/>
  <sortState xmlns:xlrd2="http://schemas.microsoft.com/office/spreadsheetml/2017/richdata2" ref="B154:J169">
    <sortCondition descending="1" ref="E153:E169"/>
  </sortState>
  <tableColumns count="9">
    <tableColumn id="1" xr3:uid="{9AC5B54A-4B1F-4B58-99B8-5478208CC30C}" name="Western Conference"/>
    <tableColumn id="2" xr3:uid="{8BCC212E-6639-4156-8DEC-95DE1D33DC9D}" name="W"/>
    <tableColumn id="3" xr3:uid="{B68554CE-B39C-4EAA-9418-9603F134B6B1}" name="L"/>
    <tableColumn id="4" xr3:uid="{F661D9DD-0C65-46E9-9C53-EAC19F540852}" name="W/L%"/>
    <tableColumn id="5" xr3:uid="{93DC1D2C-D6CC-41E6-9127-D03238BDABA9}" name="GB"/>
    <tableColumn id="6" xr3:uid="{64E53E59-B565-4923-A3C5-0BC992318BAC}" name="PS/G"/>
    <tableColumn id="7" xr3:uid="{17ECF7DE-EB24-4FE1-A7F2-84B71C2E18F2}" name="PA/G"/>
    <tableColumn id="8" xr3:uid="{9C4DF61C-813F-48DE-A41A-4C9A6317F35F}" name="SRS"/>
    <tableColumn id="9" xr3:uid="{D3A59774-5B9F-4F1A-B4A7-138C64035F33}" name="Diff" dataDxfId="40">
      <calculatedColumnFormula>West2012[[#This Row],[SRS]]-MIN($I$137:$I$168)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2B21F3-99AD-4F77-BE7F-FE501BCAB056}" name="East2011" displayName="East2011" ref="L136:T151" totalsRowShown="0">
  <autoFilter ref="L136:T151" xr:uid="{3389975E-EBB1-41BB-903C-BF03B5118386}"/>
  <sortState xmlns:xlrd2="http://schemas.microsoft.com/office/spreadsheetml/2017/richdata2" ref="L137:S154">
    <sortCondition descending="1" ref="O136:O154"/>
  </sortState>
  <tableColumns count="9">
    <tableColumn id="1" xr3:uid="{0025DF75-1B28-41BC-A708-EF1AC90CE535}" name="Teams"/>
    <tableColumn id="2" xr3:uid="{77F19C27-D1DC-4D88-B965-49CB878A1059}" name="W"/>
    <tableColumn id="3" xr3:uid="{595F03B4-4A8C-4848-AE8E-BEEC7409B2C2}" name="L"/>
    <tableColumn id="4" xr3:uid="{D2C74864-1648-4AB5-A435-D0E3523D83A0}" name="W/L%"/>
    <tableColumn id="5" xr3:uid="{FCA1878E-C30C-4AE5-8D73-C9D6ACE835A6}" name="GB"/>
    <tableColumn id="6" xr3:uid="{D77FE8D2-A8AF-4CD7-B82F-7C2793DD19C1}" name="PS/G"/>
    <tableColumn id="7" xr3:uid="{A29FDD67-B80D-4F17-9E62-DD9C1B4DDBE0}" name="PA/G"/>
    <tableColumn id="8" xr3:uid="{542DCDB1-EC9D-4F29-AACF-2CE7D81CB9C3}" name="SRS"/>
    <tableColumn id="9" xr3:uid="{B662BA81-8B9E-4F56-8ABF-AEBD23346142}" name="Diff" dataDxfId="39">
      <calculatedColumnFormula>East2011[[#This Row],[SRS]]-MIN($S$137:$S$168)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59423E3-E259-4703-97B8-4F3AAE69A1D9}" name="West2011" displayName="West2011" ref="L153:T168" totalsRowShown="0">
  <autoFilter ref="L153:T168" xr:uid="{CA9125A2-570B-40B6-993A-7AA7FF19923D}"/>
  <sortState xmlns:xlrd2="http://schemas.microsoft.com/office/spreadsheetml/2017/richdata2" ref="L154:S171">
    <sortCondition descending="1" ref="O153:O171"/>
  </sortState>
  <tableColumns count="9">
    <tableColumn id="1" xr3:uid="{EA3E88E1-CED7-42FA-B3DC-0BD0D4D6AF8D}" name="Teams"/>
    <tableColumn id="2" xr3:uid="{295122F2-9546-4596-8DD5-77BC721E5F6B}" name="W"/>
    <tableColumn id="3" xr3:uid="{3FED08E9-9B5C-4FBD-BC11-8B8B6F959E17}" name="L"/>
    <tableColumn id="4" xr3:uid="{D079EF26-7349-4B57-9FA6-80830ED7C958}" name="W/L%"/>
    <tableColumn id="5" xr3:uid="{9D8815C4-1C4E-4515-B77B-FF457E2C4969}" name="GB"/>
    <tableColumn id="6" xr3:uid="{DFBF23AC-EF4D-49D4-9C19-CF0D406F61FC}" name="PS/G"/>
    <tableColumn id="7" xr3:uid="{CEAE08F7-5382-4BC3-918A-81617947BF56}" name="PA/G"/>
    <tableColumn id="8" xr3:uid="{B6F00363-07B6-4AA4-8713-1FAF8CAC6BF9}" name="SRS"/>
    <tableColumn id="9" xr3:uid="{2185AE9E-183A-45D2-8039-093B4F1EAD30}" name="Diff" dataDxfId="38">
      <calculatedColumnFormula>West2011[[#This Row],[SRS]]-MIN($S$137:$S$168)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2E5A10F-3A13-46A9-8D8E-68252A88C780}" name="East2010" displayName="East2010" ref="B170:J185" totalsRowShown="0">
  <autoFilter ref="B170:J185" xr:uid="{D4F13FBB-65FA-4E4B-92B7-44C81C210EF8}"/>
  <sortState xmlns:xlrd2="http://schemas.microsoft.com/office/spreadsheetml/2017/richdata2" ref="B171:I188">
    <sortCondition descending="1" ref="E170:E188"/>
  </sortState>
  <tableColumns count="9">
    <tableColumn id="1" xr3:uid="{1C02D225-461D-46EC-BB6A-1DC6F69F56E3}" name="Teams"/>
    <tableColumn id="2" xr3:uid="{E2E4C1F9-5CE5-4373-99E0-43B010853F4B}" name="W"/>
    <tableColumn id="3" xr3:uid="{AA06D828-4BFF-4A32-9C3D-FFEEAFF8EC19}" name="L"/>
    <tableColumn id="4" xr3:uid="{E3A1197C-984C-4288-A902-934DF85F8D57}" name="W/L%"/>
    <tableColumn id="5" xr3:uid="{11C03A34-8808-4010-8C32-E04940D53561}" name="GB"/>
    <tableColumn id="6" xr3:uid="{E7EF0457-5904-4AAA-8BC1-4A72558A1D71}" name="PS/G"/>
    <tableColumn id="7" xr3:uid="{621BCA45-7AFC-41D3-AD6E-D1A2FDCAA60F}" name="PA/G"/>
    <tableColumn id="8" xr3:uid="{D28932DA-A0C9-4178-9506-1490B07EE7D8}" name="SRS"/>
    <tableColumn id="9" xr3:uid="{6D103705-F16A-4A30-882E-B25DF629427B}" name="Diff" dataDxfId="37">
      <calculatedColumnFormula>East2010[[#This Row],[SRS]]-MIN($I$171:$I$202)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91FDC2D-DACA-495E-9211-35DAA9469F61}" name="West2010" displayName="West2010" ref="B187:J202" totalsRowShown="0">
  <autoFilter ref="B187:J202" xr:uid="{432833B6-B48A-4E9D-BFAF-9D721EF8AF26}"/>
  <sortState xmlns:xlrd2="http://schemas.microsoft.com/office/spreadsheetml/2017/richdata2" ref="B188:J202">
    <sortCondition descending="1" ref="E187:E202"/>
  </sortState>
  <tableColumns count="9">
    <tableColumn id="1" xr3:uid="{7D75CE4B-8977-4C64-A4ED-D7AF16D2622E}" name="Teams"/>
    <tableColumn id="2" xr3:uid="{03C25FEA-DB33-4683-92BB-9315C7322302}" name="W"/>
    <tableColumn id="3" xr3:uid="{523C9FB6-168C-4954-B96B-439A3F95A114}" name="L"/>
    <tableColumn id="4" xr3:uid="{264C1033-C9D9-4509-99A3-24E4A56EB381}" name="W/L%"/>
    <tableColumn id="5" xr3:uid="{A06CFBC3-4632-4156-8B1C-1F543ABF29FC}" name="GB"/>
    <tableColumn id="6" xr3:uid="{72401805-1126-4C8A-87AD-881E35DC112B}" name="PS/G"/>
    <tableColumn id="7" xr3:uid="{885EEAEB-A89F-44E6-973F-3AE3DE4138BB}" name="PA/G"/>
    <tableColumn id="8" xr3:uid="{A99AE524-0CA6-4E27-AC5B-776E0C2B427E}" name="SRS"/>
    <tableColumn id="9" xr3:uid="{C87F1990-A8C7-4A58-B8DC-42AFDEDD4072}" name="Diff" dataDxfId="36">
      <calculatedColumnFormula>West2010[[#This Row],[SRS]]-MIN($I$171:$I$202)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01E2322-E9D6-4FCB-89C9-E620755B4588}" name="East2009" displayName="East2009" ref="L170:T185" totalsRowShown="0">
  <autoFilter ref="L170:T185" xr:uid="{6ECDD957-6EEE-45D0-A633-5B4DD6ECE892}"/>
  <sortState xmlns:xlrd2="http://schemas.microsoft.com/office/spreadsheetml/2017/richdata2" ref="L171:S188">
    <sortCondition descending="1" ref="O170:O188"/>
  </sortState>
  <tableColumns count="9">
    <tableColumn id="1" xr3:uid="{02395044-2721-4B2E-B6D2-659753766B9E}" name="Teams"/>
    <tableColumn id="2" xr3:uid="{1A5554B3-86E3-419B-ACC2-38737993A40C}" name="W"/>
    <tableColumn id="3" xr3:uid="{86FE9EB2-BD11-4BD6-9E4B-E4F68150E252}" name="L"/>
    <tableColumn id="4" xr3:uid="{B34104E1-0667-4192-8105-58DFD8BDB8E0}" name="W/L%"/>
    <tableColumn id="5" xr3:uid="{40B76F4F-7483-473E-A9E7-029A71EBE95F}" name="GB"/>
    <tableColumn id="6" xr3:uid="{D039683C-6D26-4B9E-9D65-3E701587BE78}" name="PS/G"/>
    <tableColumn id="7" xr3:uid="{5B1DCFB2-91BB-4170-BFBE-3E1A1774E9A0}" name="PA/G"/>
    <tableColumn id="8" xr3:uid="{F56ABA23-54C5-4F4E-973F-CF5A7A8655B7}" name="SRS"/>
    <tableColumn id="9" xr3:uid="{A6514F41-03E1-49AB-8D7F-9F467A6ACAC0}" name="Diff" dataDxfId="35">
      <calculatedColumnFormula>East2009[[#This Row],[SRS]]-MIN($S$171:$S$202)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16F0189-A19E-463C-A869-FD0CE325DB2F}" name="West2009" displayName="West2009" ref="L187:T202" totalsRowShown="0">
  <autoFilter ref="L187:T202" xr:uid="{D55D39BB-44A2-4AAB-9EB8-2728B64502F6}"/>
  <sortState xmlns:xlrd2="http://schemas.microsoft.com/office/spreadsheetml/2017/richdata2" ref="L188:S205">
    <sortCondition descending="1" ref="O187:O205"/>
  </sortState>
  <tableColumns count="9">
    <tableColumn id="1" xr3:uid="{30517B83-EC1B-4B0E-AD72-F601B3516CC9}" name="Teams"/>
    <tableColumn id="2" xr3:uid="{F49D37B1-5C67-4C87-918D-1CF17F0ECACB}" name="W"/>
    <tableColumn id="3" xr3:uid="{DC652977-535B-4CB6-8304-B0D0AB977B24}" name="L"/>
    <tableColumn id="4" xr3:uid="{D3BD2915-3038-4B2A-BDB6-AD7D015E757B}" name="W/L%"/>
    <tableColumn id="5" xr3:uid="{983F9BD8-BEF5-4355-AB6F-A597A57FB477}" name="GB"/>
    <tableColumn id="6" xr3:uid="{BFECB8E2-BAEB-4C72-BBA3-58010C23FE11}" name="PS/G"/>
    <tableColumn id="7" xr3:uid="{D667AB26-30E9-4FF8-96B3-24AB2B634409}" name="PA/G"/>
    <tableColumn id="8" xr3:uid="{89BADAD5-C745-4F8F-9083-2033D00765C6}" name="SRS"/>
    <tableColumn id="9" xr3:uid="{E3FEBFCF-45CB-4416-B17E-F41BC0FE567F}" name="Diff" dataDxfId="34">
      <calculatedColumnFormula>West2009[[#This Row],[SRS]]-MIN($S$171:$S$202)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8CE0760-8DE6-4AB6-B0F3-1A31A7E9E421}" name="East2008" displayName="East2008" ref="B204:J219" totalsRowShown="0">
  <autoFilter ref="B204:J219" xr:uid="{2D2DAD38-F9E8-4160-99E0-429AEB962A06}"/>
  <sortState xmlns:xlrd2="http://schemas.microsoft.com/office/spreadsheetml/2017/richdata2" ref="B205:I222">
    <sortCondition descending="1" ref="E204:E222"/>
  </sortState>
  <tableColumns count="9">
    <tableColumn id="1" xr3:uid="{B6416CBE-8EBB-49E9-91D7-4116B064520C}" name="Teams"/>
    <tableColumn id="2" xr3:uid="{882A3550-2130-42F8-B936-0909AF92586A}" name="W"/>
    <tableColumn id="3" xr3:uid="{AD903084-CE17-48E2-828C-E48A4905046C}" name="L"/>
    <tableColumn id="4" xr3:uid="{AAB0C888-EDC5-4839-8B7F-3616E0182B21}" name="W/L%"/>
    <tableColumn id="5" xr3:uid="{E45206FA-63A8-44A3-86BE-6E536080235C}" name="GB"/>
    <tableColumn id="6" xr3:uid="{00B97780-007F-4617-89A6-D08B1F353275}" name="PS/G"/>
    <tableColumn id="7" xr3:uid="{F65EEDF5-2CED-4361-B46E-F5B8999DE79B}" name="PA/G"/>
    <tableColumn id="8" xr3:uid="{8D688373-44C8-4BCB-A4D0-8A8E110B602C}" name="SRS"/>
    <tableColumn id="9" xr3:uid="{AB0B732E-ED04-4510-9B26-3F9C3AFE81EF}" name="Diff" dataDxfId="33">
      <calculatedColumnFormula>East2008[[#This Row],[SRS]]-MIN($I$205:$I$236)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2A5F51E-2646-4638-A032-821890BEDDA0}" name="West2008" displayName="West2008" ref="B221:J236" totalsRowShown="0">
  <autoFilter ref="B221:J236" xr:uid="{DF0E61D5-CCA9-4324-ACD5-7ED23BB4977F}"/>
  <sortState xmlns:xlrd2="http://schemas.microsoft.com/office/spreadsheetml/2017/richdata2" ref="B222:J239">
    <sortCondition descending="1" ref="E221:E239"/>
  </sortState>
  <tableColumns count="9">
    <tableColumn id="1" xr3:uid="{F99600F4-8711-4598-9F15-F0ADA2AAFD47}" name="Teams"/>
    <tableColumn id="2" xr3:uid="{8601938D-AE59-4E7E-8354-55555448F95B}" name="W"/>
    <tableColumn id="3" xr3:uid="{F98392BE-7DD4-4D84-AE8E-7D044FDD6757}" name="L"/>
    <tableColumn id="4" xr3:uid="{06737B78-15BD-41A4-85E7-71DD58B50BC3}" name="W/L%"/>
    <tableColumn id="5" xr3:uid="{8D16C42D-C51C-4686-8965-0D4314824E04}" name="GB"/>
    <tableColumn id="6" xr3:uid="{CE9A66AB-1F2D-479D-BDF1-AD1651EE05CA}" name="PS/G"/>
    <tableColumn id="7" xr3:uid="{F7BE3D54-3A1B-43A6-8E87-9913B5056BC3}" name="PA/G"/>
    <tableColumn id="8" xr3:uid="{6906CDE2-69C6-4A84-AEDD-806C8CA984E5}" name="SRS"/>
    <tableColumn id="9" xr3:uid="{8A92246C-EDBA-4D49-9E23-F573E992ED34}" name="Diff" dataDxfId="32">
      <calculatedColumnFormula>West2008[[#This Row],[SRS]]-MIN($I$205:$I$236)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44F8BB5-AF34-46F6-AFDF-34CD8705B806}" name="East2007" displayName="East2007" ref="L204:T219" totalsRowShown="0">
  <autoFilter ref="L204:T219" xr:uid="{D3EAE8B3-483A-47B5-AF93-7EDE4B3B7390}"/>
  <sortState xmlns:xlrd2="http://schemas.microsoft.com/office/spreadsheetml/2017/richdata2" ref="L205:S222">
    <sortCondition descending="1" ref="O204:O222"/>
  </sortState>
  <tableColumns count="9">
    <tableColumn id="1" xr3:uid="{DC1E1874-781D-4799-8A6C-4F07D48B6A3E}" name="Teams"/>
    <tableColumn id="2" xr3:uid="{2C2B968B-A6CB-4546-8A2E-ABA2339E29DA}" name="W"/>
    <tableColumn id="3" xr3:uid="{15B14C03-6210-478F-B628-D79E777A14A2}" name="L"/>
    <tableColumn id="4" xr3:uid="{C262C1C1-AFA3-410D-AF5C-909B0CB0821E}" name="W/L%"/>
    <tableColumn id="5" xr3:uid="{551D6BD5-1D0B-4B3D-9437-142F4ECE01A1}" name="GB"/>
    <tableColumn id="6" xr3:uid="{EAEB0D56-5819-4B03-A0AC-685A9596CE5A}" name="PS/G"/>
    <tableColumn id="7" xr3:uid="{AE33BF94-E9E6-489B-B841-D2E6C7F169AC}" name="PA/G"/>
    <tableColumn id="8" xr3:uid="{0C948E19-4AAD-4B8B-84FC-8815AEBB0298}" name="SRS"/>
    <tableColumn id="9" xr3:uid="{CC5D5E6B-DF24-4490-B291-42D5B445CC79}" name="Diff" dataDxfId="31">
      <calculatedColumnFormula>East2007[[#This Row],[SRS]]-MIN($S$205:$S$236)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5DEB260-E7A8-406B-B0A7-93F4DA6E242B}" name="West2007" displayName="West2007" ref="L221:T236" totalsRowShown="0">
  <autoFilter ref="L221:T236" xr:uid="{B6EE2A78-FC9F-4F4A-9436-AF83CD0D51FD}"/>
  <sortState xmlns:xlrd2="http://schemas.microsoft.com/office/spreadsheetml/2017/richdata2" ref="L222:S239">
    <sortCondition descending="1" ref="O221:O239"/>
  </sortState>
  <tableColumns count="9">
    <tableColumn id="1" xr3:uid="{3C71DABF-AB76-4EDE-829C-BD41B2389886}" name="Teams"/>
    <tableColumn id="2" xr3:uid="{CED7FBC6-AD8C-4919-B48F-85E871E52493}" name="W"/>
    <tableColumn id="3" xr3:uid="{BF895F39-4BE9-42EE-91CD-0347CFB7C813}" name="L"/>
    <tableColumn id="4" xr3:uid="{BCF4F62E-8EFA-48BE-9A06-7C185A79297B}" name="W/L%"/>
    <tableColumn id="5" xr3:uid="{E98180B9-BEBE-402C-AA8C-69424D999352}" name="GB"/>
    <tableColumn id="6" xr3:uid="{3A53C7CF-F519-41D9-BC78-CF7B8CA032C4}" name="PS/G"/>
    <tableColumn id="7" xr3:uid="{8F6E29D8-1DBC-4A8A-9FC7-C7554D031BE7}" name="PA/G"/>
    <tableColumn id="8" xr3:uid="{919657DE-05FB-43DB-9C04-E693A4B35002}" name="SRS"/>
    <tableColumn id="9" xr3:uid="{9C67A78C-1896-41CB-B3FB-8015CC9C2990}" name="Diff" dataDxfId="30">
      <calculatedColumnFormula>West2007[[#This Row],[SRS]]-MIN($S$205:$S$236)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6EFE173-234F-4887-BB39-E90B926B05BE}" name="East2006" displayName="East2006" ref="B238:J253" totalsRowShown="0">
  <autoFilter ref="B238:J253" xr:uid="{279A435C-C748-4CEA-9EF4-BCCA43911C05}"/>
  <sortState xmlns:xlrd2="http://schemas.microsoft.com/office/spreadsheetml/2017/richdata2" ref="B239:I256">
    <sortCondition descending="1" ref="E238:E256"/>
  </sortState>
  <tableColumns count="9">
    <tableColumn id="1" xr3:uid="{077058CB-D6C2-4F76-9E13-5556B2CAA83A}" name="Teams"/>
    <tableColumn id="2" xr3:uid="{29A74247-B806-4160-92F1-88F5A720AED1}" name="W"/>
    <tableColumn id="3" xr3:uid="{CA4CBDC4-4C83-49D7-B69A-69F8ACDF3357}" name="L"/>
    <tableColumn id="4" xr3:uid="{7F346BA8-48C8-40C1-9D20-F7F4C1221FB1}" name="W/L%"/>
    <tableColumn id="5" xr3:uid="{89CB7022-5196-48A8-B62E-235869FCD2D5}" name="GB"/>
    <tableColumn id="6" xr3:uid="{1A9E600C-1DF9-453E-8710-B432E5A56F73}" name="PS/G"/>
    <tableColumn id="7" xr3:uid="{1AFE9DB5-E241-4639-8005-0B63EF737C33}" name="PA/G"/>
    <tableColumn id="8" xr3:uid="{17851221-B335-4968-AAA0-04F5F354DB2E}" name="SRS"/>
    <tableColumn id="9" xr3:uid="{B5082BCA-958F-4286-B360-D5FDA6EBD87B}" name="Diff" dataDxfId="29">
      <calculatedColumnFormula>East2006[[#This Row],[SRS]]-MIN($I$239:$I$270)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83D0D94-B236-4C5F-8D37-C812FD473C09}" name="West2006" displayName="West2006" ref="B255:J270" totalsRowShown="0">
  <autoFilter ref="B255:J270" xr:uid="{B454D73F-5A8D-45BA-A165-6BD59B01DC41}"/>
  <sortState xmlns:xlrd2="http://schemas.microsoft.com/office/spreadsheetml/2017/richdata2" ref="B256:I273">
    <sortCondition descending="1" ref="E255:E273"/>
  </sortState>
  <tableColumns count="9">
    <tableColumn id="1" xr3:uid="{43D76968-C958-41A7-B8B0-0CAA5E4E6550}" name="Teams"/>
    <tableColumn id="2" xr3:uid="{E80CCA5C-414E-4BDD-A44D-6434DD73DEC6}" name="W"/>
    <tableColumn id="3" xr3:uid="{44B106E0-03F9-4241-9B05-209B739B5B58}" name="L"/>
    <tableColumn id="4" xr3:uid="{498E2CFE-2F80-4FF8-A78D-45F5176B8309}" name="W/L%"/>
    <tableColumn id="5" xr3:uid="{BA199B53-D16C-4989-A1EE-35932EFEEBE8}" name="GB"/>
    <tableColumn id="6" xr3:uid="{31E86BE4-9E49-4537-9CBB-F8C5EFA876E5}" name="PS/G"/>
    <tableColumn id="7" xr3:uid="{6BE8A27B-24EA-415D-BC4B-7B567D03FDDD}" name="PA/G"/>
    <tableColumn id="8" xr3:uid="{C37C13FF-B51A-4594-96C5-7F7AE851769C}" name="SRS"/>
    <tableColumn id="9" xr3:uid="{5CE1C9F7-BB3D-4FCF-A095-E95729A43687}" name="Diff" dataDxfId="28">
      <calculatedColumnFormula>West2006[[#This Row],[SRS]]-MIN($I$239:$I$270)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AF09CF3-7601-472F-AC95-69F41440A961}" name="East2005" displayName="East2005" ref="L238:T253" totalsRowShown="0">
  <autoFilter ref="L238:T253" xr:uid="{8F53AF96-679B-4B41-9FA8-873B339DA554}"/>
  <sortState xmlns:xlrd2="http://schemas.microsoft.com/office/spreadsheetml/2017/richdata2" ref="L239:S256">
    <sortCondition descending="1" ref="O238:O256"/>
  </sortState>
  <tableColumns count="9">
    <tableColumn id="1" xr3:uid="{93A1554F-00A2-446C-8CDB-B756EBE44486}" name="Teams"/>
    <tableColumn id="2" xr3:uid="{4AFF5A5E-3E6B-47F8-8660-8E689A3758B4}" name="W"/>
    <tableColumn id="3" xr3:uid="{7DD7C7CD-68F0-4BA8-985A-15286C416103}" name="L"/>
    <tableColumn id="4" xr3:uid="{1590B63C-D831-4050-8E36-8A9F22956816}" name="W/L%"/>
    <tableColumn id="5" xr3:uid="{28B9EEEC-113A-46E5-9E54-7BEBFDC58A73}" name="GB"/>
    <tableColumn id="6" xr3:uid="{A2B996B1-D5A4-4EC4-9589-019F0F1E5EE8}" name="PS/G"/>
    <tableColumn id="7" xr3:uid="{6FDD67A6-033C-495A-9005-ABDF08E8E703}" name="PA/G"/>
    <tableColumn id="8" xr3:uid="{F2F435FA-871A-42E5-B8E2-B6B2EB6AE7D1}" name="SRS"/>
    <tableColumn id="9" xr3:uid="{B4A119ED-D166-4751-ABF6-1ADCCF5AF148}" name="Diff" dataDxfId="27">
      <calculatedColumnFormula>East2005[[#This Row],[SRS]]-MIN($S$239:$S$270)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2B20418-81EF-4265-A043-A0F4C4A78E08}" name="West2005" displayName="West2005" ref="L255:T270" totalsRowShown="0">
  <autoFilter ref="L255:T270" xr:uid="{CEAB4F77-B761-414B-ABAE-638432B8635D}"/>
  <sortState xmlns:xlrd2="http://schemas.microsoft.com/office/spreadsheetml/2017/richdata2" ref="L256:S273">
    <sortCondition descending="1" ref="O255:O273"/>
  </sortState>
  <tableColumns count="9">
    <tableColumn id="1" xr3:uid="{31CE9A83-50AC-494F-8337-D27EFCB4EA69}" name="Teams"/>
    <tableColumn id="2" xr3:uid="{F9D15BE2-B7A6-4FCB-8997-89B28C4A03C0}" name="W"/>
    <tableColumn id="3" xr3:uid="{E2013A98-A4F3-417A-9B8A-DB82C81D0444}" name="L"/>
    <tableColumn id="4" xr3:uid="{2B212173-283E-4AF0-8D84-A943A345839E}" name="W/L%"/>
    <tableColumn id="5" xr3:uid="{40936133-2CE9-4442-BD20-886E37670414}" name="GB"/>
    <tableColumn id="6" xr3:uid="{439C89CD-9563-4653-B442-C7E3A3E6FD34}" name="PS/G"/>
    <tableColumn id="7" xr3:uid="{EFF1BEFB-2875-43C8-9128-3339C6592472}" name="PA/G"/>
    <tableColumn id="8" xr3:uid="{3AFDFADB-A74F-4452-928B-BB9B16D23EE1}" name="SRS"/>
    <tableColumn id="9" xr3:uid="{97B5C507-1FB4-4D95-8E9F-9B44F39E4D7A}" name="Diff" dataDxfId="26">
      <calculatedColumnFormula>West2005[[#This Row],[SRS]]-MIN($S$239:$S$270)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3D13AB6-ECC3-429D-BA3E-0EC8D0C2A098}" name="East2004" displayName="East2004" ref="B272:J287" totalsRowShown="0">
  <autoFilter ref="B272:J287" xr:uid="{C9F322FC-7FBF-45DB-9D2B-DD4282E2594D}"/>
  <sortState xmlns:xlrd2="http://schemas.microsoft.com/office/spreadsheetml/2017/richdata2" ref="B273:I289">
    <sortCondition descending="1" ref="E272:E289"/>
  </sortState>
  <tableColumns count="9">
    <tableColumn id="1" xr3:uid="{B338C023-FFC3-4F2A-9B13-7CF05F31B303}" name="Teams"/>
    <tableColumn id="2" xr3:uid="{D838BA32-041F-4DD9-95AE-7AF4D857AD37}" name="W"/>
    <tableColumn id="3" xr3:uid="{AF421340-2D2B-4C5B-A89E-1145BB373F57}" name="L"/>
    <tableColumn id="4" xr3:uid="{F8696B9D-1CAB-4310-99F8-E10522F67C91}" name="W/L%"/>
    <tableColumn id="5" xr3:uid="{2EF66598-3A21-49EC-8326-D43D15F799B5}" name="GB"/>
    <tableColumn id="6" xr3:uid="{8A43B986-2FF2-4130-A950-2C45133BB926}" name="PS/G"/>
    <tableColumn id="7" xr3:uid="{2A7FC771-F534-4D61-A45F-89173B387579}" name="PA/G"/>
    <tableColumn id="8" xr3:uid="{E90B1442-7F9E-41FC-ACFC-EAF95325E703}" name="SRS"/>
    <tableColumn id="9" xr3:uid="{0994FEA6-843D-4F0A-9C50-C57728CD5D76}" name="Diff" dataDxfId="25">
      <calculatedColumnFormula>East2004[[#This Row],[SRS]]-MIN($I$273:$I$303)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B66D047-C3C9-4C4C-A38C-CF1064D2339E}" name="West2004" displayName="West2004" ref="B289:J303" totalsRowShown="0">
  <autoFilter ref="B289:J303" xr:uid="{9481FBA6-5F44-433D-B868-1FFB522B1ECF}"/>
  <sortState xmlns:xlrd2="http://schemas.microsoft.com/office/spreadsheetml/2017/richdata2" ref="B290:I305">
    <sortCondition descending="1" ref="E289:E305"/>
  </sortState>
  <tableColumns count="9">
    <tableColumn id="1" xr3:uid="{D930CE4A-0468-4C63-BFC4-A7FA90BE29A9}" name="Teams"/>
    <tableColumn id="2" xr3:uid="{FCF81981-33B7-4FA8-8E6F-1718E9E64C14}" name="W"/>
    <tableColumn id="3" xr3:uid="{2CCF430C-573D-41F5-AC19-1E3E1615FBCE}" name="L"/>
    <tableColumn id="4" xr3:uid="{5F5DC609-110A-4290-9AB1-6785ABF7B54A}" name="W/L%"/>
    <tableColumn id="5" xr3:uid="{D6CC6264-87AF-4F12-BAC1-32A14AB8340C}" name="GB"/>
    <tableColumn id="6" xr3:uid="{D3C33E38-7BDB-4875-85F9-BBB80BE9FC06}" name="PS/G"/>
    <tableColumn id="7" xr3:uid="{39ACE0A9-40EA-4407-9961-E7DD955844A9}" name="PA/G"/>
    <tableColumn id="8" xr3:uid="{9A374AE1-4474-4311-80A3-6B0226494B90}" name="SRS"/>
    <tableColumn id="9" xr3:uid="{54DA2618-D95A-4534-B6C1-74D3B573622A}" name="Diff" dataDxfId="24">
      <calculatedColumnFormula>West2004[[#This Row],[SRS]]-MIN($I$273:$I$303)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D6003FEC-65EA-4A5B-9D68-58DD852D35F7}" name="East2003" displayName="East2003" ref="L272:T287" totalsRowShown="0">
  <autoFilter ref="L272:T287" xr:uid="{C4EEBF63-556E-4F4B-B434-50730FB2607D}"/>
  <sortState xmlns:xlrd2="http://schemas.microsoft.com/office/spreadsheetml/2017/richdata2" ref="L273:S289">
    <sortCondition descending="1" ref="O272:O289"/>
  </sortState>
  <tableColumns count="9">
    <tableColumn id="1" xr3:uid="{E347BE72-3AB9-4ACE-A31E-1EAB91EEFF65}" name="Teams"/>
    <tableColumn id="2" xr3:uid="{48990719-9262-4F17-97E1-71FA0C02CC3D}" name="W"/>
    <tableColumn id="3" xr3:uid="{747DAAE0-C3D0-40B1-A11E-6A50919190E3}" name="L"/>
    <tableColumn id="4" xr3:uid="{61787639-5BB5-4D4F-BC1E-A27DCFBDD746}" name="W/L%"/>
    <tableColumn id="5" xr3:uid="{A65DD6B0-B11A-4D09-9C78-6463BF845621}" name="GB"/>
    <tableColumn id="6" xr3:uid="{75E9EC98-493B-468D-9CA4-9D94DFE5B4E1}" name="PS/G"/>
    <tableColumn id="7" xr3:uid="{B4401A32-356E-4798-B8CA-9A65CDC38C76}" name="PA/G"/>
    <tableColumn id="8" xr3:uid="{4D8DF6AB-B38C-4EBC-9E92-46E29E03693F}" name="SRS"/>
    <tableColumn id="9" xr3:uid="{73B1FCA7-53DA-4721-AE9A-D4EB0981C685}" name="Diff" dataDxfId="23">
      <calculatedColumnFormula>East2003[[#This Row],[SRS]]-MIN($S$273:$S$303)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D12C621-C4B6-416B-ABFA-A8FA8B9C368B}" name="West2003" displayName="West2003" ref="L289:T303" totalsRowShown="0">
  <autoFilter ref="L289:T303" xr:uid="{90FCE999-673E-41DE-B66A-1A6EB6A8EFD4}"/>
  <sortState xmlns:xlrd2="http://schemas.microsoft.com/office/spreadsheetml/2017/richdata2" ref="L290:T305">
    <sortCondition descending="1" ref="O289:O305"/>
  </sortState>
  <tableColumns count="9">
    <tableColumn id="1" xr3:uid="{D05F7546-3068-4B15-990A-11A087512637}" name="Teams"/>
    <tableColumn id="2" xr3:uid="{95B11492-A616-4313-BF10-77F161946BB6}" name="W"/>
    <tableColumn id="3" xr3:uid="{2E76D284-1D18-4CE6-B534-1AB72FA948DC}" name="L"/>
    <tableColumn id="4" xr3:uid="{C5E0C95E-830C-4826-B146-AC65EB79D6A2}" name="W/L%"/>
    <tableColumn id="5" xr3:uid="{1AE1C98C-9D3E-4395-8D3F-0404A0B04504}" name="GB"/>
    <tableColumn id="6" xr3:uid="{B498D665-DAC0-4A10-BDAE-3578EB62CDAE}" name="PS/G"/>
    <tableColumn id="7" xr3:uid="{2CE9A4EA-5D20-49D4-A6EF-56388BE4E419}" name="PA/G"/>
    <tableColumn id="8" xr3:uid="{5E828965-457E-4C8F-B630-5CB7505CF188}" name="SRS"/>
    <tableColumn id="9" xr3:uid="{B9F2C9EE-DED7-4D68-99E0-EAC092A03F8F}" name="Diff" dataDxfId="22">
      <calculatedColumnFormula>West2003[[#This Row],[SRS]]-MIN($S$273:$S$303)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asketball-reference.com/teams/CHI/2019.html" TargetMode="External"/><Relationship Id="rId18" Type="http://schemas.openxmlformats.org/officeDocument/2006/relationships/table" Target="../tables/table7.xml"/><Relationship Id="rId26" Type="http://schemas.openxmlformats.org/officeDocument/2006/relationships/table" Target="../tables/table15.xml"/><Relationship Id="rId39" Type="http://schemas.openxmlformats.org/officeDocument/2006/relationships/table" Target="../tables/table28.xml"/><Relationship Id="rId21" Type="http://schemas.openxmlformats.org/officeDocument/2006/relationships/table" Target="../tables/table10.xml"/><Relationship Id="rId34" Type="http://schemas.openxmlformats.org/officeDocument/2006/relationships/table" Target="../tables/table23.xml"/><Relationship Id="rId42" Type="http://schemas.openxmlformats.org/officeDocument/2006/relationships/table" Target="../tables/table31.xml"/><Relationship Id="rId47" Type="http://schemas.openxmlformats.org/officeDocument/2006/relationships/table" Target="../tables/table36.xml"/><Relationship Id="rId50" Type="http://schemas.openxmlformats.org/officeDocument/2006/relationships/table" Target="../tables/table39.xml"/><Relationship Id="rId7" Type="http://schemas.openxmlformats.org/officeDocument/2006/relationships/hyperlink" Target="https://www.basketball-reference.com/teams/ORL/2019.html" TargetMode="External"/><Relationship Id="rId2" Type="http://schemas.openxmlformats.org/officeDocument/2006/relationships/hyperlink" Target="https://www.basketball-reference.com/teams/TOR/2019.html" TargetMode="External"/><Relationship Id="rId16" Type="http://schemas.openxmlformats.org/officeDocument/2006/relationships/table" Target="../tables/table5.xml"/><Relationship Id="rId29" Type="http://schemas.openxmlformats.org/officeDocument/2006/relationships/table" Target="../tables/table18.xml"/><Relationship Id="rId11" Type="http://schemas.openxmlformats.org/officeDocument/2006/relationships/hyperlink" Target="https://www.basketball-reference.com/teams/WAS/2019.html" TargetMode="External"/><Relationship Id="rId24" Type="http://schemas.openxmlformats.org/officeDocument/2006/relationships/table" Target="../tables/table13.xml"/><Relationship Id="rId32" Type="http://schemas.openxmlformats.org/officeDocument/2006/relationships/table" Target="../tables/table21.xml"/><Relationship Id="rId37" Type="http://schemas.openxmlformats.org/officeDocument/2006/relationships/table" Target="../tables/table26.xml"/><Relationship Id="rId40" Type="http://schemas.openxmlformats.org/officeDocument/2006/relationships/table" Target="../tables/table29.xml"/><Relationship Id="rId45" Type="http://schemas.openxmlformats.org/officeDocument/2006/relationships/table" Target="../tables/table34.xml"/><Relationship Id="rId5" Type="http://schemas.openxmlformats.org/officeDocument/2006/relationships/hyperlink" Target="https://www.basketball-reference.com/teams/IND/2019.html" TargetMode="External"/><Relationship Id="rId15" Type="http://schemas.openxmlformats.org/officeDocument/2006/relationships/hyperlink" Target="https://www.basketball-reference.com/teams/NYK/2019.html" TargetMode="External"/><Relationship Id="rId23" Type="http://schemas.openxmlformats.org/officeDocument/2006/relationships/table" Target="../tables/table12.xml"/><Relationship Id="rId28" Type="http://schemas.openxmlformats.org/officeDocument/2006/relationships/table" Target="../tables/table17.xml"/><Relationship Id="rId36" Type="http://schemas.openxmlformats.org/officeDocument/2006/relationships/table" Target="../tables/table25.xml"/><Relationship Id="rId49" Type="http://schemas.openxmlformats.org/officeDocument/2006/relationships/table" Target="../tables/table38.xml"/><Relationship Id="rId10" Type="http://schemas.openxmlformats.org/officeDocument/2006/relationships/hyperlink" Target="https://www.basketball-reference.com/teams/MIA/2019.html" TargetMode="External"/><Relationship Id="rId19" Type="http://schemas.openxmlformats.org/officeDocument/2006/relationships/table" Target="../tables/table8.xml"/><Relationship Id="rId31" Type="http://schemas.openxmlformats.org/officeDocument/2006/relationships/table" Target="../tables/table20.xml"/><Relationship Id="rId44" Type="http://schemas.openxmlformats.org/officeDocument/2006/relationships/table" Target="../tables/table33.xml"/><Relationship Id="rId4" Type="http://schemas.openxmlformats.org/officeDocument/2006/relationships/hyperlink" Target="https://www.basketball-reference.com/teams/BOS/2019.html" TargetMode="External"/><Relationship Id="rId9" Type="http://schemas.openxmlformats.org/officeDocument/2006/relationships/hyperlink" Target="https://www.basketball-reference.com/teams/CHO/2019.html" TargetMode="External"/><Relationship Id="rId14" Type="http://schemas.openxmlformats.org/officeDocument/2006/relationships/hyperlink" Target="https://www.basketball-reference.com/teams/CLE/2019.html" TargetMode="External"/><Relationship Id="rId22" Type="http://schemas.openxmlformats.org/officeDocument/2006/relationships/table" Target="../tables/table11.xml"/><Relationship Id="rId27" Type="http://schemas.openxmlformats.org/officeDocument/2006/relationships/table" Target="../tables/table16.xml"/><Relationship Id="rId30" Type="http://schemas.openxmlformats.org/officeDocument/2006/relationships/table" Target="../tables/table19.xml"/><Relationship Id="rId35" Type="http://schemas.openxmlformats.org/officeDocument/2006/relationships/table" Target="../tables/table24.xml"/><Relationship Id="rId43" Type="http://schemas.openxmlformats.org/officeDocument/2006/relationships/table" Target="../tables/table32.xml"/><Relationship Id="rId48" Type="http://schemas.openxmlformats.org/officeDocument/2006/relationships/table" Target="../tables/table37.xml"/><Relationship Id="rId8" Type="http://schemas.openxmlformats.org/officeDocument/2006/relationships/hyperlink" Target="https://www.basketball-reference.com/teams/DET/2019.html" TargetMode="External"/><Relationship Id="rId51" Type="http://schemas.openxmlformats.org/officeDocument/2006/relationships/table" Target="../tables/table40.xml"/><Relationship Id="rId3" Type="http://schemas.openxmlformats.org/officeDocument/2006/relationships/hyperlink" Target="https://www.basketball-reference.com/teams/PHI/2019.html" TargetMode="External"/><Relationship Id="rId12" Type="http://schemas.openxmlformats.org/officeDocument/2006/relationships/hyperlink" Target="https://www.basketball-reference.com/teams/ATL/2019.html" TargetMode="External"/><Relationship Id="rId17" Type="http://schemas.openxmlformats.org/officeDocument/2006/relationships/table" Target="../tables/table6.xml"/><Relationship Id="rId25" Type="http://schemas.openxmlformats.org/officeDocument/2006/relationships/table" Target="../tables/table14.xml"/><Relationship Id="rId33" Type="http://schemas.openxmlformats.org/officeDocument/2006/relationships/table" Target="../tables/table22.xml"/><Relationship Id="rId38" Type="http://schemas.openxmlformats.org/officeDocument/2006/relationships/table" Target="../tables/table27.xml"/><Relationship Id="rId46" Type="http://schemas.openxmlformats.org/officeDocument/2006/relationships/table" Target="../tables/table35.xml"/><Relationship Id="rId20" Type="http://schemas.openxmlformats.org/officeDocument/2006/relationships/table" Target="../tables/table9.xml"/><Relationship Id="rId41" Type="http://schemas.openxmlformats.org/officeDocument/2006/relationships/table" Target="../tables/table30.xml"/><Relationship Id="rId1" Type="http://schemas.openxmlformats.org/officeDocument/2006/relationships/hyperlink" Target="https://www.basketball-reference.com/teams/MIL/2019.html" TargetMode="External"/><Relationship Id="rId6" Type="http://schemas.openxmlformats.org/officeDocument/2006/relationships/hyperlink" Target="https://www.basketball-reference.com/teams/BRK/2019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BDA1C-7598-4A91-B62D-15A0EF056F84}">
  <sheetPr codeName="Sheet6"/>
  <dimension ref="B1:T53"/>
  <sheetViews>
    <sheetView workbookViewId="0">
      <selection activeCell="C2" sqref="C2:M2"/>
    </sheetView>
  </sheetViews>
  <sheetFormatPr defaultRowHeight="15" x14ac:dyDescent="0.25"/>
  <cols>
    <col min="1" max="2" width="9.140625" style="188"/>
    <col min="3" max="3" width="9.140625" style="195"/>
    <col min="4" max="12" width="9.140625" style="188"/>
    <col min="13" max="13" width="28" style="188" customWidth="1"/>
    <col min="14" max="16384" width="9.140625" style="188"/>
  </cols>
  <sheetData>
    <row r="1" spans="2:20" ht="24.95" customHeight="1" x14ac:dyDescent="0.25">
      <c r="C1" s="188"/>
    </row>
    <row r="2" spans="2:20" ht="31.5" x14ac:dyDescent="0.5">
      <c r="B2" s="189">
        <v>1</v>
      </c>
      <c r="C2" s="200" t="s">
        <v>190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189"/>
      <c r="O2" s="189"/>
      <c r="P2" s="189"/>
      <c r="Q2" s="189"/>
      <c r="R2" s="189"/>
      <c r="S2" s="189"/>
      <c r="T2" s="189"/>
    </row>
    <row r="3" spans="2:20" ht="24.95" customHeight="1" x14ac:dyDescent="0.4">
      <c r="C3" s="190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89"/>
      <c r="O3" s="189"/>
      <c r="P3" s="189"/>
      <c r="Q3" s="189"/>
      <c r="R3" s="189"/>
      <c r="S3" s="189"/>
      <c r="T3" s="189"/>
    </row>
    <row r="4" spans="2:20" ht="24.95" customHeight="1" x14ac:dyDescent="0.4">
      <c r="C4" s="190" t="s">
        <v>191</v>
      </c>
      <c r="D4" s="198" t="s">
        <v>192</v>
      </c>
      <c r="E4" s="198"/>
      <c r="F4" s="198"/>
      <c r="G4" s="198"/>
      <c r="H4" s="198"/>
      <c r="I4" s="198"/>
      <c r="J4" s="198"/>
      <c r="K4" s="198"/>
      <c r="L4" s="198"/>
      <c r="M4" s="198"/>
      <c r="N4" s="189"/>
      <c r="O4" s="189"/>
      <c r="P4" s="189"/>
      <c r="Q4" s="189"/>
      <c r="R4" s="189"/>
      <c r="S4" s="189"/>
      <c r="T4" s="189"/>
    </row>
    <row r="5" spans="2:20" ht="24.95" customHeight="1" x14ac:dyDescent="0.4">
      <c r="C5" s="190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89"/>
      <c r="T5" s="189"/>
    </row>
    <row r="6" spans="2:20" ht="24.95" customHeight="1" x14ac:dyDescent="0.4">
      <c r="C6" s="190" t="s">
        <v>193</v>
      </c>
      <c r="D6" s="198" t="s">
        <v>194</v>
      </c>
      <c r="E6" s="198"/>
      <c r="F6" s="198"/>
      <c r="G6" s="198"/>
      <c r="H6" s="198"/>
      <c r="I6" s="198"/>
      <c r="J6" s="198"/>
      <c r="K6" s="198"/>
      <c r="L6" s="198"/>
      <c r="M6" s="198"/>
      <c r="N6" s="189"/>
      <c r="O6" s="189"/>
      <c r="P6" s="189"/>
      <c r="Q6" s="189"/>
      <c r="R6" s="189"/>
      <c r="S6" s="189"/>
      <c r="T6" s="189"/>
    </row>
    <row r="7" spans="2:20" ht="24.95" customHeight="1" x14ac:dyDescent="0.4">
      <c r="C7" s="190"/>
      <c r="D7" s="189" t="s">
        <v>199</v>
      </c>
      <c r="E7" s="199" t="s">
        <v>219</v>
      </c>
      <c r="F7" s="199"/>
      <c r="G7" s="199"/>
      <c r="H7" s="199"/>
      <c r="I7" s="199"/>
      <c r="J7" s="199"/>
      <c r="K7" s="199"/>
      <c r="L7" s="199"/>
      <c r="M7" s="199"/>
      <c r="N7" s="189"/>
      <c r="O7" s="189"/>
      <c r="P7" s="189"/>
      <c r="Q7" s="189"/>
      <c r="R7" s="189"/>
      <c r="S7" s="189"/>
      <c r="T7" s="189"/>
    </row>
    <row r="8" spans="2:20" ht="24.95" customHeight="1" x14ac:dyDescent="0.4">
      <c r="C8" s="190" t="s">
        <v>195</v>
      </c>
      <c r="D8" s="198" t="s">
        <v>196</v>
      </c>
      <c r="E8" s="198"/>
      <c r="F8" s="198"/>
      <c r="G8" s="198"/>
      <c r="H8" s="198"/>
      <c r="I8" s="198"/>
      <c r="J8" s="198"/>
      <c r="K8" s="198"/>
      <c r="L8" s="198"/>
      <c r="M8" s="198"/>
      <c r="N8" s="189"/>
      <c r="O8" s="189"/>
      <c r="P8" s="189"/>
      <c r="Q8" s="189"/>
      <c r="R8" s="189"/>
      <c r="S8" s="189"/>
      <c r="T8" s="189"/>
    </row>
    <row r="9" spans="2:20" ht="24.95" customHeight="1" x14ac:dyDescent="0.4">
      <c r="C9" s="190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</row>
    <row r="10" spans="2:20" ht="24.95" customHeight="1" x14ac:dyDescent="0.4">
      <c r="C10" s="190" t="s">
        <v>197</v>
      </c>
      <c r="D10" s="198" t="s">
        <v>198</v>
      </c>
      <c r="E10" s="198"/>
      <c r="F10" s="198"/>
      <c r="G10" s="198"/>
      <c r="H10" s="198"/>
      <c r="I10" s="198"/>
      <c r="J10" s="198"/>
      <c r="K10" s="198"/>
      <c r="L10" s="198"/>
      <c r="M10" s="198"/>
      <c r="N10" s="189"/>
      <c r="O10" s="189"/>
      <c r="P10" s="189"/>
      <c r="Q10" s="189"/>
      <c r="R10" s="189"/>
      <c r="S10" s="189"/>
      <c r="T10" s="189"/>
    </row>
    <row r="11" spans="2:20" ht="24.95" customHeight="1" x14ac:dyDescent="0.4">
      <c r="C11" s="190"/>
      <c r="D11" s="191" t="s">
        <v>199</v>
      </c>
      <c r="E11" s="199" t="s">
        <v>200</v>
      </c>
      <c r="F11" s="199"/>
      <c r="G11" s="199"/>
      <c r="H11" s="199"/>
      <c r="I11" s="199"/>
      <c r="J11" s="199"/>
      <c r="K11" s="199"/>
      <c r="L11" s="199"/>
      <c r="M11" s="199"/>
      <c r="N11" s="189"/>
      <c r="O11" s="189"/>
      <c r="P11" s="189"/>
      <c r="Q11" s="189"/>
      <c r="R11" s="189"/>
      <c r="S11" s="189"/>
      <c r="T11" s="189"/>
    </row>
    <row r="12" spans="2:20" ht="24.95" customHeight="1" x14ac:dyDescent="0.4">
      <c r="C12" s="190"/>
      <c r="D12" s="191" t="s">
        <v>201</v>
      </c>
      <c r="E12" s="199" t="s">
        <v>202</v>
      </c>
      <c r="F12" s="199"/>
      <c r="G12" s="199"/>
      <c r="H12" s="199"/>
      <c r="I12" s="199"/>
      <c r="J12" s="199"/>
      <c r="K12" s="199"/>
      <c r="L12" s="199"/>
      <c r="M12" s="199"/>
      <c r="N12" s="189"/>
      <c r="O12" s="189"/>
      <c r="P12" s="189"/>
      <c r="Q12" s="189"/>
      <c r="R12" s="189"/>
      <c r="S12" s="189"/>
      <c r="T12" s="189"/>
    </row>
    <row r="13" spans="2:20" ht="24.95" customHeight="1" x14ac:dyDescent="0.4">
      <c r="C13" s="190"/>
      <c r="D13" s="191" t="s">
        <v>203</v>
      </c>
      <c r="E13" s="199" t="s">
        <v>205</v>
      </c>
      <c r="F13" s="199"/>
      <c r="G13" s="199"/>
      <c r="H13" s="199"/>
      <c r="I13" s="199"/>
      <c r="J13" s="199"/>
      <c r="K13" s="199"/>
      <c r="L13" s="199"/>
      <c r="M13" s="199"/>
      <c r="N13" s="189"/>
      <c r="O13" s="189"/>
      <c r="P13" s="189"/>
      <c r="Q13" s="189"/>
      <c r="R13" s="189"/>
      <c r="S13" s="189"/>
      <c r="T13" s="189"/>
    </row>
    <row r="14" spans="2:20" ht="24.95" customHeight="1" x14ac:dyDescent="0.4">
      <c r="C14" s="190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89"/>
      <c r="O14" s="189"/>
      <c r="P14" s="189"/>
      <c r="Q14" s="189"/>
      <c r="R14" s="189"/>
      <c r="S14" s="189"/>
      <c r="T14" s="189"/>
    </row>
    <row r="15" spans="2:20" ht="31.5" x14ac:dyDescent="0.5">
      <c r="B15" s="192">
        <v>2</v>
      </c>
      <c r="C15" s="200" t="s">
        <v>206</v>
      </c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189"/>
      <c r="O15" s="189"/>
      <c r="P15" s="189"/>
      <c r="Q15" s="189"/>
      <c r="R15" s="189"/>
      <c r="S15" s="189"/>
      <c r="T15" s="189"/>
    </row>
    <row r="16" spans="2:20" ht="24.95" customHeight="1" x14ac:dyDescent="0.4">
      <c r="C16" s="190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89"/>
      <c r="O16" s="189"/>
      <c r="P16" s="189"/>
      <c r="Q16" s="189"/>
      <c r="R16" s="189"/>
      <c r="S16" s="189"/>
      <c r="T16" s="189"/>
    </row>
    <row r="17" spans="2:20" ht="24.95" customHeight="1" x14ac:dyDescent="0.4">
      <c r="C17" s="190" t="s">
        <v>191</v>
      </c>
      <c r="D17" s="198" t="s">
        <v>207</v>
      </c>
      <c r="E17" s="198"/>
      <c r="F17" s="198"/>
      <c r="G17" s="198"/>
      <c r="H17" s="198"/>
      <c r="I17" s="198"/>
      <c r="J17" s="198"/>
      <c r="K17" s="198"/>
      <c r="L17" s="198"/>
      <c r="M17" s="198"/>
      <c r="N17" s="189"/>
      <c r="O17" s="189"/>
      <c r="P17" s="189"/>
      <c r="Q17" s="189"/>
      <c r="R17" s="189"/>
      <c r="S17" s="189"/>
      <c r="T17" s="189"/>
    </row>
    <row r="18" spans="2:20" ht="24.95" customHeight="1" x14ac:dyDescent="0.4">
      <c r="C18" s="190"/>
      <c r="D18" s="193" t="s">
        <v>199</v>
      </c>
      <c r="E18" s="199" t="s">
        <v>208</v>
      </c>
      <c r="F18" s="199"/>
      <c r="G18" s="199"/>
      <c r="H18" s="199"/>
      <c r="I18" s="199"/>
      <c r="J18" s="199"/>
      <c r="K18" s="199"/>
      <c r="L18" s="199"/>
      <c r="M18" s="194"/>
      <c r="N18" s="189"/>
      <c r="O18" s="189"/>
      <c r="P18" s="189"/>
      <c r="Q18" s="189"/>
      <c r="R18" s="189"/>
      <c r="S18" s="189"/>
      <c r="T18" s="189"/>
    </row>
    <row r="19" spans="2:20" ht="24.95" customHeight="1" x14ac:dyDescent="0.4">
      <c r="C19" s="190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89"/>
      <c r="O19" s="189"/>
      <c r="P19" s="189"/>
      <c r="Q19" s="189"/>
      <c r="R19" s="189"/>
      <c r="S19" s="189"/>
      <c r="T19" s="189"/>
    </row>
    <row r="20" spans="2:20" ht="24.95" customHeight="1" x14ac:dyDescent="0.4">
      <c r="C20" s="190" t="s">
        <v>193</v>
      </c>
      <c r="D20" s="198" t="s">
        <v>209</v>
      </c>
      <c r="E20" s="198"/>
      <c r="F20" s="198"/>
      <c r="G20" s="198"/>
      <c r="H20" s="198"/>
      <c r="I20" s="198"/>
      <c r="J20" s="198"/>
      <c r="K20" s="198"/>
      <c r="L20" s="198"/>
      <c r="M20" s="198"/>
      <c r="N20" s="189"/>
      <c r="O20" s="189"/>
      <c r="P20" s="189"/>
      <c r="Q20" s="189"/>
      <c r="R20" s="189"/>
      <c r="S20" s="189"/>
      <c r="T20" s="189"/>
    </row>
    <row r="21" spans="2:20" ht="24.95" customHeight="1" x14ac:dyDescent="0.25"/>
    <row r="22" spans="2:20" ht="31.5" x14ac:dyDescent="0.5">
      <c r="B22" s="192">
        <v>3</v>
      </c>
      <c r="C22" s="200" t="s">
        <v>204</v>
      </c>
      <c r="D22" s="200"/>
      <c r="E22" s="200"/>
      <c r="F22" s="200"/>
      <c r="G22" s="200"/>
      <c r="H22" s="200"/>
      <c r="I22" s="200"/>
      <c r="J22" s="200"/>
      <c r="K22" s="200"/>
      <c r="L22" s="200"/>
      <c r="M22" s="200"/>
    </row>
    <row r="23" spans="2:20" ht="24.95" customHeight="1" x14ac:dyDescent="0.25"/>
    <row r="24" spans="2:20" ht="24.95" customHeight="1" x14ac:dyDescent="0.4">
      <c r="C24" s="190" t="s">
        <v>191</v>
      </c>
      <c r="D24" s="198" t="s">
        <v>210</v>
      </c>
      <c r="E24" s="198"/>
      <c r="F24" s="198"/>
      <c r="G24" s="198"/>
      <c r="H24" s="198"/>
      <c r="I24" s="198"/>
      <c r="J24" s="198"/>
      <c r="K24" s="198"/>
      <c r="L24" s="198"/>
      <c r="M24" s="198"/>
    </row>
    <row r="25" spans="2:20" ht="24.95" customHeight="1" x14ac:dyDescent="0.4">
      <c r="C25" s="190"/>
      <c r="D25" s="189"/>
      <c r="E25" s="189"/>
      <c r="F25" s="189"/>
      <c r="G25" s="189"/>
      <c r="H25" s="189"/>
      <c r="I25" s="189"/>
      <c r="J25" s="189"/>
    </row>
    <row r="26" spans="2:20" ht="24.95" customHeight="1" x14ac:dyDescent="0.4">
      <c r="C26" s="190" t="s">
        <v>193</v>
      </c>
      <c r="D26" s="198" t="s">
        <v>211</v>
      </c>
      <c r="E26" s="198"/>
      <c r="F26" s="198"/>
      <c r="G26" s="198"/>
      <c r="H26" s="198"/>
      <c r="I26" s="198"/>
      <c r="J26" s="198"/>
      <c r="K26" s="198"/>
      <c r="L26" s="198"/>
      <c r="M26" s="198"/>
    </row>
    <row r="27" spans="2:20" ht="24.95" customHeight="1" x14ac:dyDescent="0.4">
      <c r="C27" s="190"/>
      <c r="D27" s="189"/>
      <c r="E27" s="189"/>
      <c r="F27" s="189"/>
      <c r="G27" s="189"/>
      <c r="H27" s="189"/>
      <c r="I27" s="189"/>
      <c r="J27" s="189"/>
    </row>
    <row r="28" spans="2:20" ht="24.95" customHeight="1" x14ac:dyDescent="0.4">
      <c r="C28" s="190" t="s">
        <v>195</v>
      </c>
      <c r="D28" s="198" t="s">
        <v>215</v>
      </c>
      <c r="E28" s="198"/>
      <c r="F28" s="198"/>
      <c r="G28" s="198"/>
      <c r="H28" s="198"/>
      <c r="I28" s="198"/>
      <c r="J28" s="198"/>
      <c r="K28" s="198"/>
      <c r="L28" s="198"/>
      <c r="M28" s="198"/>
    </row>
    <row r="29" spans="2:20" ht="24.95" customHeight="1" x14ac:dyDescent="0.35">
      <c r="D29" s="191" t="s">
        <v>199</v>
      </c>
      <c r="E29" s="199" t="s">
        <v>213</v>
      </c>
      <c r="F29" s="199"/>
      <c r="G29" s="199"/>
      <c r="H29" s="199"/>
      <c r="I29" s="199"/>
      <c r="J29" s="199"/>
      <c r="K29" s="199"/>
      <c r="L29" s="199"/>
      <c r="M29" s="199"/>
    </row>
    <row r="30" spans="2:20" ht="24.95" customHeight="1" x14ac:dyDescent="0.35">
      <c r="D30" s="191" t="s">
        <v>201</v>
      </c>
      <c r="E30" s="199" t="s">
        <v>212</v>
      </c>
      <c r="F30" s="199"/>
      <c r="G30" s="199"/>
      <c r="H30" s="199"/>
      <c r="I30" s="199"/>
      <c r="J30" s="199"/>
      <c r="K30" s="199"/>
      <c r="L30" s="199"/>
      <c r="M30" s="199"/>
    </row>
    <row r="31" spans="2:20" ht="24.95" customHeight="1" x14ac:dyDescent="0.35">
      <c r="D31" s="191" t="s">
        <v>203</v>
      </c>
      <c r="E31" s="199" t="s">
        <v>214</v>
      </c>
      <c r="F31" s="199"/>
      <c r="G31" s="199"/>
      <c r="H31" s="199"/>
      <c r="I31" s="199"/>
      <c r="J31" s="199"/>
      <c r="K31" s="199"/>
      <c r="L31" s="199"/>
      <c r="M31" s="199"/>
    </row>
    <row r="32" spans="2:20" ht="24.95" customHeight="1" x14ac:dyDescent="0.25"/>
    <row r="33" spans="2:13" ht="31.5" x14ac:dyDescent="0.5">
      <c r="B33" s="192">
        <v>4</v>
      </c>
      <c r="C33" s="200" t="s">
        <v>217</v>
      </c>
      <c r="D33" s="200"/>
      <c r="E33" s="200"/>
      <c r="F33" s="200"/>
      <c r="G33" s="200"/>
      <c r="H33" s="200"/>
      <c r="I33" s="200"/>
      <c r="J33" s="200"/>
      <c r="K33" s="200"/>
      <c r="L33" s="200"/>
      <c r="M33" s="200"/>
    </row>
    <row r="34" spans="2:13" ht="24.75" customHeight="1" x14ac:dyDescent="0.25"/>
    <row r="35" spans="2:13" ht="31.5" x14ac:dyDescent="0.5">
      <c r="B35" s="192">
        <v>5</v>
      </c>
      <c r="C35" s="200" t="s">
        <v>231</v>
      </c>
      <c r="D35" s="200"/>
      <c r="E35" s="200"/>
      <c r="F35" s="200"/>
      <c r="G35" s="200"/>
      <c r="H35" s="200"/>
      <c r="I35" s="200"/>
      <c r="J35" s="200"/>
      <c r="K35" s="200"/>
      <c r="L35" s="200"/>
      <c r="M35" s="200"/>
    </row>
    <row r="36" spans="2:13" ht="31.5" x14ac:dyDescent="0.5">
      <c r="B36" s="192"/>
      <c r="C36" s="190" t="s">
        <v>191</v>
      </c>
      <c r="D36" s="198" t="s">
        <v>232</v>
      </c>
      <c r="E36" s="198"/>
      <c r="F36" s="198"/>
      <c r="G36" s="198"/>
      <c r="H36" s="198"/>
      <c r="I36" s="198"/>
      <c r="J36" s="198"/>
      <c r="K36" s="198"/>
      <c r="L36" s="198"/>
      <c r="M36" s="198"/>
    </row>
    <row r="37" spans="2:13" ht="24.75" customHeight="1" x14ac:dyDescent="0.5">
      <c r="B37" s="192"/>
      <c r="C37" s="190" t="s">
        <v>193</v>
      </c>
      <c r="D37" s="198" t="s">
        <v>233</v>
      </c>
      <c r="E37" s="198"/>
      <c r="F37" s="198"/>
      <c r="G37" s="198"/>
      <c r="H37" s="198"/>
      <c r="I37" s="198"/>
      <c r="J37" s="198"/>
      <c r="K37" s="198"/>
      <c r="L37" s="198"/>
      <c r="M37" s="198"/>
    </row>
    <row r="38" spans="2:13" ht="24.75" customHeight="1" x14ac:dyDescent="0.5">
      <c r="B38" s="192"/>
      <c r="C38" s="196"/>
      <c r="D38" s="190" t="s">
        <v>199</v>
      </c>
      <c r="E38" s="201" t="s">
        <v>312</v>
      </c>
      <c r="F38" s="201"/>
      <c r="G38" s="201"/>
      <c r="H38" s="201"/>
      <c r="I38" s="201"/>
      <c r="J38" s="201"/>
      <c r="K38" s="201"/>
      <c r="L38" s="201"/>
      <c r="M38" s="201"/>
    </row>
    <row r="39" spans="2:13" ht="24.75" customHeight="1" x14ac:dyDescent="0.4">
      <c r="D39" s="190" t="s">
        <v>201</v>
      </c>
      <c r="E39" s="201" t="s">
        <v>313</v>
      </c>
      <c r="F39" s="201"/>
      <c r="G39" s="201"/>
      <c r="H39" s="201"/>
      <c r="I39" s="201"/>
      <c r="J39" s="201"/>
      <c r="K39" s="201"/>
      <c r="L39" s="201"/>
      <c r="M39" s="201"/>
    </row>
    <row r="40" spans="2:13" ht="24.75" customHeight="1" x14ac:dyDescent="0.25"/>
    <row r="41" spans="2:13" ht="31.5" x14ac:dyDescent="0.5">
      <c r="B41" s="192">
        <v>6</v>
      </c>
      <c r="C41" s="200" t="s">
        <v>218</v>
      </c>
      <c r="D41" s="200"/>
      <c r="E41" s="200"/>
      <c r="F41" s="200"/>
      <c r="G41" s="200"/>
      <c r="H41" s="200"/>
      <c r="I41" s="200"/>
      <c r="J41" s="200"/>
      <c r="K41" s="200"/>
      <c r="L41" s="200"/>
      <c r="M41" s="200"/>
    </row>
    <row r="42" spans="2:13" ht="24.75" customHeight="1" x14ac:dyDescent="0.25"/>
    <row r="43" spans="2:13" ht="24.75" customHeight="1" x14ac:dyDescent="0.25"/>
    <row r="44" spans="2:13" ht="24.75" customHeight="1" x14ac:dyDescent="0.25"/>
    <row r="45" spans="2:13" ht="24.75" customHeight="1" x14ac:dyDescent="0.25"/>
    <row r="46" spans="2:13" ht="24.75" customHeight="1" x14ac:dyDescent="0.25"/>
    <row r="47" spans="2:13" ht="24.75" customHeight="1" x14ac:dyDescent="0.25"/>
    <row r="48" spans="2:13" ht="24.75" customHeight="1" x14ac:dyDescent="0.25"/>
    <row r="49" ht="24.75" customHeight="1" x14ac:dyDescent="0.25"/>
    <row r="50" ht="24.75" customHeight="1" x14ac:dyDescent="0.25"/>
    <row r="51" ht="24.75" customHeight="1" x14ac:dyDescent="0.25"/>
    <row r="52" ht="24.75" customHeight="1" x14ac:dyDescent="0.25"/>
    <row r="53" ht="24.75" customHeight="1" x14ac:dyDescent="0.25"/>
  </sheetData>
  <mergeCells count="31">
    <mergeCell ref="D28:M28"/>
    <mergeCell ref="E29:M29"/>
    <mergeCell ref="E30:M30"/>
    <mergeCell ref="E31:M31"/>
    <mergeCell ref="C33:M33"/>
    <mergeCell ref="C41:M41"/>
    <mergeCell ref="C35:M35"/>
    <mergeCell ref="D36:M36"/>
    <mergeCell ref="D37:M37"/>
    <mergeCell ref="E38:M38"/>
    <mergeCell ref="E39:M39"/>
    <mergeCell ref="C22:M22"/>
    <mergeCell ref="D20:M20"/>
    <mergeCell ref="D24:M24"/>
    <mergeCell ref="D26:M26"/>
    <mergeCell ref="D17:M17"/>
    <mergeCell ref="D19:M19"/>
    <mergeCell ref="E18:L18"/>
    <mergeCell ref="C2:M2"/>
    <mergeCell ref="E12:M12"/>
    <mergeCell ref="E13:M13"/>
    <mergeCell ref="C15:M15"/>
    <mergeCell ref="E7:M7"/>
    <mergeCell ref="D14:M14"/>
    <mergeCell ref="D16:M16"/>
    <mergeCell ref="D3:M3"/>
    <mergeCell ref="D4:M4"/>
    <mergeCell ref="D6:M6"/>
    <mergeCell ref="D8:M8"/>
    <mergeCell ref="D10:M10"/>
    <mergeCell ref="E11:M11"/>
  </mergeCells>
  <hyperlinks>
    <hyperlink ref="D4:M4" location="Standings!A1" display="Current Standings (2020-2021)" xr:uid="{5F938D45-E353-4AC6-BE0E-45B8D55F048F}"/>
    <hyperlink ref="D6:M6" location="Standings!A23" display="End of Season Projected Standings (Using Pythagorean Wins)" xr:uid="{5BAA6D59-83EA-4216-B9DF-467355116EE1}"/>
    <hyperlink ref="E7:M7" location="Standings!AB25" display="End of Season Projected Seeds Over Time" xr:uid="{0734F987-01BB-477B-AACB-D558659E4204}"/>
    <hyperlink ref="D8:M8" location="Standings!A62" display="Projected End of Season Win Ranges" xr:uid="{2D2DFACF-5B4F-4E6A-86C8-E0CE23A3AB3B}"/>
    <hyperlink ref="D10:M10" location="Standings!A88" display="1000 Simulations of Season " xr:uid="{5EADB94A-552F-4711-BF69-5198962B0E6C}"/>
    <hyperlink ref="E11:M11" location="Standings!P88" display="End of Season Standings Based on Simulations" xr:uid="{118A8F03-287C-41A4-8403-6F20CDA1CB73}"/>
    <hyperlink ref="E12:M12" location="Standings!AA88" display="Playoff Bracket with Win Probabilities" xr:uid="{07DCBF27-E144-4213-8601-104B2487A3D2}"/>
    <hyperlink ref="E13:M13" location="Standings!V152" display="Playoff Probabilities Based on Simulations and Gamma" xr:uid="{B1BD9FAD-194F-48DE-A52D-C363A63F8041}"/>
    <hyperlink ref="C15:M15" location="'Gamma Prediction'!A1" display="Pythagorean Wins Prediction Using Gamma" xr:uid="{19E4E39E-2C67-47C8-8325-24E1DBF90437}"/>
    <hyperlink ref="D17:M17" location="'Gamma Prediction'!A1" display="Finding Value of Gamma Using Solver/Historical Data" xr:uid="{1BBBB94E-8E95-4137-8BF5-B56A6CD1E29F}"/>
    <hyperlink ref="E18:L18" location="'Gamma Prediction'!U1" display="Luck Distribution Graph" xr:uid="{F11595E9-45E0-429A-8D6F-122400BB7D3F}"/>
    <hyperlink ref="D20:M20" location="'Gamma Prediction'!P39" display="Analysis for Team A vs Team B Win Probability" xr:uid="{70201D88-F14F-4FAA-9D12-C57A6A59F7AA}"/>
    <hyperlink ref="C2:M2" location="Standings!A1" display="Standings" xr:uid="{F12BC5F1-08FD-4118-93A9-3938AAC5C7F8}"/>
    <hyperlink ref="C22:M22" location="'Playoff Probabilties'!A1" display="Playoff Probabilities" xr:uid="{14D3DB7E-736B-491C-98CF-3786AF215E45}"/>
    <hyperlink ref="D24:M24" location="'Playoff Probabilties'!A1" display="One Game Series Probabilities" xr:uid="{5F9CFE20-4A43-4D0E-8C0D-9EC6BFE7E451}"/>
    <hyperlink ref="D26:M26" location="'Playoff Probabilties'!A45" display="Seven Game Series Probabilities" xr:uid="{2593B020-B5E1-466F-9DA7-7D05208F84ED}"/>
    <hyperlink ref="D28:M28" location="'Playoff Probabilties'!A103" display="Probability Each Team X Plays Team Y in Playoffs Based on Simulation" xr:uid="{EF65CE7F-184B-46CF-BEA6-A4447F9DF40B}"/>
    <hyperlink ref="E29:M29" location="'Playoff Probabilties'!A103" display="Probability Team X Plays Team Y in Conference Quarterfinals" xr:uid="{C471F234-D112-4D5B-8250-F2FD2AA29565}"/>
    <hyperlink ref="E30:M30" location="'Playoff Probabilties'!A137" display="Probability Team X Plays Team Y in Conference Semifinals" xr:uid="{5DD95579-A333-44B8-9737-F2645A43A689}"/>
    <hyperlink ref="E31:M31" location="'Playoff Probabilties'!A172" display="Probability Team X Plays Team Y in Conference Finals" xr:uid="{5069B750-14EC-4F5C-88D9-48FD8C677076}"/>
    <hyperlink ref="C33:M33" location="'Historical Snapshot'!A1" display="Interactive Historical Standings (Including Luck %)" xr:uid="{268A372F-E618-4267-9BE5-C663FAB9FBC3}"/>
    <hyperlink ref="C35:M35" location="'Historical Bracket'!A1" display="Historical Playoff Brackets" xr:uid="{A635EE01-38A7-4C69-BC4F-A3B6A91D3516}"/>
    <hyperlink ref="D36:M36" location="'Historical Bracket'!G15" display="Actual Playoff Results" xr:uid="{876558BD-B4E1-4C5A-AF0C-97CE793D6273}"/>
    <hyperlink ref="D37:M37" location="'Historical Bracket'!V15" display="Predicted Historical Playoff Results" xr:uid="{A79FF272-C596-4431-BE1C-D7EB294FFAB5}"/>
    <hyperlink ref="C41:M41" location="'Historical Luck'!A1" display="Historical Luck (2013-14 to 2019-20) with Gamma Calculations" xr:uid="{3D3AD9EF-2571-4B47-8111-05360822C545}"/>
    <hyperlink ref="E38:M38" location="'Historical Bracket'!AL2" display="Yearly Actual-Expected Playoff Wins" xr:uid="{730D3650-16D6-44A5-9087-3E56A4C5176F}"/>
    <hyperlink ref="E39:M39" location="'Historical Bracket'!AP2" display="Historical Predicted NBA Champions" xr:uid="{CAF42FC8-6DF8-483E-AFEF-23E65F72B27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548F1-8F6E-4B64-9904-BD94FDC68AAC}">
  <sheetPr codeName="Sheet5"/>
  <dimension ref="A2:AL1170"/>
  <sheetViews>
    <sheetView tabSelected="1" topLeftCell="E25" zoomScale="75" zoomScaleNormal="75" workbookViewId="0">
      <selection activeCell="AA30" sqref="AA30"/>
    </sheetView>
  </sheetViews>
  <sheetFormatPr defaultRowHeight="15" x14ac:dyDescent="0.25"/>
  <cols>
    <col min="1" max="1" width="3.42578125" bestFit="1" customWidth="1"/>
    <col min="2" max="2" width="19.7109375" bestFit="1" customWidth="1"/>
    <col min="3" max="3" width="9.28515625" bestFit="1" customWidth="1"/>
    <col min="4" max="4" width="11.7109375" customWidth="1"/>
    <col min="5" max="5" width="9.28515625" bestFit="1" customWidth="1"/>
    <col min="6" max="6" width="10.28515625" customWidth="1"/>
    <col min="7" max="7" width="14" bestFit="1" customWidth="1"/>
    <col min="8" max="13" width="9.28515625" bestFit="1" customWidth="1"/>
    <col min="14" max="14" width="6.42578125" bestFit="1" customWidth="1"/>
    <col min="15" max="15" width="23.140625" customWidth="1"/>
    <col min="16" max="17" width="9.28515625" bestFit="1" customWidth="1"/>
    <col min="22" max="23" width="9.85546875" customWidth="1"/>
    <col min="24" max="24" width="11.5703125" customWidth="1"/>
    <col min="25" max="25" width="10" bestFit="1" customWidth="1"/>
    <col min="29" max="29" width="12" customWidth="1"/>
  </cols>
  <sheetData>
    <row r="2" spans="1:24" s="7" customFormat="1" ht="15.75" thickBot="1" x14ac:dyDescent="0.3">
      <c r="J2" s="7">
        <v>0</v>
      </c>
    </row>
    <row r="3" spans="1:24" ht="27" thickBot="1" x14ac:dyDescent="0.45">
      <c r="I3" s="202" t="s">
        <v>59</v>
      </c>
      <c r="J3" s="203"/>
      <c r="K3" s="203"/>
      <c r="L3" s="203"/>
      <c r="M3" s="203"/>
      <c r="N3" s="203"/>
      <c r="O3" s="203"/>
      <c r="P3" s="204"/>
    </row>
    <row r="4" spans="1:24" ht="21" x14ac:dyDescent="0.35">
      <c r="A4" s="234" t="s">
        <v>57</v>
      </c>
      <c r="B4" s="235"/>
      <c r="C4" s="235"/>
      <c r="D4" s="235"/>
      <c r="E4" s="235"/>
      <c r="F4" s="235"/>
      <c r="G4" s="235"/>
      <c r="H4" s="235"/>
      <c r="I4" s="236"/>
      <c r="J4" s="236"/>
      <c r="K4" s="237"/>
      <c r="N4" s="238" t="s">
        <v>58</v>
      </c>
      <c r="O4" s="239"/>
      <c r="P4" s="239"/>
      <c r="Q4" s="240"/>
      <c r="R4" s="240"/>
      <c r="S4" s="240"/>
      <c r="T4" s="240"/>
      <c r="U4" s="240"/>
      <c r="V4" s="240"/>
      <c r="W4" s="240"/>
      <c r="X4" s="241"/>
    </row>
    <row r="5" spans="1:24" x14ac:dyDescent="0.25">
      <c r="A5" s="18"/>
      <c r="B5" s="56" t="str">
        <f>Eastern_Conference[[#Headers],[Teams]]</f>
        <v>Teams</v>
      </c>
      <c r="C5" s="56" t="str">
        <f>Eastern_Conference[[#Headers],[W]]</f>
        <v>W</v>
      </c>
      <c r="D5" s="56" t="str">
        <f>Eastern_Conference[[#Headers],[L]]</f>
        <v>L</v>
      </c>
      <c r="E5" s="56" t="str">
        <f>Eastern_Conference[[#Headers],[WIN PCT]]</f>
        <v>WIN PCT</v>
      </c>
      <c r="F5" s="56" t="str">
        <f>Eastern_Conference[[#Headers],[GB]]</f>
        <v>GB</v>
      </c>
      <c r="G5" s="56" t="str">
        <f>Eastern_Conference[[#Headers],[PPG]]</f>
        <v>PPG</v>
      </c>
      <c r="H5" s="56" t="str">
        <f>Eastern_Conference[[#Headers],[PAPG]]</f>
        <v>PAPG</v>
      </c>
      <c r="I5" s="56" t="str">
        <f>Eastern_Conference[[#Headers],[Γ WIN PCT]]</f>
        <v>Γ WIN PCT</v>
      </c>
      <c r="J5" s="56" t="str">
        <f>Eastern_Conference[[#Headers],[Luck %]]</f>
        <v>Luck %</v>
      </c>
      <c r="K5" s="57" t="str">
        <f>Eastern_Conference[[#Headers],[Γ Place]]</f>
        <v>Γ Place</v>
      </c>
      <c r="N5" s="18"/>
      <c r="O5" s="56" t="str">
        <f>Eastern_Conference[[#Headers],[Teams]]</f>
        <v>Teams</v>
      </c>
      <c r="P5" s="56" t="str">
        <f>Eastern_Conference[[#Headers],[W]]</f>
        <v>W</v>
      </c>
      <c r="Q5" s="56" t="str">
        <f>Eastern_Conference[[#Headers],[L]]</f>
        <v>L</v>
      </c>
      <c r="R5" s="56" t="str">
        <f>Eastern_Conference[[#Headers],[WIN PCT]]</f>
        <v>WIN PCT</v>
      </c>
      <c r="S5" s="56" t="str">
        <f>Eastern_Conference[[#Headers],[GB]]</f>
        <v>GB</v>
      </c>
      <c r="T5" s="56" t="str">
        <f>Eastern_Conference[[#Headers],[PPG]]</f>
        <v>PPG</v>
      </c>
      <c r="U5" s="56" t="str">
        <f>Eastern_Conference[[#Headers],[PAPG]]</f>
        <v>PAPG</v>
      </c>
      <c r="V5" s="56" t="str">
        <f>Eastern_Conference[[#Headers],[Γ WIN PCT]]</f>
        <v>Γ WIN PCT</v>
      </c>
      <c r="W5" s="56" t="str">
        <f>Eastern_Conference[[#Headers],[Luck %]]</f>
        <v>Luck %</v>
      </c>
      <c r="X5" s="57" t="str">
        <f>Eastern_Conference[[#Headers],[Γ Place]]</f>
        <v>Γ Place</v>
      </c>
    </row>
    <row r="6" spans="1:24" x14ac:dyDescent="0.25">
      <c r="A6" s="18">
        <v>1</v>
      </c>
      <c r="B6" s="8" t="str">
        <f>East!B2</f>
        <v>Philadelphia 76ers </v>
      </c>
      <c r="C6" s="8">
        <f>East!C2</f>
        <v>24</v>
      </c>
      <c r="D6" s="8">
        <f>East!D2</f>
        <v>12</v>
      </c>
      <c r="E6" s="9">
        <f>East!E2</f>
        <v>0.66700000000000004</v>
      </c>
      <c r="F6" s="24" t="str">
        <f>East!F2</f>
        <v>—</v>
      </c>
      <c r="G6" s="8">
        <f>East!G2</f>
        <v>114.7</v>
      </c>
      <c r="H6" s="8">
        <f>East!H2</f>
        <v>111.2</v>
      </c>
      <c r="I6" s="9">
        <f>East!J2</f>
        <v>0.62441404029454339</v>
      </c>
      <c r="J6" s="10">
        <f>East!K2</f>
        <v>4.2585959705456644E-2</v>
      </c>
      <c r="K6" s="19">
        <f>East!L2</f>
        <v>3</v>
      </c>
      <c r="N6" s="18">
        <v>1</v>
      </c>
      <c r="O6" s="8" t="str">
        <f>West!B2</f>
        <v>Utah Jazz </v>
      </c>
      <c r="P6" s="8">
        <f>West!C2</f>
        <v>27</v>
      </c>
      <c r="Q6" s="8">
        <f>West!D2</f>
        <v>9</v>
      </c>
      <c r="R6" s="9">
        <f>West!E2</f>
        <v>0.75</v>
      </c>
      <c r="S6" s="24" t="str">
        <f>West!F2</f>
        <v>—</v>
      </c>
      <c r="T6" s="8">
        <f>West!G2</f>
        <v>116.6</v>
      </c>
      <c r="U6" s="8">
        <f>West!H2</f>
        <v>107.8</v>
      </c>
      <c r="V6" s="9">
        <f>West!J2</f>
        <v>0.78366915778063162</v>
      </c>
      <c r="W6" s="10">
        <f>West!K2</f>
        <v>-3.366915778063162E-2</v>
      </c>
      <c r="X6" s="19">
        <f>West!L2</f>
        <v>1</v>
      </c>
    </row>
    <row r="7" spans="1:24" x14ac:dyDescent="0.25">
      <c r="A7" s="18">
        <v>2</v>
      </c>
      <c r="B7" s="8" t="str">
        <f>East!B3</f>
        <v>Brooklyn Nets </v>
      </c>
      <c r="C7" s="8">
        <f>East!C3</f>
        <v>24</v>
      </c>
      <c r="D7" s="8">
        <f>East!D3</f>
        <v>13</v>
      </c>
      <c r="E7" s="9">
        <f>East!E3</f>
        <v>0.64900000000000002</v>
      </c>
      <c r="F7" s="24" t="str">
        <f>East!F3</f>
        <v>0.5</v>
      </c>
      <c r="G7" s="8">
        <f>East!G3</f>
        <v>121.1</v>
      </c>
      <c r="H7" s="8">
        <f>East!H3</f>
        <v>116.1</v>
      </c>
      <c r="I7" s="9">
        <f>East!J3</f>
        <v>0.66633008623887702</v>
      </c>
      <c r="J7" s="10">
        <f>East!K3</f>
        <v>-1.7330086238876996E-2</v>
      </c>
      <c r="K7" s="19">
        <f>East!L3</f>
        <v>2</v>
      </c>
      <c r="N7" s="18">
        <v>2</v>
      </c>
      <c r="O7" s="8" t="str">
        <f>West!B3</f>
        <v>Phoenix Suns </v>
      </c>
      <c r="P7" s="8">
        <f>West!C3</f>
        <v>24</v>
      </c>
      <c r="Q7" s="8">
        <f>West!D3</f>
        <v>11</v>
      </c>
      <c r="R7" s="9">
        <f>West!E3</f>
        <v>0.68600000000000005</v>
      </c>
      <c r="S7" s="24" t="str">
        <f>West!F3</f>
        <v>2.5</v>
      </c>
      <c r="T7" s="8">
        <f>West!G3</f>
        <v>113.6</v>
      </c>
      <c r="U7" s="8">
        <f>West!H3</f>
        <v>107.1</v>
      </c>
      <c r="V7" s="9">
        <f>West!J3</f>
        <v>0.72441723754756948</v>
      </c>
      <c r="W7" s="10">
        <f>West!K3</f>
        <v>-3.8417237547569427E-2</v>
      </c>
      <c r="X7" s="19">
        <f>West!L3</f>
        <v>2</v>
      </c>
    </row>
    <row r="8" spans="1:24" x14ac:dyDescent="0.25">
      <c r="A8" s="18">
        <v>3</v>
      </c>
      <c r="B8" s="8" t="str">
        <f>East!B4</f>
        <v>Milwaukee Bucks </v>
      </c>
      <c r="C8" s="8">
        <f>East!C4</f>
        <v>22</v>
      </c>
      <c r="D8" s="8">
        <f>East!D4</f>
        <v>14</v>
      </c>
      <c r="E8" s="9">
        <f>East!E4</f>
        <v>0.61099999999999999</v>
      </c>
      <c r="F8" s="24" t="str">
        <f>East!F4</f>
        <v>2.0</v>
      </c>
      <c r="G8" s="8">
        <f>East!G4</f>
        <v>118.8</v>
      </c>
      <c r="H8" s="8">
        <f>East!H4</f>
        <v>112.5</v>
      </c>
      <c r="I8" s="9">
        <f>East!J4</f>
        <v>0.70966865533751955</v>
      </c>
      <c r="J8" s="10">
        <f>East!K4</f>
        <v>-9.8668655337519562E-2</v>
      </c>
      <c r="K8" s="19">
        <f>East!L4</f>
        <v>1</v>
      </c>
      <c r="N8" s="18">
        <v>3</v>
      </c>
      <c r="O8" s="8" t="str">
        <f>West!B4</f>
        <v>Los Angeles Lakers </v>
      </c>
      <c r="P8" s="8">
        <f>West!C4</f>
        <v>24</v>
      </c>
      <c r="Q8" s="8">
        <f>West!D4</f>
        <v>13</v>
      </c>
      <c r="R8" s="9">
        <f>West!E4</f>
        <v>0.64900000000000002</v>
      </c>
      <c r="S8" s="24" t="str">
        <f>West!F4</f>
        <v>3.5</v>
      </c>
      <c r="T8" s="8">
        <f>West!G4</f>
        <v>111.4</v>
      </c>
      <c r="U8" s="8">
        <f>West!H4</f>
        <v>106.3</v>
      </c>
      <c r="V8" s="9">
        <f>West!J4</f>
        <v>0.68323591514862614</v>
      </c>
      <c r="W8" s="10">
        <f>West!K4</f>
        <v>-3.4235915148626117E-2</v>
      </c>
      <c r="X8" s="19">
        <f>West!L4</f>
        <v>4</v>
      </c>
    </row>
    <row r="9" spans="1:24" x14ac:dyDescent="0.25">
      <c r="A9" s="18">
        <v>4</v>
      </c>
      <c r="B9" s="8" t="str">
        <f>East!B5</f>
        <v>Boston Celtics </v>
      </c>
      <c r="C9" s="8">
        <f>East!C5</f>
        <v>19</v>
      </c>
      <c r="D9" s="8">
        <f>East!D5</f>
        <v>17</v>
      </c>
      <c r="E9" s="9">
        <f>East!E5</f>
        <v>0.52800000000000002</v>
      </c>
      <c r="F9" s="24" t="str">
        <f>East!F5</f>
        <v>5.0</v>
      </c>
      <c r="G9" s="8">
        <f>East!G5</f>
        <v>111.7</v>
      </c>
      <c r="H9" s="8">
        <f>East!H5</f>
        <v>110.8</v>
      </c>
      <c r="I9" s="9">
        <f>East!J5</f>
        <v>0.53312640013331192</v>
      </c>
      <c r="J9" s="10">
        <f>East!K5</f>
        <v>-5.1264001333118925E-3</v>
      </c>
      <c r="K9" s="19">
        <f>East!L5</f>
        <v>5</v>
      </c>
      <c r="N9" s="18">
        <v>4</v>
      </c>
      <c r="O9" s="8" t="str">
        <f>West!B5</f>
        <v>Los Angeles Clippers </v>
      </c>
      <c r="P9" s="8">
        <f>West!C5</f>
        <v>24</v>
      </c>
      <c r="Q9" s="8">
        <f>West!D5</f>
        <v>14</v>
      </c>
      <c r="R9" s="9">
        <f>West!E5</f>
        <v>0.63200000000000001</v>
      </c>
      <c r="S9" s="24" t="str">
        <f>West!F5</f>
        <v>4.0</v>
      </c>
      <c r="T9" s="8">
        <f>West!G5</f>
        <v>114.8</v>
      </c>
      <c r="U9" s="8">
        <f>West!H5</f>
        <v>109.4</v>
      </c>
      <c r="V9" s="9">
        <f>West!J5</f>
        <v>0.68789816150180372</v>
      </c>
      <c r="W9" s="10">
        <f>West!K5</f>
        <v>-5.5898161501803711E-2</v>
      </c>
      <c r="X9" s="19">
        <f>West!L5</f>
        <v>3</v>
      </c>
    </row>
    <row r="10" spans="1:24" x14ac:dyDescent="0.25">
      <c r="A10" s="18">
        <v>5</v>
      </c>
      <c r="B10" s="8" t="str">
        <f>East!B6</f>
        <v>New York Knicks </v>
      </c>
      <c r="C10" s="8">
        <f>East!C6</f>
        <v>19</v>
      </c>
      <c r="D10" s="8">
        <f>East!D6</f>
        <v>18</v>
      </c>
      <c r="E10" s="9">
        <f>East!E6</f>
        <v>0.51400000000000001</v>
      </c>
      <c r="F10" s="24" t="str">
        <f>East!F6</f>
        <v>5.5</v>
      </c>
      <c r="G10" s="8">
        <f>East!G6</f>
        <v>104.9</v>
      </c>
      <c r="H10" s="8">
        <f>East!H6</f>
        <v>104.4</v>
      </c>
      <c r="I10" s="9">
        <f>East!J6</f>
        <v>0.51958282851140414</v>
      </c>
      <c r="J10" s="10">
        <f>East!K6</f>
        <v>-5.5828285114041254E-3</v>
      </c>
      <c r="K10" s="19">
        <f>East!L6</f>
        <v>6</v>
      </c>
      <c r="N10" s="18">
        <v>5</v>
      </c>
      <c r="O10" s="8" t="str">
        <f>West!B6</f>
        <v>Portland Trail Blazers </v>
      </c>
      <c r="P10" s="8">
        <f>West!C6</f>
        <v>21</v>
      </c>
      <c r="Q10" s="8">
        <f>West!D6</f>
        <v>14</v>
      </c>
      <c r="R10" s="9">
        <f>West!E6</f>
        <v>0.6</v>
      </c>
      <c r="S10" s="24" t="str">
        <f>West!F6</f>
        <v>5.5</v>
      </c>
      <c r="T10" s="8">
        <f>West!G6</f>
        <v>114.5</v>
      </c>
      <c r="U10" s="8">
        <f>West!H6</f>
        <v>114.9</v>
      </c>
      <c r="V10" s="9">
        <f>West!J6</f>
        <v>0.48570300905485891</v>
      </c>
      <c r="W10" s="10">
        <f>West!K6</f>
        <v>0.11429699094514106</v>
      </c>
      <c r="X10" s="19">
        <f>West!L6</f>
        <v>11</v>
      </c>
    </row>
    <row r="11" spans="1:24" x14ac:dyDescent="0.25">
      <c r="A11" s="18">
        <v>6</v>
      </c>
      <c r="B11" s="8" t="str">
        <f>East!B7</f>
        <v>Miami Heat </v>
      </c>
      <c r="C11" s="8">
        <f>East!C7</f>
        <v>18</v>
      </c>
      <c r="D11" s="8">
        <f>East!D7</f>
        <v>18</v>
      </c>
      <c r="E11" s="9">
        <f>East!E7</f>
        <v>0.5</v>
      </c>
      <c r="F11" s="24" t="str">
        <f>East!F7</f>
        <v>6.0</v>
      </c>
      <c r="G11" s="8">
        <f>East!G7</f>
        <v>106.8</v>
      </c>
      <c r="H11" s="8">
        <f>East!H7</f>
        <v>108.4</v>
      </c>
      <c r="I11" s="9">
        <f>East!J7</f>
        <v>0.43932134056828853</v>
      </c>
      <c r="J11" s="10">
        <f>East!K7</f>
        <v>6.0678659431711468E-2</v>
      </c>
      <c r="K11" s="19">
        <f>East!L7</f>
        <v>11</v>
      </c>
      <c r="N11" s="18">
        <v>6</v>
      </c>
      <c r="O11" s="8" t="str">
        <f>West!B7</f>
        <v>Denver Nuggets </v>
      </c>
      <c r="P11" s="8">
        <f>West!C7</f>
        <v>21</v>
      </c>
      <c r="Q11" s="8">
        <f>West!D7</f>
        <v>15</v>
      </c>
      <c r="R11" s="9">
        <f>West!E7</f>
        <v>0.58299999999999996</v>
      </c>
      <c r="S11" s="24" t="str">
        <f>West!F7</f>
        <v>6.0</v>
      </c>
      <c r="T11" s="8">
        <f>West!G7</f>
        <v>115.9</v>
      </c>
      <c r="U11" s="8">
        <f>West!H7</f>
        <v>110.6</v>
      </c>
      <c r="V11" s="9">
        <f>West!J7</f>
        <v>0.68304282954162754</v>
      </c>
      <c r="W11" s="10">
        <f>West!K7</f>
        <v>-0.10004282954162758</v>
      </c>
      <c r="X11" s="19">
        <f>West!L7</f>
        <v>5</v>
      </c>
    </row>
    <row r="12" spans="1:24" x14ac:dyDescent="0.25">
      <c r="A12" s="18">
        <v>7</v>
      </c>
      <c r="B12" s="8" t="str">
        <f>East!B8</f>
        <v>Charlotte Hornets </v>
      </c>
      <c r="C12" s="8">
        <f>East!C8</f>
        <v>17</v>
      </c>
      <c r="D12" s="8">
        <f>East!D8</f>
        <v>18</v>
      </c>
      <c r="E12" s="9">
        <f>East!E8</f>
        <v>0.48599999999999999</v>
      </c>
      <c r="F12" s="24" t="str">
        <f>East!F8</f>
        <v>6.5</v>
      </c>
      <c r="G12" s="8">
        <f>East!G8</f>
        <v>112.7</v>
      </c>
      <c r="H12" s="8">
        <f>East!H8</f>
        <v>113.2</v>
      </c>
      <c r="I12" s="9">
        <f>East!J8</f>
        <v>0.48185488398163456</v>
      </c>
      <c r="J12" s="10">
        <f>East!K8</f>
        <v>4.1451160183654245E-3</v>
      </c>
      <c r="K12" s="19">
        <f>East!L8</f>
        <v>10</v>
      </c>
      <c r="N12" s="18">
        <v>7</v>
      </c>
      <c r="O12" s="8" t="str">
        <f>West!B8</f>
        <v>San Antonio Spurs </v>
      </c>
      <c r="P12" s="8">
        <f>West!C8</f>
        <v>18</v>
      </c>
      <c r="Q12" s="8">
        <f>West!D8</f>
        <v>15</v>
      </c>
      <c r="R12" s="9">
        <f>West!E8</f>
        <v>0.54500000000000004</v>
      </c>
      <c r="S12" s="24" t="str">
        <f>West!F8</f>
        <v>7.5</v>
      </c>
      <c r="T12" s="8">
        <f>West!G8</f>
        <v>110.8</v>
      </c>
      <c r="U12" s="8">
        <f>West!H8</f>
        <v>111.1</v>
      </c>
      <c r="V12" s="9">
        <f>West!J8</f>
        <v>0.48891363789731063</v>
      </c>
      <c r="W12" s="10">
        <f>West!K8</f>
        <v>5.6086362102689413E-2</v>
      </c>
      <c r="X12" s="19">
        <f>West!L8</f>
        <v>9</v>
      </c>
    </row>
    <row r="13" spans="1:24" s="7" customFormat="1" ht="15.75" thickBot="1" x14ac:dyDescent="0.3">
      <c r="A13" s="20">
        <v>8</v>
      </c>
      <c r="B13" s="15" t="str">
        <f>East!B9</f>
        <v>Toronto Raptors </v>
      </c>
      <c r="C13" s="15">
        <f>East!C9</f>
        <v>17</v>
      </c>
      <c r="D13" s="15">
        <f>East!D9</f>
        <v>19</v>
      </c>
      <c r="E13" s="16">
        <f>East!E9</f>
        <v>0.47199999999999998</v>
      </c>
      <c r="F13" s="35" t="str">
        <f>East!F9</f>
        <v>7.0</v>
      </c>
      <c r="G13" s="15">
        <f>East!G9</f>
        <v>113</v>
      </c>
      <c r="H13" s="15">
        <f>East!H9</f>
        <v>111.6</v>
      </c>
      <c r="I13" s="16">
        <f>East!J9</f>
        <v>0.55094601107712182</v>
      </c>
      <c r="J13" s="17">
        <f>East!K9</f>
        <v>-7.8946011077121847E-2</v>
      </c>
      <c r="K13" s="21">
        <f>East!L9</f>
        <v>4</v>
      </c>
      <c r="L13" s="11"/>
      <c r="M13" s="11"/>
      <c r="N13" s="20">
        <v>8</v>
      </c>
      <c r="O13" s="15" t="str">
        <f>West!B9</f>
        <v>Dallas Mavericks </v>
      </c>
      <c r="P13" s="15">
        <f>West!C9</f>
        <v>19</v>
      </c>
      <c r="Q13" s="15">
        <f>West!D9</f>
        <v>16</v>
      </c>
      <c r="R13" s="16">
        <f>West!E9</f>
        <v>0.54300000000000004</v>
      </c>
      <c r="S13" s="35" t="str">
        <f>West!F9</f>
        <v>7.5</v>
      </c>
      <c r="T13" s="15">
        <f>West!G9</f>
        <v>111.9</v>
      </c>
      <c r="U13" s="15">
        <f>West!H9</f>
        <v>112.1</v>
      </c>
      <c r="V13" s="16">
        <f>West!J9</f>
        <v>0.49267770753769835</v>
      </c>
      <c r="W13" s="17">
        <f>West!K9</f>
        <v>5.0322292462301688E-2</v>
      </c>
      <c r="X13" s="21">
        <f>West!L9</f>
        <v>8</v>
      </c>
    </row>
    <row r="14" spans="1:24" x14ac:dyDescent="0.25">
      <c r="A14" s="22">
        <v>9</v>
      </c>
      <c r="B14" s="12" t="str">
        <f>East!B10</f>
        <v>Chicago Bulls </v>
      </c>
      <c r="C14" s="12">
        <f>East!C10</f>
        <v>16</v>
      </c>
      <c r="D14" s="12">
        <f>East!D10</f>
        <v>18</v>
      </c>
      <c r="E14" s="13">
        <f>East!E10</f>
        <v>0.47099999999999997</v>
      </c>
      <c r="F14" s="36" t="str">
        <f>East!F10</f>
        <v>7.0</v>
      </c>
      <c r="G14" s="12">
        <f>East!G10</f>
        <v>115</v>
      </c>
      <c r="H14" s="12">
        <f>East!H10</f>
        <v>115.2</v>
      </c>
      <c r="I14" s="13">
        <f>East!J10</f>
        <v>0.4928748926165491</v>
      </c>
      <c r="J14" s="14">
        <f>East!K10</f>
        <v>-2.1874892616549124E-2</v>
      </c>
      <c r="K14" s="23">
        <f>East!L10</f>
        <v>9</v>
      </c>
      <c r="L14" s="11"/>
      <c r="M14" s="11"/>
      <c r="N14" s="22">
        <v>9</v>
      </c>
      <c r="O14" s="12" t="str">
        <f>West!B10</f>
        <v>Memphis Grizzlies </v>
      </c>
      <c r="P14" s="12">
        <f>West!C10</f>
        <v>17</v>
      </c>
      <c r="Q14" s="12">
        <f>West!D10</f>
        <v>16</v>
      </c>
      <c r="R14" s="13">
        <f>West!E10</f>
        <v>0.51500000000000001</v>
      </c>
      <c r="S14" s="36" t="str">
        <f>West!F10</f>
        <v>8.5</v>
      </c>
      <c r="T14" s="12">
        <f>West!G10</f>
        <v>112.1</v>
      </c>
      <c r="U14" s="12">
        <f>West!H10</f>
        <v>110.8</v>
      </c>
      <c r="V14" s="13">
        <f>West!J10</f>
        <v>0.54768833203754486</v>
      </c>
      <c r="W14" s="14">
        <f>West!K10</f>
        <v>-3.2688332037544843E-2</v>
      </c>
      <c r="X14" s="23">
        <f>West!L10</f>
        <v>6</v>
      </c>
    </row>
    <row r="15" spans="1:24" s="7" customFormat="1" ht="15.75" thickBot="1" x14ac:dyDescent="0.3">
      <c r="A15" s="18">
        <v>10</v>
      </c>
      <c r="B15" s="8" t="str">
        <f>East!B11</f>
        <v>Indiana Pacers </v>
      </c>
      <c r="C15" s="8">
        <f>East!C11</f>
        <v>16</v>
      </c>
      <c r="D15" s="8">
        <f>East!D11</f>
        <v>19</v>
      </c>
      <c r="E15" s="9">
        <f>East!E11</f>
        <v>0.45700000000000002</v>
      </c>
      <c r="F15" s="24" t="str">
        <f>East!F11</f>
        <v>7.5</v>
      </c>
      <c r="G15" s="8">
        <f>East!G11</f>
        <v>112.8</v>
      </c>
      <c r="H15" s="8">
        <f>East!H11</f>
        <v>112.5</v>
      </c>
      <c r="I15" s="9">
        <f>East!J11</f>
        <v>0.51091911133120493</v>
      </c>
      <c r="J15" s="10">
        <f>East!K11</f>
        <v>-5.3919111331204916E-2</v>
      </c>
      <c r="K15" s="19">
        <f>East!L11</f>
        <v>8</v>
      </c>
      <c r="L15" s="11"/>
      <c r="M15" s="11"/>
      <c r="N15" s="18">
        <v>10</v>
      </c>
      <c r="O15" s="8" t="str">
        <f>West!B11</f>
        <v>Golden State Warriors </v>
      </c>
      <c r="P15" s="8">
        <f>West!C11</f>
        <v>19</v>
      </c>
      <c r="Q15" s="8">
        <f>West!D11</f>
        <v>18</v>
      </c>
      <c r="R15" s="9">
        <f>West!E11</f>
        <v>0.51400000000000001</v>
      </c>
      <c r="S15" s="24" t="str">
        <f>West!F11</f>
        <v>8.5</v>
      </c>
      <c r="T15" s="8">
        <f>West!G11</f>
        <v>113.4</v>
      </c>
      <c r="U15" s="8">
        <f>West!H11</f>
        <v>112.9</v>
      </c>
      <c r="V15" s="9">
        <f>West!J11</f>
        <v>0.51811307133098117</v>
      </c>
      <c r="W15" s="10">
        <f>West!K11</f>
        <v>-4.1130713309811551E-3</v>
      </c>
      <c r="X15" s="19">
        <f>West!L11</f>
        <v>7</v>
      </c>
    </row>
    <row r="16" spans="1:24" x14ac:dyDescent="0.25">
      <c r="A16" s="18">
        <v>11</v>
      </c>
      <c r="B16" s="8" t="str">
        <f>East!B12</f>
        <v>Atlanta Hawks </v>
      </c>
      <c r="C16" s="8">
        <f>East!C12</f>
        <v>16</v>
      </c>
      <c r="D16" s="8">
        <f>East!D12</f>
        <v>20</v>
      </c>
      <c r="E16" s="9">
        <f>East!E12</f>
        <v>0.44400000000000001</v>
      </c>
      <c r="F16" s="24" t="str">
        <f>East!F12</f>
        <v>8.0</v>
      </c>
      <c r="G16" s="8">
        <f>East!G12</f>
        <v>112.6</v>
      </c>
      <c r="H16" s="8">
        <f>East!H12</f>
        <v>112.2</v>
      </c>
      <c r="I16" s="9">
        <f>East!J12</f>
        <v>0.51458938122407183</v>
      </c>
      <c r="J16" s="10">
        <f>East!K12</f>
        <v>-7.0589381224071823E-2</v>
      </c>
      <c r="K16" s="19">
        <f>East!L12</f>
        <v>7</v>
      </c>
      <c r="L16" s="11"/>
      <c r="M16" s="11"/>
      <c r="N16" s="18">
        <v>11</v>
      </c>
      <c r="O16" s="8" t="str">
        <f>West!B12</f>
        <v>Oklahoma City Thunder </v>
      </c>
      <c r="P16" s="8">
        <f>West!C12</f>
        <v>15</v>
      </c>
      <c r="Q16" s="8">
        <f>West!D12</f>
        <v>21</v>
      </c>
      <c r="R16" s="9">
        <f>West!E12</f>
        <v>0.41699999999999998</v>
      </c>
      <c r="S16" s="24" t="str">
        <f>West!F12</f>
        <v>12.0</v>
      </c>
      <c r="T16" s="8">
        <f>West!G12</f>
        <v>105.9</v>
      </c>
      <c r="U16" s="8">
        <f>West!H12</f>
        <v>111.4</v>
      </c>
      <c r="V16" s="9">
        <f>West!J12</f>
        <v>0.30353446165278763</v>
      </c>
      <c r="W16" s="10">
        <f>West!K12</f>
        <v>0.11346553834721235</v>
      </c>
      <c r="X16" s="19">
        <f>West!L12</f>
        <v>14</v>
      </c>
    </row>
    <row r="17" spans="1:34" x14ac:dyDescent="0.25">
      <c r="A17" s="18">
        <v>12</v>
      </c>
      <c r="B17" s="8" t="str">
        <f>East!B13</f>
        <v>Washington Wizards </v>
      </c>
      <c r="C17" s="8">
        <f>East!C13</f>
        <v>14</v>
      </c>
      <c r="D17" s="8">
        <f>East!D13</f>
        <v>21</v>
      </c>
      <c r="E17" s="9">
        <f>East!E13</f>
        <v>0.4</v>
      </c>
      <c r="F17" s="24" t="str">
        <f>East!F13</f>
        <v>9.5</v>
      </c>
      <c r="G17" s="8">
        <f>East!G13</f>
        <v>114.7</v>
      </c>
      <c r="H17" s="8">
        <f>East!H13</f>
        <v>119.4</v>
      </c>
      <c r="I17" s="9">
        <f>East!J13</f>
        <v>0.34102380384710623</v>
      </c>
      <c r="J17" s="10">
        <f>East!K13</f>
        <v>5.8976196152893789E-2</v>
      </c>
      <c r="K17" s="19">
        <f>East!L13</f>
        <v>13</v>
      </c>
      <c r="N17" s="18">
        <v>12</v>
      </c>
      <c r="O17" s="8" t="str">
        <f>West!B13</f>
        <v>New Orleans Pelicans </v>
      </c>
      <c r="P17" s="8">
        <f>West!C13</f>
        <v>15</v>
      </c>
      <c r="Q17" s="8">
        <f>West!D13</f>
        <v>21</v>
      </c>
      <c r="R17" s="9">
        <f>West!E13</f>
        <v>0.41699999999999998</v>
      </c>
      <c r="S17" s="24" t="str">
        <f>West!F13</f>
        <v>12.0</v>
      </c>
      <c r="T17" s="8">
        <f>West!G13</f>
        <v>115.5</v>
      </c>
      <c r="U17" s="8">
        <f>West!H13</f>
        <v>115.9</v>
      </c>
      <c r="V17" s="9">
        <f>West!J13</f>
        <v>0.48582651230473217</v>
      </c>
      <c r="W17" s="10">
        <f>West!K13</f>
        <v>-6.882651230473219E-2</v>
      </c>
      <c r="X17" s="19">
        <f>West!L13</f>
        <v>10</v>
      </c>
    </row>
    <row r="18" spans="1:34" x14ac:dyDescent="0.25">
      <c r="A18" s="18">
        <v>13</v>
      </c>
      <c r="B18" s="8" t="str">
        <f>East!B14</f>
        <v>Cleveland Cavaliers </v>
      </c>
      <c r="C18" s="8">
        <f>East!C14</f>
        <v>14</v>
      </c>
      <c r="D18" s="8">
        <f>East!D14</f>
        <v>22</v>
      </c>
      <c r="E18" s="9">
        <f>East!E14</f>
        <v>0.38900000000000001</v>
      </c>
      <c r="F18" s="24" t="str">
        <f>East!F14</f>
        <v>10.0</v>
      </c>
      <c r="G18" s="8">
        <f>East!G14</f>
        <v>104.6</v>
      </c>
      <c r="H18" s="8">
        <f>East!H14</f>
        <v>112.1</v>
      </c>
      <c r="I18" s="9">
        <f>East!J14</f>
        <v>0.24307788167224093</v>
      </c>
      <c r="J18" s="10">
        <f>East!K14</f>
        <v>0.14592211832775909</v>
      </c>
      <c r="K18" s="19">
        <f>East!L14</f>
        <v>15</v>
      </c>
      <c r="N18" s="18">
        <v>13</v>
      </c>
      <c r="O18" s="8" t="str">
        <f>West!B14</f>
        <v>Sacramento Kings </v>
      </c>
      <c r="P18" s="8">
        <f>West!C14</f>
        <v>14</v>
      </c>
      <c r="Q18" s="8">
        <f>West!D14</f>
        <v>22</v>
      </c>
      <c r="R18" s="9">
        <f>West!E14</f>
        <v>0.38900000000000001</v>
      </c>
      <c r="S18" s="24" t="str">
        <f>West!F14</f>
        <v>13.0</v>
      </c>
      <c r="T18" s="8">
        <f>West!G14</f>
        <v>114.7</v>
      </c>
      <c r="U18" s="8">
        <f>West!H14</f>
        <v>120.4</v>
      </c>
      <c r="V18" s="9">
        <f>West!J14</f>
        <v>0.31097983665812401</v>
      </c>
      <c r="W18" s="10">
        <f>West!K14</f>
        <v>7.8020163341876003E-2</v>
      </c>
      <c r="X18" s="19">
        <f>West!L14</f>
        <v>13</v>
      </c>
    </row>
    <row r="19" spans="1:34" x14ac:dyDescent="0.25">
      <c r="A19" s="18">
        <v>14</v>
      </c>
      <c r="B19" s="8" t="str">
        <f>East!B15</f>
        <v>Orlando Magic </v>
      </c>
      <c r="C19" s="8">
        <f>East!C15</f>
        <v>13</v>
      </c>
      <c r="D19" s="8">
        <f>East!D15</f>
        <v>23</v>
      </c>
      <c r="E19" s="9">
        <f>East!E15</f>
        <v>0.36099999999999999</v>
      </c>
      <c r="F19" s="24" t="str">
        <f>East!F15</f>
        <v>11.0</v>
      </c>
      <c r="G19" s="8">
        <f>East!G15</f>
        <v>105.6</v>
      </c>
      <c r="H19" s="8">
        <f>East!H15</f>
        <v>112.2</v>
      </c>
      <c r="I19" s="9">
        <f>East!J15</f>
        <v>0.27003757520772437</v>
      </c>
      <c r="J19" s="10">
        <f>East!K15</f>
        <v>9.096242479227562E-2</v>
      </c>
      <c r="K19" s="19">
        <f>East!L15</f>
        <v>14</v>
      </c>
      <c r="N19" s="18">
        <v>14</v>
      </c>
      <c r="O19" s="8" t="str">
        <f>West!B15</f>
        <v>Houston Rockets </v>
      </c>
      <c r="P19" s="8">
        <f>West!C15</f>
        <v>11</v>
      </c>
      <c r="Q19" s="8">
        <f>West!D15</f>
        <v>23</v>
      </c>
      <c r="R19" s="9">
        <f>West!E15</f>
        <v>0.32400000000000001</v>
      </c>
      <c r="S19" s="24" t="str">
        <f>West!F15</f>
        <v>15.0</v>
      </c>
      <c r="T19" s="8">
        <f>West!G15</f>
        <v>107.6</v>
      </c>
      <c r="U19" s="8">
        <f>West!H15</f>
        <v>112.8</v>
      </c>
      <c r="V19" s="9">
        <f>West!J15</f>
        <v>0.31558080809193417</v>
      </c>
      <c r="W19" s="10">
        <f>West!K15</f>
        <v>8.4191919080658373E-3</v>
      </c>
      <c r="X19" s="19">
        <f>West!L15</f>
        <v>12</v>
      </c>
    </row>
    <row r="20" spans="1:34" ht="15.75" thickBot="1" x14ac:dyDescent="0.3">
      <c r="A20" s="20">
        <v>15</v>
      </c>
      <c r="B20" s="15" t="str">
        <f>East!B16</f>
        <v>Detroit Pistons </v>
      </c>
      <c r="C20" s="15">
        <f>East!C16</f>
        <v>10</v>
      </c>
      <c r="D20" s="15">
        <f>East!D16</f>
        <v>26</v>
      </c>
      <c r="E20" s="16">
        <f>East!E16</f>
        <v>0.27800000000000002</v>
      </c>
      <c r="F20" s="35" t="str">
        <f>East!F16</f>
        <v>14.0</v>
      </c>
      <c r="G20" s="15">
        <f>East!G16</f>
        <v>108</v>
      </c>
      <c r="H20" s="15">
        <f>East!H16</f>
        <v>111.9</v>
      </c>
      <c r="I20" s="16">
        <f>East!J16</f>
        <v>0.35849780709715673</v>
      </c>
      <c r="J20" s="17">
        <f>East!K16</f>
        <v>-8.0497807097156704E-2</v>
      </c>
      <c r="K20" s="21">
        <f>East!L16</f>
        <v>12</v>
      </c>
      <c r="N20" s="20">
        <v>15</v>
      </c>
      <c r="O20" s="15" t="str">
        <f>West!B16</f>
        <v>Minnesota Timberwolves </v>
      </c>
      <c r="P20" s="15">
        <f>West!C16</f>
        <v>7</v>
      </c>
      <c r="Q20" s="15">
        <f>West!D16</f>
        <v>29</v>
      </c>
      <c r="R20" s="16">
        <f>West!E16</f>
        <v>0.19400000000000001</v>
      </c>
      <c r="S20" s="35" t="str">
        <f>West!F16</f>
        <v>20.0</v>
      </c>
      <c r="T20" s="15">
        <f>West!G16</f>
        <v>107.9</v>
      </c>
      <c r="U20" s="15">
        <f>West!H16</f>
        <v>117</v>
      </c>
      <c r="V20" s="16">
        <f>West!J16</f>
        <v>0.20946655018826774</v>
      </c>
      <c r="W20" s="17">
        <f>West!K16</f>
        <v>-1.546655018826773E-2</v>
      </c>
      <c r="X20" s="21">
        <f>West!L16</f>
        <v>15</v>
      </c>
    </row>
    <row r="22" spans="1:34" s="7" customFormat="1" ht="15.75" thickBot="1" x14ac:dyDescent="0.3"/>
    <row r="24" spans="1:34" ht="15.75" thickBot="1" x14ac:dyDescent="0.3"/>
    <row r="25" spans="1:34" x14ac:dyDescent="0.25">
      <c r="H25" s="211" t="s">
        <v>60</v>
      </c>
      <c r="I25" s="212"/>
      <c r="J25" s="212"/>
      <c r="K25" s="212"/>
      <c r="L25" s="213"/>
    </row>
    <row r="26" spans="1:34" ht="15.75" thickBot="1" x14ac:dyDescent="0.3">
      <c r="H26" s="214"/>
      <c r="I26" s="215"/>
      <c r="J26" s="215"/>
      <c r="K26" s="215"/>
      <c r="L26" s="216"/>
      <c r="U26" t="s">
        <v>64</v>
      </c>
    </row>
    <row r="27" spans="1:34" ht="21.75" thickBot="1" x14ac:dyDescent="0.4">
      <c r="A27" s="205" t="s">
        <v>57</v>
      </c>
      <c r="B27" s="206"/>
      <c r="C27" s="206"/>
      <c r="D27" s="206"/>
      <c r="E27" s="206"/>
      <c r="F27" s="207"/>
      <c r="H27" s="217"/>
      <c r="I27" s="218"/>
      <c r="J27" s="218"/>
      <c r="K27" s="218"/>
      <c r="L27" s="219"/>
      <c r="N27" s="208" t="s">
        <v>58</v>
      </c>
      <c r="O27" s="209"/>
      <c r="P27" s="209"/>
      <c r="Q27" s="209"/>
      <c r="R27" s="209"/>
      <c r="S27" s="210"/>
      <c r="W27" s="37">
        <v>44243</v>
      </c>
      <c r="X27" s="37">
        <v>44250</v>
      </c>
      <c r="Y27" s="37">
        <v>44257</v>
      </c>
      <c r="Z27" s="37">
        <v>44264</v>
      </c>
      <c r="AA27" s="37">
        <f ca="1">TODAY()</f>
        <v>44266</v>
      </c>
      <c r="AB27" s="27"/>
      <c r="AC27" s="27"/>
      <c r="AD27" s="27"/>
      <c r="AE27" s="27"/>
      <c r="AF27" s="27"/>
      <c r="AG27" s="27"/>
      <c r="AH27" s="27"/>
    </row>
    <row r="28" spans="1:34" x14ac:dyDescent="0.25">
      <c r="A28" s="25"/>
      <c r="B28" s="58" t="str">
        <f>Eastern_Conference[[#Headers],[Teams]]</f>
        <v>Teams</v>
      </c>
      <c r="C28" s="58" t="str">
        <f>Eastern_Conference[[#Headers],[W]]</f>
        <v>W</v>
      </c>
      <c r="D28" s="58" t="str">
        <f>Eastern_Conference[[#Headers],[L]]</f>
        <v>L</v>
      </c>
      <c r="E28" s="58" t="str">
        <f>Eastern_Conference[[#Headers],[WIN PCT]]</f>
        <v>WIN PCT</v>
      </c>
      <c r="F28" s="59" t="str">
        <f>Eastern_Conference[[#Headers],[GB]]</f>
        <v>GB</v>
      </c>
      <c r="N28" s="25"/>
      <c r="O28" s="58" t="str">
        <f>Eastern_Conference[[#Headers],[Teams]]</f>
        <v>Teams</v>
      </c>
      <c r="P28" s="58" t="str">
        <f>Eastern_Conference[[#Headers],[W]]</f>
        <v>W</v>
      </c>
      <c r="Q28" s="58" t="str">
        <f>Eastern_Conference[[#Headers],[L]]</f>
        <v>L</v>
      </c>
      <c r="R28" s="58" t="str">
        <f>Eastern_Conference[[#Headers],[WIN PCT]]</f>
        <v>WIN PCT</v>
      </c>
      <c r="S28" s="59" t="str">
        <f>Eastern_Conference[[#Headers],[GB]]</f>
        <v>GB</v>
      </c>
      <c r="U28" t="s">
        <v>10</v>
      </c>
      <c r="W28">
        <v>1</v>
      </c>
      <c r="X28">
        <v>1</v>
      </c>
      <c r="Y28">
        <v>1</v>
      </c>
      <c r="Z28">
        <v>1</v>
      </c>
      <c r="AA28">
        <f>INDEX($A$29:$A$43,MATCH($U28,$B$29:$B$43,0))</f>
        <v>1</v>
      </c>
    </row>
    <row r="29" spans="1:34" ht="15.75" thickBot="1" x14ac:dyDescent="0.3">
      <c r="A29" s="18">
        <v>1</v>
      </c>
      <c r="B29" s="8" t="str">
        <f>INDEX($B$6:$B$20,MATCH(A29,$K$6:$K$20,0),0)</f>
        <v>Milwaukee Bucks </v>
      </c>
      <c r="C29" s="8">
        <f>ROUND(E29*72,0)</f>
        <v>51</v>
      </c>
      <c r="D29" s="8">
        <f>72-C29</f>
        <v>21</v>
      </c>
      <c r="E29" s="9">
        <f>VLOOKUP(B29,$B$6:$K$20,8,FALSE)</f>
        <v>0.70966865533751955</v>
      </c>
      <c r="F29" s="26" t="str">
        <f>"-"</f>
        <v>-</v>
      </c>
      <c r="N29" s="18">
        <v>1</v>
      </c>
      <c r="O29" s="8" t="str">
        <f>INDEX($O$6:$O$20,MATCH(N29,$X$6:$X$20,0),0)</f>
        <v>Utah Jazz </v>
      </c>
      <c r="P29" s="8">
        <f>ROUND(R29*72,0)</f>
        <v>56</v>
      </c>
      <c r="Q29" s="8">
        <f>72-P29</f>
        <v>16</v>
      </c>
      <c r="R29" s="9">
        <f>VLOOKUP(O29,$O$6:$X$20,8,FALSE)</f>
        <v>0.78366915778063162</v>
      </c>
      <c r="S29" s="26" t="str">
        <f>"-"</f>
        <v>-</v>
      </c>
      <c r="U29" t="s">
        <v>11</v>
      </c>
      <c r="W29">
        <v>2</v>
      </c>
      <c r="X29">
        <v>2</v>
      </c>
      <c r="Y29">
        <v>2</v>
      </c>
      <c r="Z29">
        <v>2</v>
      </c>
      <c r="AA29">
        <f t="shared" ref="Z29:AA42" si="0">INDEX($A$29:$A$43,MATCH($U29,$B$29:$B$43,0))</f>
        <v>2</v>
      </c>
    </row>
    <row r="30" spans="1:34" ht="15.75" thickBot="1" x14ac:dyDescent="0.3">
      <c r="A30" s="18">
        <v>2</v>
      </c>
      <c r="B30" s="8" t="str">
        <f t="shared" ref="B30:B43" si="1">INDEX($B$6:$B$20,MATCH(A30,$K$6:$K$20,0),0)</f>
        <v>Brooklyn Nets </v>
      </c>
      <c r="C30" s="8">
        <f t="shared" ref="C30:C43" si="2">ROUND(E30*72,0)</f>
        <v>48</v>
      </c>
      <c r="D30" s="8">
        <f t="shared" ref="D30:D43" si="3">72-C30</f>
        <v>24</v>
      </c>
      <c r="E30" s="9">
        <f t="shared" ref="E30:E43" si="4">VLOOKUP(B30,$B$6:$K$20,8,FALSE)</f>
        <v>0.66633008623887702</v>
      </c>
      <c r="F30" s="19">
        <f>$C$29-C30</f>
        <v>3</v>
      </c>
      <c r="H30" s="222" t="s">
        <v>61</v>
      </c>
      <c r="I30" s="223"/>
      <c r="J30" s="28" t="s">
        <v>62</v>
      </c>
      <c r="N30" s="18">
        <v>2</v>
      </c>
      <c r="O30" s="8" t="str">
        <f t="shared" ref="O30:O43" si="5">INDEX($O$6:$O$20,MATCH(N30,$X$6:$X$20,0),0)</f>
        <v>Phoenix Suns </v>
      </c>
      <c r="P30" s="8">
        <f t="shared" ref="P30:P43" si="6">ROUND(R30*72,0)</f>
        <v>52</v>
      </c>
      <c r="Q30" s="8">
        <f t="shared" ref="Q30:Q43" si="7">72-P30</f>
        <v>20</v>
      </c>
      <c r="R30" s="9">
        <f t="shared" ref="R30:R43" si="8">VLOOKUP(O30,$O$6:$X$20,8,FALSE)</f>
        <v>0.72441723754756948</v>
      </c>
      <c r="S30" s="19">
        <f>$C$29-P30</f>
        <v>-1</v>
      </c>
      <c r="U30" t="s">
        <v>8</v>
      </c>
      <c r="W30">
        <v>3</v>
      </c>
      <c r="X30">
        <v>4</v>
      </c>
      <c r="Y30">
        <v>3</v>
      </c>
      <c r="Z30">
        <v>3</v>
      </c>
      <c r="AA30">
        <f t="shared" si="0"/>
        <v>3</v>
      </c>
    </row>
    <row r="31" spans="1:34" x14ac:dyDescent="0.25">
      <c r="A31" s="18">
        <v>3</v>
      </c>
      <c r="B31" s="8" t="str">
        <f t="shared" si="1"/>
        <v>Philadelphia 76ers </v>
      </c>
      <c r="C31" s="8">
        <f t="shared" si="2"/>
        <v>45</v>
      </c>
      <c r="D31" s="8">
        <f t="shared" si="3"/>
        <v>27</v>
      </c>
      <c r="E31" s="9">
        <f t="shared" si="4"/>
        <v>0.62441404029454339</v>
      </c>
      <c r="F31" s="19">
        <f t="shared" ref="F31:F43" si="9">$C$29-C31</f>
        <v>6</v>
      </c>
      <c r="H31" s="224" t="str">
        <f>INDEX('Gamma Prediction'!$A$2:$A$31,MATCH(J31,'Gamma Prediction'!$G$2:$G$31,0))</f>
        <v>Cleveland Cavaliers </v>
      </c>
      <c r="I31" s="225"/>
      <c r="J31" s="29">
        <f>LARGE('Gamma Prediction'!$G$2:$G$31,ROWS(H$2:H2))</f>
        <v>0.14592211832775909</v>
      </c>
      <c r="N31" s="18">
        <v>3</v>
      </c>
      <c r="O31" s="8" t="str">
        <f t="shared" si="5"/>
        <v>Los Angeles Clippers </v>
      </c>
      <c r="P31" s="8">
        <f t="shared" si="6"/>
        <v>50</v>
      </c>
      <c r="Q31" s="8">
        <f t="shared" si="7"/>
        <v>22</v>
      </c>
      <c r="R31" s="9">
        <f t="shared" si="8"/>
        <v>0.68789816150180372</v>
      </c>
      <c r="S31" s="19">
        <f t="shared" ref="S31:S43" si="10">$C$29-P31</f>
        <v>1</v>
      </c>
      <c r="U31" t="s">
        <v>18</v>
      </c>
      <c r="W31">
        <v>4</v>
      </c>
      <c r="X31">
        <v>3</v>
      </c>
      <c r="Y31">
        <v>4</v>
      </c>
      <c r="Z31">
        <v>4</v>
      </c>
      <c r="AA31">
        <f t="shared" si="0"/>
        <v>4</v>
      </c>
    </row>
    <row r="32" spans="1:34" x14ac:dyDescent="0.25">
      <c r="A32" s="18">
        <v>4</v>
      </c>
      <c r="B32" s="8" t="str">
        <f t="shared" si="1"/>
        <v>Toronto Raptors </v>
      </c>
      <c r="C32" s="8">
        <f t="shared" si="2"/>
        <v>40</v>
      </c>
      <c r="D32" s="8">
        <f t="shared" si="3"/>
        <v>32</v>
      </c>
      <c r="E32" s="9">
        <f t="shared" si="4"/>
        <v>0.55094601107712182</v>
      </c>
      <c r="F32" s="19">
        <f t="shared" si="9"/>
        <v>11</v>
      </c>
      <c r="H32" s="220" t="str">
        <f>INDEX('Gamma Prediction'!$A$2:$A$31,MATCH(J32,'Gamma Prediction'!$G$2:$G$31,0))</f>
        <v>Portland Trail Blazers </v>
      </c>
      <c r="I32" s="221"/>
      <c r="J32" s="30">
        <f>LARGE('Gamma Prediction'!$G$2:$G$31,ROWS(H$2:H3))</f>
        <v>0.11429699094514106</v>
      </c>
      <c r="N32" s="18">
        <v>4</v>
      </c>
      <c r="O32" s="8" t="str">
        <f t="shared" si="5"/>
        <v>Los Angeles Lakers </v>
      </c>
      <c r="P32" s="8">
        <f t="shared" si="6"/>
        <v>49</v>
      </c>
      <c r="Q32" s="8">
        <f t="shared" si="7"/>
        <v>23</v>
      </c>
      <c r="R32" s="9">
        <f t="shared" si="8"/>
        <v>0.68323591514862614</v>
      </c>
      <c r="S32" s="19">
        <f t="shared" si="10"/>
        <v>2</v>
      </c>
      <c r="U32" t="s">
        <v>12</v>
      </c>
      <c r="W32">
        <v>5</v>
      </c>
      <c r="X32">
        <v>5</v>
      </c>
      <c r="Y32">
        <v>7</v>
      </c>
      <c r="Z32">
        <v>8</v>
      </c>
      <c r="AA32">
        <f t="shared" si="0"/>
        <v>8</v>
      </c>
    </row>
    <row r="33" spans="1:38" ht="15.75" thickBot="1" x14ac:dyDescent="0.3">
      <c r="A33" s="18">
        <v>5</v>
      </c>
      <c r="B33" s="8" t="str">
        <f t="shared" si="1"/>
        <v>Boston Celtics </v>
      </c>
      <c r="C33" s="8">
        <f t="shared" si="2"/>
        <v>38</v>
      </c>
      <c r="D33" s="8">
        <f t="shared" si="3"/>
        <v>34</v>
      </c>
      <c r="E33" s="9">
        <f t="shared" si="4"/>
        <v>0.53312640013331192</v>
      </c>
      <c r="F33" s="19">
        <f t="shared" si="9"/>
        <v>13</v>
      </c>
      <c r="H33" s="226" t="str">
        <f>INDEX('Gamma Prediction'!$A$2:$A$31,MATCH(J33,'Gamma Prediction'!$G$2:$G$31,0))</f>
        <v>Oklahoma City Thunder </v>
      </c>
      <c r="I33" s="227"/>
      <c r="J33" s="31">
        <f>LARGE('Gamma Prediction'!$G$2:$G$31,ROWS(H$2:H4))</f>
        <v>0.11346553834721235</v>
      </c>
      <c r="N33" s="18">
        <v>5</v>
      </c>
      <c r="O33" s="8" t="str">
        <f t="shared" si="5"/>
        <v>Denver Nuggets </v>
      </c>
      <c r="P33" s="8">
        <f t="shared" si="6"/>
        <v>49</v>
      </c>
      <c r="Q33" s="8">
        <f t="shared" si="7"/>
        <v>23</v>
      </c>
      <c r="R33" s="9">
        <f t="shared" si="8"/>
        <v>0.68304282954162754</v>
      </c>
      <c r="S33" s="19">
        <f t="shared" si="10"/>
        <v>2</v>
      </c>
      <c r="U33" t="s">
        <v>14</v>
      </c>
      <c r="W33">
        <v>6</v>
      </c>
      <c r="X33">
        <v>6</v>
      </c>
      <c r="Y33">
        <v>6</v>
      </c>
      <c r="Z33">
        <v>5</v>
      </c>
      <c r="AA33">
        <f t="shared" si="0"/>
        <v>5</v>
      </c>
    </row>
    <row r="34" spans="1:38" ht="15.75" thickBot="1" x14ac:dyDescent="0.3">
      <c r="A34" s="18">
        <v>6</v>
      </c>
      <c r="B34" s="8" t="str">
        <f t="shared" si="1"/>
        <v>New York Knicks </v>
      </c>
      <c r="C34" s="8">
        <f t="shared" si="2"/>
        <v>37</v>
      </c>
      <c r="D34" s="8">
        <f t="shared" si="3"/>
        <v>35</v>
      </c>
      <c r="E34" s="9">
        <f t="shared" si="4"/>
        <v>0.51958282851140414</v>
      </c>
      <c r="F34" s="19">
        <f t="shared" si="9"/>
        <v>14</v>
      </c>
      <c r="H34" s="222" t="s">
        <v>63</v>
      </c>
      <c r="I34" s="223"/>
      <c r="J34" s="28" t="s">
        <v>62</v>
      </c>
      <c r="N34" s="18">
        <v>6</v>
      </c>
      <c r="O34" s="8" t="str">
        <f t="shared" si="5"/>
        <v>Memphis Grizzlies </v>
      </c>
      <c r="P34" s="8">
        <f t="shared" si="6"/>
        <v>39</v>
      </c>
      <c r="Q34" s="8">
        <f t="shared" si="7"/>
        <v>33</v>
      </c>
      <c r="R34" s="9">
        <f t="shared" si="8"/>
        <v>0.54768833203754486</v>
      </c>
      <c r="S34" s="19">
        <f t="shared" si="10"/>
        <v>12</v>
      </c>
      <c r="U34" t="s">
        <v>15</v>
      </c>
      <c r="W34">
        <v>7</v>
      </c>
      <c r="X34">
        <v>8</v>
      </c>
      <c r="Y34">
        <v>5</v>
      </c>
      <c r="Z34">
        <v>6</v>
      </c>
      <c r="AA34">
        <f t="shared" si="0"/>
        <v>6</v>
      </c>
    </row>
    <row r="35" spans="1:38" x14ac:dyDescent="0.25">
      <c r="A35" s="18">
        <v>7</v>
      </c>
      <c r="B35" s="8" t="str">
        <f t="shared" si="1"/>
        <v>Atlanta Hawks </v>
      </c>
      <c r="C35" s="8">
        <f t="shared" si="2"/>
        <v>37</v>
      </c>
      <c r="D35" s="8">
        <f t="shared" si="3"/>
        <v>35</v>
      </c>
      <c r="E35" s="9">
        <f t="shared" si="4"/>
        <v>0.51458938122407183</v>
      </c>
      <c r="F35" s="19">
        <f t="shared" si="9"/>
        <v>14</v>
      </c>
      <c r="H35" s="224" t="str">
        <f>INDEX('Gamma Prediction'!$A$2:$A$31,MATCH(J35,'Gamma Prediction'!$G$2:$G$31,0))</f>
        <v>Denver Nuggets </v>
      </c>
      <c r="I35" s="225"/>
      <c r="J35" s="32">
        <f>SMALL('Gamma Prediction'!$G$2:$G$31,ROWS($H$35:H35))</f>
        <v>-0.10004282954162758</v>
      </c>
      <c r="N35" s="18">
        <v>7</v>
      </c>
      <c r="O35" s="8" t="str">
        <f t="shared" si="5"/>
        <v>Golden State Warriors </v>
      </c>
      <c r="P35" s="8">
        <f t="shared" si="6"/>
        <v>37</v>
      </c>
      <c r="Q35" s="8">
        <f t="shared" si="7"/>
        <v>35</v>
      </c>
      <c r="R35" s="9">
        <f t="shared" si="8"/>
        <v>0.51811307133098117</v>
      </c>
      <c r="S35" s="19">
        <f t="shared" si="10"/>
        <v>14</v>
      </c>
      <c r="U35" t="s">
        <v>23</v>
      </c>
      <c r="W35">
        <v>8</v>
      </c>
      <c r="X35">
        <v>7</v>
      </c>
      <c r="Y35">
        <v>8</v>
      </c>
      <c r="Z35">
        <v>7</v>
      </c>
      <c r="AA35">
        <f t="shared" si="0"/>
        <v>7</v>
      </c>
    </row>
    <row r="36" spans="1:38" ht="15.75" thickBot="1" x14ac:dyDescent="0.3">
      <c r="A36" s="20">
        <v>8</v>
      </c>
      <c r="B36" s="15" t="str">
        <f t="shared" si="1"/>
        <v>Indiana Pacers </v>
      </c>
      <c r="C36" s="15">
        <f t="shared" si="2"/>
        <v>37</v>
      </c>
      <c r="D36" s="15">
        <f t="shared" si="3"/>
        <v>35</v>
      </c>
      <c r="E36" s="16">
        <f t="shared" si="4"/>
        <v>0.51091911133120493</v>
      </c>
      <c r="F36" s="21">
        <f t="shared" si="9"/>
        <v>14</v>
      </c>
      <c r="H36" s="220" t="str">
        <f>INDEX('Gamma Prediction'!$A$2:$A$31,MATCH(J36,'Gamma Prediction'!$G$2:$G$31,0))</f>
        <v>Milwaukee Bucks </v>
      </c>
      <c r="I36" s="221"/>
      <c r="J36" s="33">
        <f>SMALL('Gamma Prediction'!$G$2:$G$31,ROWS($H$35:H36))</f>
        <v>-9.8668655337519562E-2</v>
      </c>
      <c r="N36" s="20">
        <v>8</v>
      </c>
      <c r="O36" s="15" t="str">
        <f t="shared" si="5"/>
        <v>Dallas Mavericks </v>
      </c>
      <c r="P36" s="15">
        <f t="shared" si="6"/>
        <v>35</v>
      </c>
      <c r="Q36" s="15">
        <f t="shared" si="7"/>
        <v>37</v>
      </c>
      <c r="R36" s="16">
        <f t="shared" si="8"/>
        <v>0.49267770753769835</v>
      </c>
      <c r="S36" s="21">
        <f t="shared" si="10"/>
        <v>16</v>
      </c>
      <c r="U36" t="s">
        <v>16</v>
      </c>
      <c r="W36">
        <v>9</v>
      </c>
      <c r="X36">
        <v>10</v>
      </c>
      <c r="Y36">
        <v>10</v>
      </c>
      <c r="Z36">
        <v>10</v>
      </c>
      <c r="AA36">
        <f t="shared" si="0"/>
        <v>10</v>
      </c>
    </row>
    <row r="37" spans="1:38" ht="15.75" thickBot="1" x14ac:dyDescent="0.3">
      <c r="A37" s="22">
        <v>9</v>
      </c>
      <c r="B37" s="12" t="str">
        <f t="shared" si="1"/>
        <v>Chicago Bulls </v>
      </c>
      <c r="C37" s="12">
        <f t="shared" si="2"/>
        <v>35</v>
      </c>
      <c r="D37" s="12">
        <f t="shared" si="3"/>
        <v>37</v>
      </c>
      <c r="E37" s="13">
        <f t="shared" si="4"/>
        <v>0.4928748926165491</v>
      </c>
      <c r="F37" s="23">
        <f t="shared" si="9"/>
        <v>16</v>
      </c>
      <c r="H37" s="226" t="str">
        <f>INDEX('Gamma Prediction'!$A$2:$A$31,MATCH(J37,'Gamma Prediction'!$G$2:$G$31,0))</f>
        <v>Detroit Pistons </v>
      </c>
      <c r="I37" s="227"/>
      <c r="J37" s="34">
        <f>SMALL('Gamma Prediction'!$G$2:$G$31,ROWS($H$35:H37))</f>
        <v>-8.0497807097156704E-2</v>
      </c>
      <c r="N37" s="22">
        <v>9</v>
      </c>
      <c r="O37" s="12" t="str">
        <f t="shared" si="5"/>
        <v>San Antonio Spurs </v>
      </c>
      <c r="P37" s="12">
        <f t="shared" si="6"/>
        <v>35</v>
      </c>
      <c r="Q37" s="12">
        <f t="shared" si="7"/>
        <v>37</v>
      </c>
      <c r="R37" s="13">
        <f t="shared" si="8"/>
        <v>0.48891363789731063</v>
      </c>
      <c r="S37" s="23">
        <f t="shared" si="10"/>
        <v>16</v>
      </c>
      <c r="U37" t="s">
        <v>20</v>
      </c>
      <c r="W37">
        <v>10</v>
      </c>
      <c r="X37">
        <v>9</v>
      </c>
      <c r="Y37">
        <v>9</v>
      </c>
      <c r="Z37">
        <v>9</v>
      </c>
      <c r="AA37">
        <f t="shared" si="0"/>
        <v>9</v>
      </c>
    </row>
    <row r="38" spans="1:38" ht="15.75" thickBot="1" x14ac:dyDescent="0.3">
      <c r="A38" s="20">
        <v>10</v>
      </c>
      <c r="B38" s="15" t="str">
        <f t="shared" si="1"/>
        <v>Charlotte Hornets </v>
      </c>
      <c r="C38" s="15">
        <f t="shared" si="2"/>
        <v>35</v>
      </c>
      <c r="D38" s="15">
        <f t="shared" si="3"/>
        <v>37</v>
      </c>
      <c r="E38" s="16">
        <f t="shared" si="4"/>
        <v>0.48185488398163456</v>
      </c>
      <c r="F38" s="21">
        <f t="shared" si="9"/>
        <v>16</v>
      </c>
      <c r="N38" s="20">
        <v>10</v>
      </c>
      <c r="O38" s="15" t="str">
        <f t="shared" si="5"/>
        <v>New Orleans Pelicans </v>
      </c>
      <c r="P38" s="15">
        <f t="shared" si="6"/>
        <v>35</v>
      </c>
      <c r="Q38" s="15">
        <f t="shared" si="7"/>
        <v>37</v>
      </c>
      <c r="R38" s="16">
        <f t="shared" si="8"/>
        <v>0.48582651230473217</v>
      </c>
      <c r="S38" s="21">
        <f t="shared" si="10"/>
        <v>16</v>
      </c>
      <c r="U38" t="s">
        <v>22</v>
      </c>
      <c r="W38">
        <v>11</v>
      </c>
      <c r="X38">
        <v>11</v>
      </c>
      <c r="Y38">
        <v>11</v>
      </c>
      <c r="Z38">
        <v>11</v>
      </c>
      <c r="AA38">
        <f t="shared" si="0"/>
        <v>11</v>
      </c>
    </row>
    <row r="39" spans="1:38" x14ac:dyDescent="0.25">
      <c r="A39" s="22">
        <v>11</v>
      </c>
      <c r="B39" s="12" t="str">
        <f t="shared" si="1"/>
        <v>Miami Heat </v>
      </c>
      <c r="C39" s="12">
        <f t="shared" si="2"/>
        <v>32</v>
      </c>
      <c r="D39" s="12">
        <f t="shared" si="3"/>
        <v>40</v>
      </c>
      <c r="E39" s="13">
        <f t="shared" si="4"/>
        <v>0.43932134056828853</v>
      </c>
      <c r="F39" s="23">
        <f t="shared" si="9"/>
        <v>19</v>
      </c>
      <c r="N39" s="22">
        <v>11</v>
      </c>
      <c r="O39" s="12" t="str">
        <f t="shared" si="5"/>
        <v>Portland Trail Blazers </v>
      </c>
      <c r="P39" s="12">
        <f t="shared" si="6"/>
        <v>35</v>
      </c>
      <c r="Q39" s="12">
        <f t="shared" si="7"/>
        <v>37</v>
      </c>
      <c r="R39" s="13">
        <f t="shared" si="8"/>
        <v>0.48570300905485891</v>
      </c>
      <c r="S39" s="23">
        <f t="shared" si="10"/>
        <v>16</v>
      </c>
      <c r="U39" t="s">
        <v>29</v>
      </c>
      <c r="W39">
        <v>12</v>
      </c>
      <c r="X39">
        <v>12</v>
      </c>
      <c r="Y39">
        <v>13</v>
      </c>
      <c r="Z39">
        <v>12</v>
      </c>
      <c r="AA39">
        <f t="shared" si="0"/>
        <v>12</v>
      </c>
    </row>
    <row r="40" spans="1:38" x14ac:dyDescent="0.25">
      <c r="A40" s="18">
        <v>12</v>
      </c>
      <c r="B40" s="8" t="str">
        <f t="shared" si="1"/>
        <v>Detroit Pistons </v>
      </c>
      <c r="C40" s="8">
        <f t="shared" si="2"/>
        <v>26</v>
      </c>
      <c r="D40" s="8">
        <f t="shared" si="3"/>
        <v>46</v>
      </c>
      <c r="E40" s="9">
        <f t="shared" si="4"/>
        <v>0.35849780709715673</v>
      </c>
      <c r="F40" s="19">
        <f t="shared" si="9"/>
        <v>25</v>
      </c>
      <c r="N40" s="18">
        <v>12</v>
      </c>
      <c r="O40" s="8" t="str">
        <f t="shared" si="5"/>
        <v>Houston Rockets </v>
      </c>
      <c r="P40" s="8">
        <f t="shared" si="6"/>
        <v>23</v>
      </c>
      <c r="Q40" s="8">
        <f t="shared" si="7"/>
        <v>49</v>
      </c>
      <c r="R40" s="9">
        <f t="shared" si="8"/>
        <v>0.31558080809193417</v>
      </c>
      <c r="S40" s="19">
        <f t="shared" si="10"/>
        <v>28</v>
      </c>
      <c r="U40" t="s">
        <v>28</v>
      </c>
      <c r="W40">
        <v>13</v>
      </c>
      <c r="X40">
        <v>13</v>
      </c>
      <c r="Y40">
        <v>12</v>
      </c>
      <c r="Z40">
        <v>13</v>
      </c>
      <c r="AA40">
        <f t="shared" si="0"/>
        <v>13</v>
      </c>
    </row>
    <row r="41" spans="1:38" x14ac:dyDescent="0.25">
      <c r="A41" s="18">
        <v>13</v>
      </c>
      <c r="B41" s="8" t="str">
        <f t="shared" si="1"/>
        <v>Washington Wizards </v>
      </c>
      <c r="C41" s="8">
        <f t="shared" si="2"/>
        <v>25</v>
      </c>
      <c r="D41" s="8">
        <f t="shared" si="3"/>
        <v>47</v>
      </c>
      <c r="E41" s="9">
        <f t="shared" si="4"/>
        <v>0.34102380384710623</v>
      </c>
      <c r="F41" s="19">
        <f t="shared" si="9"/>
        <v>26</v>
      </c>
      <c r="N41" s="18">
        <v>13</v>
      </c>
      <c r="O41" s="8" t="str">
        <f t="shared" si="5"/>
        <v>Sacramento Kings </v>
      </c>
      <c r="P41" s="8">
        <f t="shared" si="6"/>
        <v>22</v>
      </c>
      <c r="Q41" s="8">
        <f t="shared" si="7"/>
        <v>50</v>
      </c>
      <c r="R41" s="9">
        <f t="shared" si="8"/>
        <v>0.31097983665812401</v>
      </c>
      <c r="S41" s="19">
        <f t="shared" si="10"/>
        <v>29</v>
      </c>
      <c r="U41" t="s">
        <v>24</v>
      </c>
      <c r="W41">
        <v>14</v>
      </c>
      <c r="X41">
        <v>14</v>
      </c>
      <c r="Y41">
        <v>14</v>
      </c>
      <c r="Z41">
        <v>14</v>
      </c>
      <c r="AA41">
        <f t="shared" si="0"/>
        <v>14</v>
      </c>
    </row>
    <row r="42" spans="1:38" ht="15.75" thickBot="1" x14ac:dyDescent="0.3">
      <c r="A42" s="18">
        <v>14</v>
      </c>
      <c r="B42" s="8" t="str">
        <f t="shared" si="1"/>
        <v>Orlando Magic </v>
      </c>
      <c r="C42" s="8">
        <f t="shared" si="2"/>
        <v>19</v>
      </c>
      <c r="D42" s="8">
        <f t="shared" si="3"/>
        <v>53</v>
      </c>
      <c r="E42" s="9">
        <f t="shared" si="4"/>
        <v>0.27003757520772437</v>
      </c>
      <c r="F42" s="19">
        <f t="shared" si="9"/>
        <v>32</v>
      </c>
      <c r="N42" s="18">
        <v>14</v>
      </c>
      <c r="O42" s="8" t="str">
        <f t="shared" si="5"/>
        <v>Oklahoma City Thunder </v>
      </c>
      <c r="P42" s="8">
        <f t="shared" si="6"/>
        <v>22</v>
      </c>
      <c r="Q42" s="8">
        <f t="shared" si="7"/>
        <v>50</v>
      </c>
      <c r="R42" s="9">
        <f t="shared" si="8"/>
        <v>0.30353446165278763</v>
      </c>
      <c r="S42" s="19">
        <f t="shared" si="10"/>
        <v>29</v>
      </c>
      <c r="U42" s="7" t="s">
        <v>26</v>
      </c>
      <c r="V42" s="7"/>
      <c r="W42" s="7">
        <v>15</v>
      </c>
      <c r="X42" s="7">
        <v>15</v>
      </c>
      <c r="Y42" s="7">
        <v>15</v>
      </c>
      <c r="Z42" s="7">
        <v>15</v>
      </c>
      <c r="AA42" s="7">
        <f t="shared" si="0"/>
        <v>15</v>
      </c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5.75" thickBot="1" x14ac:dyDescent="0.3">
      <c r="A43" s="20">
        <v>15</v>
      </c>
      <c r="B43" s="15" t="str">
        <f t="shared" si="1"/>
        <v>Cleveland Cavaliers </v>
      </c>
      <c r="C43" s="15">
        <f t="shared" si="2"/>
        <v>18</v>
      </c>
      <c r="D43" s="15">
        <f t="shared" si="3"/>
        <v>54</v>
      </c>
      <c r="E43" s="16">
        <f t="shared" si="4"/>
        <v>0.24307788167224093</v>
      </c>
      <c r="F43" s="21">
        <f t="shared" si="9"/>
        <v>33</v>
      </c>
      <c r="N43" s="20">
        <v>15</v>
      </c>
      <c r="O43" s="15" t="str">
        <f t="shared" si="5"/>
        <v>Minnesota Timberwolves </v>
      </c>
      <c r="P43" s="15">
        <f t="shared" si="6"/>
        <v>15</v>
      </c>
      <c r="Q43" s="15">
        <f t="shared" si="7"/>
        <v>57</v>
      </c>
      <c r="R43" s="16">
        <f t="shared" si="8"/>
        <v>0.20946655018826774</v>
      </c>
      <c r="S43" s="21">
        <f t="shared" si="10"/>
        <v>36</v>
      </c>
      <c r="U43" s="261" t="s">
        <v>30</v>
      </c>
      <c r="V43" s="261"/>
      <c r="W43">
        <v>1</v>
      </c>
      <c r="X43">
        <v>1</v>
      </c>
      <c r="Y43">
        <v>1</v>
      </c>
      <c r="Z43">
        <v>1</v>
      </c>
      <c r="AA43">
        <f>INDEX($N$29:$N$43,MATCH($U43,$O$29:$O$43,0))</f>
        <v>1</v>
      </c>
    </row>
    <row r="44" spans="1:38" x14ac:dyDescent="0.25">
      <c r="U44" t="s">
        <v>32</v>
      </c>
      <c r="W44">
        <v>2</v>
      </c>
      <c r="X44">
        <v>2</v>
      </c>
      <c r="Y44">
        <v>3</v>
      </c>
      <c r="Z44">
        <v>3</v>
      </c>
      <c r="AA44">
        <f t="shared" ref="Z44:AA57" si="11">INDEX($N$29:$N$43,MATCH($U44,$O$29:$O$43,0))</f>
        <v>3</v>
      </c>
    </row>
    <row r="45" spans="1:38" x14ac:dyDescent="0.25">
      <c r="U45" t="s">
        <v>31</v>
      </c>
      <c r="W45">
        <v>3</v>
      </c>
      <c r="X45">
        <v>3</v>
      </c>
      <c r="Y45">
        <v>4</v>
      </c>
      <c r="Z45">
        <v>4</v>
      </c>
      <c r="AA45">
        <f t="shared" si="11"/>
        <v>4</v>
      </c>
    </row>
    <row r="46" spans="1:38" x14ac:dyDescent="0.25">
      <c r="U46" t="s">
        <v>37</v>
      </c>
      <c r="W46">
        <v>4</v>
      </c>
      <c r="X46">
        <v>5</v>
      </c>
      <c r="Y46">
        <v>5</v>
      </c>
      <c r="Z46">
        <v>5</v>
      </c>
      <c r="AA46">
        <f t="shared" si="11"/>
        <v>5</v>
      </c>
    </row>
    <row r="47" spans="1:38" x14ac:dyDescent="0.25">
      <c r="U47" t="s">
        <v>34</v>
      </c>
      <c r="W47">
        <v>5</v>
      </c>
      <c r="X47">
        <v>4</v>
      </c>
      <c r="Y47">
        <v>2</v>
      </c>
      <c r="Z47">
        <v>2</v>
      </c>
      <c r="AA47">
        <f t="shared" si="11"/>
        <v>2</v>
      </c>
    </row>
    <row r="48" spans="1:38" x14ac:dyDescent="0.25">
      <c r="U48" t="s">
        <v>39</v>
      </c>
      <c r="W48">
        <v>6</v>
      </c>
      <c r="X48">
        <v>6</v>
      </c>
      <c r="Y48">
        <v>6</v>
      </c>
      <c r="Z48">
        <v>7</v>
      </c>
      <c r="AA48">
        <f t="shared" si="11"/>
        <v>7</v>
      </c>
    </row>
    <row r="49" spans="1:27" x14ac:dyDescent="0.25">
      <c r="U49" t="s">
        <v>40</v>
      </c>
      <c r="W49">
        <v>7</v>
      </c>
      <c r="X49">
        <v>11</v>
      </c>
      <c r="Y49">
        <v>7</v>
      </c>
      <c r="Z49">
        <v>6</v>
      </c>
      <c r="AA49">
        <f t="shared" si="11"/>
        <v>6</v>
      </c>
    </row>
    <row r="50" spans="1:27" x14ac:dyDescent="0.25">
      <c r="U50" t="s">
        <v>35</v>
      </c>
      <c r="W50">
        <v>8</v>
      </c>
      <c r="X50">
        <v>9</v>
      </c>
      <c r="Y50">
        <v>9</v>
      </c>
      <c r="Z50">
        <v>10</v>
      </c>
      <c r="AA50">
        <f t="shared" si="11"/>
        <v>11</v>
      </c>
    </row>
    <row r="51" spans="1:27" x14ac:dyDescent="0.25">
      <c r="U51" t="s">
        <v>36</v>
      </c>
      <c r="W51">
        <v>9</v>
      </c>
      <c r="X51">
        <v>8</v>
      </c>
      <c r="Y51">
        <v>10</v>
      </c>
      <c r="Z51">
        <v>8</v>
      </c>
      <c r="AA51">
        <f t="shared" si="11"/>
        <v>9</v>
      </c>
    </row>
    <row r="52" spans="1:27" x14ac:dyDescent="0.25">
      <c r="U52" t="s">
        <v>44</v>
      </c>
      <c r="W52">
        <v>10</v>
      </c>
      <c r="X52">
        <v>7</v>
      </c>
      <c r="Y52">
        <v>8</v>
      </c>
      <c r="Z52">
        <v>9</v>
      </c>
      <c r="AA52">
        <f t="shared" si="11"/>
        <v>10</v>
      </c>
    </row>
    <row r="53" spans="1:27" x14ac:dyDescent="0.25">
      <c r="U53" t="s">
        <v>41</v>
      </c>
      <c r="W53">
        <v>11</v>
      </c>
      <c r="X53">
        <v>10</v>
      </c>
      <c r="Y53">
        <v>11</v>
      </c>
      <c r="Z53">
        <v>11</v>
      </c>
      <c r="AA53">
        <f t="shared" si="11"/>
        <v>8</v>
      </c>
    </row>
    <row r="54" spans="1:27" x14ac:dyDescent="0.25">
      <c r="U54" t="s">
        <v>47</v>
      </c>
      <c r="W54">
        <v>12</v>
      </c>
      <c r="X54">
        <v>12</v>
      </c>
      <c r="Y54">
        <v>12</v>
      </c>
      <c r="Z54">
        <v>12</v>
      </c>
      <c r="AA54">
        <f t="shared" si="11"/>
        <v>12</v>
      </c>
    </row>
    <row r="55" spans="1:27" x14ac:dyDescent="0.25">
      <c r="U55" t="s">
        <v>43</v>
      </c>
      <c r="W55">
        <v>13</v>
      </c>
      <c r="X55">
        <v>13</v>
      </c>
      <c r="Y55">
        <v>13</v>
      </c>
      <c r="Z55">
        <v>13</v>
      </c>
      <c r="AA55">
        <f t="shared" si="11"/>
        <v>13</v>
      </c>
    </row>
    <row r="56" spans="1:27" x14ac:dyDescent="0.25">
      <c r="U56" t="s">
        <v>46</v>
      </c>
      <c r="W56">
        <v>14</v>
      </c>
      <c r="X56">
        <v>14</v>
      </c>
      <c r="Y56">
        <v>14</v>
      </c>
      <c r="Z56">
        <v>14</v>
      </c>
      <c r="AA56">
        <f t="shared" si="11"/>
        <v>14</v>
      </c>
    </row>
    <row r="57" spans="1:27" x14ac:dyDescent="0.25">
      <c r="U57" t="s">
        <v>48</v>
      </c>
      <c r="W57">
        <v>15</v>
      </c>
      <c r="X57">
        <v>15</v>
      </c>
      <c r="Y57">
        <v>15</v>
      </c>
      <c r="Z57">
        <v>15</v>
      </c>
      <c r="AA57">
        <f t="shared" si="11"/>
        <v>15</v>
      </c>
    </row>
    <row r="61" spans="1:27" s="7" customFormat="1" ht="15.75" thickBot="1" x14ac:dyDescent="0.3"/>
    <row r="62" spans="1:27" ht="15.75" thickBot="1" x14ac:dyDescent="0.3">
      <c r="B62" t="s">
        <v>69</v>
      </c>
      <c r="C62" s="345">
        <v>7.4999999999999997E-2</v>
      </c>
    </row>
    <row r="63" spans="1:27" ht="21.75" thickBot="1" x14ac:dyDescent="0.4">
      <c r="A63" s="228" t="s">
        <v>57</v>
      </c>
      <c r="B63" s="229"/>
      <c r="C63" s="229"/>
      <c r="D63" s="229"/>
      <c r="E63" s="229"/>
      <c r="F63" s="229"/>
      <c r="G63" s="230"/>
      <c r="I63" s="211" t="s">
        <v>72</v>
      </c>
      <c r="J63" s="212"/>
      <c r="K63" s="212"/>
      <c r="L63" s="213"/>
      <c r="N63" s="231" t="s">
        <v>58</v>
      </c>
      <c r="O63" s="232"/>
      <c r="P63" s="232"/>
      <c r="Q63" s="232"/>
      <c r="R63" s="232"/>
      <c r="S63" s="232"/>
      <c r="T63" s="233"/>
    </row>
    <row r="64" spans="1:27" x14ac:dyDescent="0.25">
      <c r="A64" s="44"/>
      <c r="B64" s="45"/>
      <c r="C64" s="251" t="str">
        <f>"Luck = - "&amp;C62</f>
        <v>Luck = - 0.075</v>
      </c>
      <c r="D64" s="251"/>
      <c r="E64" s="252" t="str">
        <f>"Luck = "&amp;C62</f>
        <v>Luck = 0.075</v>
      </c>
      <c r="F64" s="252"/>
      <c r="G64" s="46"/>
      <c r="I64" s="214"/>
      <c r="J64" s="215"/>
      <c r="K64" s="215"/>
      <c r="L64" s="216"/>
      <c r="N64" s="44"/>
      <c r="O64" s="45"/>
      <c r="P64" s="252" t="str">
        <f>C64</f>
        <v>Luck = - 0.075</v>
      </c>
      <c r="Q64" s="252"/>
      <c r="R64" s="252" t="str">
        <f>E64</f>
        <v>Luck = 0.075</v>
      </c>
      <c r="S64" s="252"/>
      <c r="T64" s="46"/>
    </row>
    <row r="65" spans="1:20" ht="30.75" thickBot="1" x14ac:dyDescent="0.3">
      <c r="A65" s="47"/>
      <c r="B65" s="60" t="s">
        <v>65</v>
      </c>
      <c r="C65" s="61" t="s">
        <v>67</v>
      </c>
      <c r="D65" s="61" t="s">
        <v>68</v>
      </c>
      <c r="E65" s="61" t="s">
        <v>66</v>
      </c>
      <c r="F65" s="61" t="s">
        <v>70</v>
      </c>
      <c r="G65" s="62" t="s">
        <v>71</v>
      </c>
      <c r="I65" s="217"/>
      <c r="J65" s="218"/>
      <c r="K65" s="218"/>
      <c r="L65" s="219"/>
      <c r="N65" s="47"/>
      <c r="O65" s="60" t="s">
        <v>65</v>
      </c>
      <c r="P65" s="61" t="s">
        <v>67</v>
      </c>
      <c r="Q65" s="61" t="s">
        <v>68</v>
      </c>
      <c r="R65" s="61" t="s">
        <v>66</v>
      </c>
      <c r="S65" s="61" t="s">
        <v>70</v>
      </c>
      <c r="T65" s="62" t="s">
        <v>71</v>
      </c>
    </row>
    <row r="66" spans="1:20" x14ac:dyDescent="0.25">
      <c r="A66" s="47">
        <f>A29</f>
        <v>1</v>
      </c>
      <c r="B66" s="43" t="str">
        <f>B29</f>
        <v>Milwaukee Bucks </v>
      </c>
      <c r="C66" s="43">
        <f>MAX(VLOOKUP(B66,$B$6:$D$20,2,FALSE),ROUND((VLOOKUP(B66,$B$29:$F$43,4,0)-$C$62)*72,0))</f>
        <v>46</v>
      </c>
      <c r="D66" s="43">
        <f>72-C66</f>
        <v>26</v>
      </c>
      <c r="E66" s="43">
        <f>MIN(72-VLOOKUP(B66,$B$6:$D$20,3,FALSE),ROUND((VLOOKUP(B66,$B$29:$F$43,4,0)+$C$62)*72,0))</f>
        <v>56</v>
      </c>
      <c r="F66" s="43">
        <f>72-E66</f>
        <v>16</v>
      </c>
      <c r="G66" s="48">
        <f>VLOOKUP(B66,'Gamma Prediction'!$A$2:$G$31,7,FALSE)</f>
        <v>-9.8668655337519562E-2</v>
      </c>
      <c r="N66" s="47">
        <f>N29</f>
        <v>1</v>
      </c>
      <c r="O66" s="43" t="str">
        <f>O29</f>
        <v>Utah Jazz </v>
      </c>
      <c r="P66" s="43">
        <f>MAX(VLOOKUP(O66,$O$6:$Q$20,2,FALSE),ROUND((VLOOKUP(O66,$O$29:$R$43,4,0)-$C$62)*72,0))</f>
        <v>51</v>
      </c>
      <c r="Q66" s="43">
        <f>72-P66</f>
        <v>21</v>
      </c>
      <c r="R66" s="43">
        <f>MIN(72-VLOOKUP(O66,$O$6:$Q$20,3,FALSE),ROUND((VLOOKUP(O66,$O$29:$S$43,4,0)+$C$62)*72,0))</f>
        <v>62</v>
      </c>
      <c r="S66" s="43">
        <f>72-R66</f>
        <v>10</v>
      </c>
      <c r="T66" s="48">
        <f>VLOOKUP(O66,'Gamma Prediction'!$A$2:$G$31,7,FALSE)</f>
        <v>-3.366915778063162E-2</v>
      </c>
    </row>
    <row r="67" spans="1:20" x14ac:dyDescent="0.25">
      <c r="A67" s="47">
        <f t="shared" ref="A67:B80" si="12">A30</f>
        <v>2</v>
      </c>
      <c r="B67" s="43" t="str">
        <f t="shared" si="12"/>
        <v>Brooklyn Nets </v>
      </c>
      <c r="C67" s="43">
        <f t="shared" ref="C67:C80" si="13">MAX(VLOOKUP(B67,$B$6:$D$20,2,FALSE),ROUND((VLOOKUP(B67,$B$29:$F$43,4,0)-$C$62)*72,0))</f>
        <v>43</v>
      </c>
      <c r="D67" s="43">
        <f t="shared" ref="D67:D80" si="14">72-C67</f>
        <v>29</v>
      </c>
      <c r="E67" s="43">
        <f t="shared" ref="E67:E80" si="15">MIN(72-VLOOKUP(B67,$B$6:$D$20,3,FALSE),ROUND((VLOOKUP(B67,$B$29:$F$43,4,0)+$C$62)*72,0))</f>
        <v>53</v>
      </c>
      <c r="F67" s="43">
        <f t="shared" ref="F67:F80" si="16">72-E67</f>
        <v>19</v>
      </c>
      <c r="G67" s="48">
        <f>VLOOKUP(B67,'Gamma Prediction'!$A$2:$G$31,7,FALSE)</f>
        <v>-1.7330086238876996E-2</v>
      </c>
      <c r="N67" s="47">
        <f t="shared" ref="N67:O80" si="17">N30</f>
        <v>2</v>
      </c>
      <c r="O67" s="43" t="str">
        <f t="shared" si="17"/>
        <v>Phoenix Suns </v>
      </c>
      <c r="P67" s="43">
        <f t="shared" ref="P67:P80" si="18">MAX(VLOOKUP(O67,$O$6:$Q$20,2,FALSE),ROUND((VLOOKUP(O67,$O$29:$R$43,4,0)-$C$62)*72,0))</f>
        <v>47</v>
      </c>
      <c r="Q67" s="43">
        <f t="shared" ref="Q67:Q80" si="19">72-P67</f>
        <v>25</v>
      </c>
      <c r="R67" s="43">
        <f t="shared" ref="R67:R80" si="20">MIN(72-VLOOKUP(O67,$O$6:$Q$20,3,FALSE),ROUND((VLOOKUP(O67,$O$29:$S$43,4,0)+$C$62)*72,0))</f>
        <v>58</v>
      </c>
      <c r="S67" s="43">
        <f t="shared" ref="S67:S80" si="21">72-R67</f>
        <v>14</v>
      </c>
      <c r="T67" s="48">
        <f>VLOOKUP(O67,'Gamma Prediction'!$A$2:$G$31,7,FALSE)</f>
        <v>-3.8417237547569427E-2</v>
      </c>
    </row>
    <row r="68" spans="1:20" x14ac:dyDescent="0.25">
      <c r="A68" s="47">
        <f t="shared" si="12"/>
        <v>3</v>
      </c>
      <c r="B68" s="43" t="str">
        <f t="shared" si="12"/>
        <v>Philadelphia 76ers </v>
      </c>
      <c r="C68" s="43">
        <f t="shared" si="13"/>
        <v>40</v>
      </c>
      <c r="D68" s="43">
        <f t="shared" si="14"/>
        <v>32</v>
      </c>
      <c r="E68" s="43">
        <f t="shared" si="15"/>
        <v>50</v>
      </c>
      <c r="F68" s="43">
        <f t="shared" si="16"/>
        <v>22</v>
      </c>
      <c r="G68" s="48">
        <f>VLOOKUP(B68,'Gamma Prediction'!$A$2:$G$31,7,FALSE)</f>
        <v>4.2585959705456644E-2</v>
      </c>
      <c r="N68" s="47">
        <f t="shared" si="17"/>
        <v>3</v>
      </c>
      <c r="O68" s="43" t="str">
        <f t="shared" si="17"/>
        <v>Los Angeles Clippers </v>
      </c>
      <c r="P68" s="43">
        <f t="shared" si="18"/>
        <v>44</v>
      </c>
      <c r="Q68" s="43">
        <f t="shared" si="19"/>
        <v>28</v>
      </c>
      <c r="R68" s="43">
        <f t="shared" si="20"/>
        <v>55</v>
      </c>
      <c r="S68" s="43">
        <f t="shared" si="21"/>
        <v>17</v>
      </c>
      <c r="T68" s="48">
        <f>VLOOKUP(O68,'Gamma Prediction'!$A$2:$G$31,7,FALSE)</f>
        <v>-5.5898161501803711E-2</v>
      </c>
    </row>
    <row r="69" spans="1:20" x14ac:dyDescent="0.25">
      <c r="A69" s="47">
        <f t="shared" si="12"/>
        <v>4</v>
      </c>
      <c r="B69" s="43" t="str">
        <f t="shared" si="12"/>
        <v>Toronto Raptors </v>
      </c>
      <c r="C69" s="43">
        <f t="shared" si="13"/>
        <v>34</v>
      </c>
      <c r="D69" s="43">
        <f t="shared" si="14"/>
        <v>38</v>
      </c>
      <c r="E69" s="43">
        <f t="shared" si="15"/>
        <v>45</v>
      </c>
      <c r="F69" s="43">
        <f t="shared" si="16"/>
        <v>27</v>
      </c>
      <c r="G69" s="48">
        <f>VLOOKUP(B69,'Gamma Prediction'!$A$2:$G$31,7,FALSE)</f>
        <v>-7.8946011077121847E-2</v>
      </c>
      <c r="N69" s="47">
        <f t="shared" si="17"/>
        <v>4</v>
      </c>
      <c r="O69" s="43" t="str">
        <f t="shared" si="17"/>
        <v>Los Angeles Lakers </v>
      </c>
      <c r="P69" s="43">
        <f t="shared" si="18"/>
        <v>44</v>
      </c>
      <c r="Q69" s="43">
        <f t="shared" si="19"/>
        <v>28</v>
      </c>
      <c r="R69" s="43">
        <f t="shared" si="20"/>
        <v>55</v>
      </c>
      <c r="S69" s="43">
        <f t="shared" si="21"/>
        <v>17</v>
      </c>
      <c r="T69" s="48">
        <f>VLOOKUP(O69,'Gamma Prediction'!$A$2:$G$31,7,FALSE)</f>
        <v>-3.4235915148626117E-2</v>
      </c>
    </row>
    <row r="70" spans="1:20" x14ac:dyDescent="0.25">
      <c r="A70" s="47">
        <f t="shared" si="12"/>
        <v>5</v>
      </c>
      <c r="B70" s="43" t="str">
        <f t="shared" si="12"/>
        <v>Boston Celtics </v>
      </c>
      <c r="C70" s="43">
        <f t="shared" si="13"/>
        <v>33</v>
      </c>
      <c r="D70" s="43">
        <f t="shared" si="14"/>
        <v>39</v>
      </c>
      <c r="E70" s="43">
        <f t="shared" si="15"/>
        <v>44</v>
      </c>
      <c r="F70" s="43">
        <f t="shared" si="16"/>
        <v>28</v>
      </c>
      <c r="G70" s="48">
        <f>VLOOKUP(B70,'Gamma Prediction'!$A$2:$G$31,7,FALSE)</f>
        <v>-5.1264001333118925E-3</v>
      </c>
      <c r="N70" s="47">
        <f t="shared" si="17"/>
        <v>5</v>
      </c>
      <c r="O70" s="43" t="str">
        <f t="shared" si="17"/>
        <v>Denver Nuggets </v>
      </c>
      <c r="P70" s="43">
        <f t="shared" si="18"/>
        <v>44</v>
      </c>
      <c r="Q70" s="43">
        <f t="shared" si="19"/>
        <v>28</v>
      </c>
      <c r="R70" s="43">
        <f t="shared" si="20"/>
        <v>55</v>
      </c>
      <c r="S70" s="43">
        <f t="shared" si="21"/>
        <v>17</v>
      </c>
      <c r="T70" s="48">
        <f>VLOOKUP(O70,'Gamma Prediction'!$A$2:$G$31,7,FALSE)</f>
        <v>-0.10004282954162758</v>
      </c>
    </row>
    <row r="71" spans="1:20" x14ac:dyDescent="0.25">
      <c r="A71" s="47">
        <f t="shared" si="12"/>
        <v>6</v>
      </c>
      <c r="B71" s="43" t="str">
        <f t="shared" si="12"/>
        <v>New York Knicks </v>
      </c>
      <c r="C71" s="43">
        <f t="shared" si="13"/>
        <v>32</v>
      </c>
      <c r="D71" s="43">
        <f t="shared" si="14"/>
        <v>40</v>
      </c>
      <c r="E71" s="43">
        <f t="shared" si="15"/>
        <v>43</v>
      </c>
      <c r="F71" s="43">
        <f t="shared" si="16"/>
        <v>29</v>
      </c>
      <c r="G71" s="48">
        <f>VLOOKUP(B71,'Gamma Prediction'!$A$2:$G$31,7,FALSE)</f>
        <v>-5.5828285114041254E-3</v>
      </c>
      <c r="N71" s="47">
        <f t="shared" si="17"/>
        <v>6</v>
      </c>
      <c r="O71" s="43" t="str">
        <f t="shared" si="17"/>
        <v>Memphis Grizzlies </v>
      </c>
      <c r="P71" s="43">
        <f t="shared" si="18"/>
        <v>34</v>
      </c>
      <c r="Q71" s="43">
        <f t="shared" si="19"/>
        <v>38</v>
      </c>
      <c r="R71" s="43">
        <f t="shared" si="20"/>
        <v>45</v>
      </c>
      <c r="S71" s="43">
        <f t="shared" si="21"/>
        <v>27</v>
      </c>
      <c r="T71" s="48">
        <f>VLOOKUP(O71,'Gamma Prediction'!$A$2:$G$31,7,FALSE)</f>
        <v>-3.2688332037544843E-2</v>
      </c>
    </row>
    <row r="72" spans="1:20" x14ac:dyDescent="0.25">
      <c r="A72" s="47">
        <f t="shared" si="12"/>
        <v>7</v>
      </c>
      <c r="B72" s="43" t="str">
        <f t="shared" si="12"/>
        <v>Atlanta Hawks </v>
      </c>
      <c r="C72" s="43">
        <f t="shared" si="13"/>
        <v>32</v>
      </c>
      <c r="D72" s="43">
        <f t="shared" si="14"/>
        <v>40</v>
      </c>
      <c r="E72" s="43">
        <f t="shared" si="15"/>
        <v>42</v>
      </c>
      <c r="F72" s="43">
        <f t="shared" si="16"/>
        <v>30</v>
      </c>
      <c r="G72" s="48">
        <f>VLOOKUP(B72,'Gamma Prediction'!$A$2:$G$31,7,FALSE)</f>
        <v>-7.0589381224071823E-2</v>
      </c>
      <c r="N72" s="47">
        <f t="shared" si="17"/>
        <v>7</v>
      </c>
      <c r="O72" s="43" t="str">
        <f t="shared" si="17"/>
        <v>Golden State Warriors </v>
      </c>
      <c r="P72" s="43">
        <f t="shared" si="18"/>
        <v>32</v>
      </c>
      <c r="Q72" s="43">
        <f t="shared" si="19"/>
        <v>40</v>
      </c>
      <c r="R72" s="43">
        <f t="shared" si="20"/>
        <v>43</v>
      </c>
      <c r="S72" s="43">
        <f t="shared" si="21"/>
        <v>29</v>
      </c>
      <c r="T72" s="48">
        <f>VLOOKUP(O72,'Gamma Prediction'!$A$2:$G$31,7,FALSE)</f>
        <v>-4.1130713309811551E-3</v>
      </c>
    </row>
    <row r="73" spans="1:20" x14ac:dyDescent="0.25">
      <c r="A73" s="47">
        <f t="shared" si="12"/>
        <v>8</v>
      </c>
      <c r="B73" s="43" t="str">
        <f t="shared" si="12"/>
        <v>Indiana Pacers </v>
      </c>
      <c r="C73" s="43">
        <f t="shared" si="13"/>
        <v>31</v>
      </c>
      <c r="D73" s="43">
        <f t="shared" si="14"/>
        <v>41</v>
      </c>
      <c r="E73" s="43">
        <f t="shared" si="15"/>
        <v>42</v>
      </c>
      <c r="F73" s="43">
        <f t="shared" si="16"/>
        <v>30</v>
      </c>
      <c r="G73" s="48">
        <f>VLOOKUP(B73,'Gamma Prediction'!$A$2:$G$31,7,FALSE)</f>
        <v>-5.3919111331204916E-2</v>
      </c>
      <c r="N73" s="47">
        <f t="shared" si="17"/>
        <v>8</v>
      </c>
      <c r="O73" s="43" t="str">
        <f t="shared" si="17"/>
        <v>Dallas Mavericks </v>
      </c>
      <c r="P73" s="43">
        <f t="shared" si="18"/>
        <v>30</v>
      </c>
      <c r="Q73" s="43">
        <f t="shared" si="19"/>
        <v>42</v>
      </c>
      <c r="R73" s="43">
        <f t="shared" si="20"/>
        <v>41</v>
      </c>
      <c r="S73" s="43">
        <f t="shared" si="21"/>
        <v>31</v>
      </c>
      <c r="T73" s="48">
        <f>VLOOKUP(O73,'Gamma Prediction'!$A$2:$G$31,7,FALSE)</f>
        <v>5.0322292462301688E-2</v>
      </c>
    </row>
    <row r="74" spans="1:20" x14ac:dyDescent="0.25">
      <c r="A74" s="47">
        <f t="shared" si="12"/>
        <v>9</v>
      </c>
      <c r="B74" s="43" t="str">
        <f t="shared" si="12"/>
        <v>Chicago Bulls </v>
      </c>
      <c r="C74" s="43">
        <f t="shared" si="13"/>
        <v>30</v>
      </c>
      <c r="D74" s="43">
        <f t="shared" si="14"/>
        <v>42</v>
      </c>
      <c r="E74" s="43">
        <f t="shared" si="15"/>
        <v>41</v>
      </c>
      <c r="F74" s="43">
        <f t="shared" si="16"/>
        <v>31</v>
      </c>
      <c r="G74" s="48">
        <f>VLOOKUP(B74,'Gamma Prediction'!$A$2:$G$31,7,FALSE)</f>
        <v>-2.1874892616549124E-2</v>
      </c>
      <c r="N74" s="47">
        <f t="shared" si="17"/>
        <v>9</v>
      </c>
      <c r="O74" s="43" t="str">
        <f t="shared" si="17"/>
        <v>San Antonio Spurs </v>
      </c>
      <c r="P74" s="43">
        <f t="shared" si="18"/>
        <v>30</v>
      </c>
      <c r="Q74" s="43">
        <f t="shared" si="19"/>
        <v>42</v>
      </c>
      <c r="R74" s="43">
        <f t="shared" si="20"/>
        <v>41</v>
      </c>
      <c r="S74" s="43">
        <f t="shared" si="21"/>
        <v>31</v>
      </c>
      <c r="T74" s="48">
        <f>VLOOKUP(O74,'Gamma Prediction'!$A$2:$G$31,7,FALSE)</f>
        <v>5.6086362102689413E-2</v>
      </c>
    </row>
    <row r="75" spans="1:20" x14ac:dyDescent="0.25">
      <c r="A75" s="47">
        <f t="shared" si="12"/>
        <v>10</v>
      </c>
      <c r="B75" s="43" t="str">
        <f t="shared" si="12"/>
        <v>Charlotte Hornets </v>
      </c>
      <c r="C75" s="43">
        <f t="shared" si="13"/>
        <v>29</v>
      </c>
      <c r="D75" s="43">
        <f t="shared" si="14"/>
        <v>43</v>
      </c>
      <c r="E75" s="43">
        <f t="shared" si="15"/>
        <v>40</v>
      </c>
      <c r="F75" s="43">
        <f t="shared" si="16"/>
        <v>32</v>
      </c>
      <c r="G75" s="48">
        <f>VLOOKUP(B75,'Gamma Prediction'!$A$2:$G$31,7,FALSE)</f>
        <v>4.1451160183654245E-3</v>
      </c>
      <c r="N75" s="47">
        <f t="shared" si="17"/>
        <v>10</v>
      </c>
      <c r="O75" s="43" t="str">
        <f t="shared" si="17"/>
        <v>New Orleans Pelicans </v>
      </c>
      <c r="P75" s="43">
        <f t="shared" si="18"/>
        <v>30</v>
      </c>
      <c r="Q75" s="43">
        <f t="shared" si="19"/>
        <v>42</v>
      </c>
      <c r="R75" s="43">
        <f t="shared" si="20"/>
        <v>40</v>
      </c>
      <c r="S75" s="43">
        <f t="shared" si="21"/>
        <v>32</v>
      </c>
      <c r="T75" s="48">
        <f>VLOOKUP(O75,'Gamma Prediction'!$A$2:$G$31,7,FALSE)</f>
        <v>-6.882651230473219E-2</v>
      </c>
    </row>
    <row r="76" spans="1:20" x14ac:dyDescent="0.25">
      <c r="A76" s="47">
        <f t="shared" si="12"/>
        <v>11</v>
      </c>
      <c r="B76" s="43" t="str">
        <f t="shared" si="12"/>
        <v>Miami Heat </v>
      </c>
      <c r="C76" s="43">
        <f t="shared" si="13"/>
        <v>26</v>
      </c>
      <c r="D76" s="43">
        <f t="shared" si="14"/>
        <v>46</v>
      </c>
      <c r="E76" s="43">
        <f t="shared" si="15"/>
        <v>37</v>
      </c>
      <c r="F76" s="43">
        <f t="shared" si="16"/>
        <v>35</v>
      </c>
      <c r="G76" s="48">
        <f>VLOOKUP(B76,'Gamma Prediction'!$A$2:$G$31,7,FALSE)</f>
        <v>6.0678659431711468E-2</v>
      </c>
      <c r="N76" s="47">
        <f t="shared" si="17"/>
        <v>11</v>
      </c>
      <c r="O76" s="43" t="str">
        <f t="shared" si="17"/>
        <v>Portland Trail Blazers </v>
      </c>
      <c r="P76" s="43">
        <f t="shared" si="18"/>
        <v>30</v>
      </c>
      <c r="Q76" s="43">
        <f t="shared" si="19"/>
        <v>42</v>
      </c>
      <c r="R76" s="43">
        <f t="shared" si="20"/>
        <v>40</v>
      </c>
      <c r="S76" s="43">
        <f t="shared" si="21"/>
        <v>32</v>
      </c>
      <c r="T76" s="48">
        <f>VLOOKUP(O76,'Gamma Prediction'!$A$2:$G$31,7,FALSE)</f>
        <v>0.11429699094514106</v>
      </c>
    </row>
    <row r="77" spans="1:20" x14ac:dyDescent="0.25">
      <c r="A77" s="47">
        <f t="shared" si="12"/>
        <v>12</v>
      </c>
      <c r="B77" s="43" t="str">
        <f t="shared" si="12"/>
        <v>Detroit Pistons </v>
      </c>
      <c r="C77" s="43">
        <f t="shared" si="13"/>
        <v>20</v>
      </c>
      <c r="D77" s="43">
        <f t="shared" si="14"/>
        <v>52</v>
      </c>
      <c r="E77" s="43">
        <f t="shared" si="15"/>
        <v>31</v>
      </c>
      <c r="F77" s="43">
        <f t="shared" si="16"/>
        <v>41</v>
      </c>
      <c r="G77" s="48">
        <f>VLOOKUP(B77,'Gamma Prediction'!$A$2:$G$31,7,FALSE)</f>
        <v>-8.0497807097156704E-2</v>
      </c>
      <c r="N77" s="47">
        <f t="shared" si="17"/>
        <v>12</v>
      </c>
      <c r="O77" s="43" t="str">
        <f t="shared" si="17"/>
        <v>Houston Rockets </v>
      </c>
      <c r="P77" s="43">
        <f t="shared" si="18"/>
        <v>17</v>
      </c>
      <c r="Q77" s="43">
        <f t="shared" si="19"/>
        <v>55</v>
      </c>
      <c r="R77" s="43">
        <f t="shared" si="20"/>
        <v>28</v>
      </c>
      <c r="S77" s="43">
        <f t="shared" si="21"/>
        <v>44</v>
      </c>
      <c r="T77" s="48">
        <f>VLOOKUP(O77,'Gamma Prediction'!$A$2:$G$31,7,FALSE)</f>
        <v>8.4191919080658373E-3</v>
      </c>
    </row>
    <row r="78" spans="1:20" x14ac:dyDescent="0.25">
      <c r="A78" s="47">
        <f t="shared" si="12"/>
        <v>13</v>
      </c>
      <c r="B78" s="43" t="str">
        <f t="shared" si="12"/>
        <v>Washington Wizards </v>
      </c>
      <c r="C78" s="43">
        <f t="shared" si="13"/>
        <v>19</v>
      </c>
      <c r="D78" s="43">
        <f t="shared" si="14"/>
        <v>53</v>
      </c>
      <c r="E78" s="43">
        <f t="shared" si="15"/>
        <v>30</v>
      </c>
      <c r="F78" s="43">
        <f t="shared" si="16"/>
        <v>42</v>
      </c>
      <c r="G78" s="48">
        <f>VLOOKUP(B78,'Gamma Prediction'!$A$2:$G$31,7,FALSE)</f>
        <v>5.8976196152893789E-2</v>
      </c>
      <c r="N78" s="47">
        <f t="shared" si="17"/>
        <v>13</v>
      </c>
      <c r="O78" s="43" t="str">
        <f t="shared" si="17"/>
        <v>Sacramento Kings </v>
      </c>
      <c r="P78" s="43">
        <f t="shared" si="18"/>
        <v>17</v>
      </c>
      <c r="Q78" s="43">
        <f t="shared" si="19"/>
        <v>55</v>
      </c>
      <c r="R78" s="43">
        <f t="shared" si="20"/>
        <v>28</v>
      </c>
      <c r="S78" s="43">
        <f t="shared" si="21"/>
        <v>44</v>
      </c>
      <c r="T78" s="48">
        <f>VLOOKUP(O78,'Gamma Prediction'!$A$2:$G$31,7,FALSE)</f>
        <v>7.8020163341876003E-2</v>
      </c>
    </row>
    <row r="79" spans="1:20" x14ac:dyDescent="0.25">
      <c r="A79" s="47">
        <f t="shared" si="12"/>
        <v>14</v>
      </c>
      <c r="B79" s="43" t="str">
        <f t="shared" si="12"/>
        <v>Orlando Magic </v>
      </c>
      <c r="C79" s="43">
        <f t="shared" si="13"/>
        <v>14</v>
      </c>
      <c r="D79" s="43">
        <f t="shared" si="14"/>
        <v>58</v>
      </c>
      <c r="E79" s="43">
        <f t="shared" si="15"/>
        <v>25</v>
      </c>
      <c r="F79" s="43">
        <f t="shared" si="16"/>
        <v>47</v>
      </c>
      <c r="G79" s="48">
        <f>VLOOKUP(B79,'Gamma Prediction'!$A$2:$G$31,7,FALSE)</f>
        <v>9.096242479227562E-2</v>
      </c>
      <c r="N79" s="47">
        <f t="shared" si="17"/>
        <v>14</v>
      </c>
      <c r="O79" s="43" t="str">
        <f t="shared" si="17"/>
        <v>Oklahoma City Thunder </v>
      </c>
      <c r="P79" s="43">
        <f t="shared" si="18"/>
        <v>16</v>
      </c>
      <c r="Q79" s="43">
        <f t="shared" si="19"/>
        <v>56</v>
      </c>
      <c r="R79" s="43">
        <f t="shared" si="20"/>
        <v>27</v>
      </c>
      <c r="S79" s="43">
        <f t="shared" si="21"/>
        <v>45</v>
      </c>
      <c r="T79" s="48">
        <f>VLOOKUP(O79,'Gamma Prediction'!$A$2:$G$31,7,FALSE)</f>
        <v>0.11346553834721235</v>
      </c>
    </row>
    <row r="80" spans="1:20" ht="15.75" thickBot="1" x14ac:dyDescent="0.3">
      <c r="A80" s="49">
        <f t="shared" si="12"/>
        <v>15</v>
      </c>
      <c r="B80" s="50" t="str">
        <f t="shared" si="12"/>
        <v>Cleveland Cavaliers </v>
      </c>
      <c r="C80" s="50">
        <f t="shared" si="13"/>
        <v>14</v>
      </c>
      <c r="D80" s="50">
        <f t="shared" si="14"/>
        <v>58</v>
      </c>
      <c r="E80" s="50">
        <f t="shared" si="15"/>
        <v>23</v>
      </c>
      <c r="F80" s="50">
        <f t="shared" si="16"/>
        <v>49</v>
      </c>
      <c r="G80" s="51">
        <f>VLOOKUP(B80,'Gamma Prediction'!$A$2:$G$31,7,FALSE)</f>
        <v>0.14592211832775909</v>
      </c>
      <c r="N80" s="49">
        <f t="shared" si="17"/>
        <v>15</v>
      </c>
      <c r="O80" s="50" t="str">
        <f t="shared" si="17"/>
        <v>Minnesota Timberwolves </v>
      </c>
      <c r="P80" s="50">
        <f t="shared" si="18"/>
        <v>10</v>
      </c>
      <c r="Q80" s="50">
        <f t="shared" si="19"/>
        <v>62</v>
      </c>
      <c r="R80" s="50">
        <f t="shared" si="20"/>
        <v>20</v>
      </c>
      <c r="S80" s="50">
        <f t="shared" si="21"/>
        <v>52</v>
      </c>
      <c r="T80" s="51">
        <f>VLOOKUP(O80,'Gamma Prediction'!$A$2:$G$31,7,FALSE)</f>
        <v>-1.546655018826773E-2</v>
      </c>
    </row>
    <row r="85" spans="1:29" s="7" customFormat="1" ht="15.75" thickBot="1" x14ac:dyDescent="0.3"/>
    <row r="86" spans="1:29" x14ac:dyDescent="0.25">
      <c r="I86" s="211" t="str">
        <f>"Simulated End of Season Standings ("&amp;G89&amp;")"</f>
        <v>Simulated End of Season Standings (1000 Sims)</v>
      </c>
      <c r="J86" s="212"/>
      <c r="K86" s="212"/>
      <c r="L86" s="212"/>
      <c r="M86" s="212"/>
      <c r="N86" s="213"/>
    </row>
    <row r="87" spans="1:29" x14ac:dyDescent="0.25">
      <c r="I87" s="214"/>
      <c r="J87" s="215"/>
      <c r="K87" s="215"/>
      <c r="L87" s="215"/>
      <c r="M87" s="215"/>
      <c r="N87" s="216"/>
    </row>
    <row r="88" spans="1:29" ht="21" customHeight="1" thickBot="1" x14ac:dyDescent="0.3">
      <c r="F88" s="55"/>
      <c r="G88" s="55"/>
      <c r="I88" s="217"/>
      <c r="J88" s="218"/>
      <c r="K88" s="218"/>
      <c r="L88" s="218"/>
      <c r="M88" s="218"/>
      <c r="N88" s="216"/>
    </row>
    <row r="89" spans="1:29" ht="47.25" customHeight="1" thickBot="1" x14ac:dyDescent="0.3">
      <c r="B89" t="s">
        <v>65</v>
      </c>
      <c r="C89" s="38" t="s">
        <v>71</v>
      </c>
      <c r="D89" s="40" t="s">
        <v>73</v>
      </c>
      <c r="E89" s="54" t="s">
        <v>74</v>
      </c>
      <c r="F89" s="38" t="s">
        <v>317</v>
      </c>
      <c r="G89" t="s">
        <v>318</v>
      </c>
      <c r="M89" s="242" t="s">
        <v>57</v>
      </c>
      <c r="N89" s="74"/>
      <c r="O89" s="75" t="s">
        <v>65</v>
      </c>
      <c r="P89" s="75" t="s">
        <v>1</v>
      </c>
      <c r="Q89" s="75" t="s">
        <v>2</v>
      </c>
      <c r="R89" s="76" t="s">
        <v>3</v>
      </c>
      <c r="T89" s="41"/>
      <c r="U89" s="264" t="s">
        <v>120</v>
      </c>
      <c r="V89" s="264"/>
      <c r="W89" s="41"/>
      <c r="X89" s="41"/>
      <c r="Y89" s="41"/>
      <c r="Z89" s="41"/>
      <c r="AA89" s="41"/>
      <c r="AB89" s="41"/>
      <c r="AC89" s="41"/>
    </row>
    <row r="90" spans="1:29" ht="15.75" thickBot="1" x14ac:dyDescent="0.3">
      <c r="A90" t="s">
        <v>75</v>
      </c>
      <c r="B90" t="s">
        <v>23</v>
      </c>
      <c r="C90" s="5">
        <f>VLOOKUP(B90,'Gamma Prediction'!$A$2:$G$31,7,FALSE)</f>
        <v>-7.0589381224071823E-2</v>
      </c>
      <c r="D90" s="53">
        <f ca="1">IF(C90&lt;0,MAX(-0.15,(RAND()*0.15-RAND()*0.1)+C90),MIN(0.15,(RAND()*0.1-RAND()*0.15)+C90))</f>
        <v>4.1483965283834426E-2</v>
      </c>
      <c r="E90" s="4">
        <f ca="1">VLOOKUP(B90,'Gamma Prediction'!$A$2:$G$31,6,FALSE)+D90</f>
        <v>0.5560733465079063</v>
      </c>
      <c r="F90">
        <f>RANK(G90,$G$90:$G$104,0)</f>
        <v>10</v>
      </c>
      <c r="G90" s="4">
        <v>0.47037591552734376</v>
      </c>
      <c r="H90">
        <f ca="1">RANK(E90,$E$90:$E$104,0)</f>
        <v>5</v>
      </c>
      <c r="M90" s="243"/>
      <c r="N90" s="47">
        <v>1</v>
      </c>
      <c r="O90" s="43" t="str">
        <f>INDEX($B$90:$B$104,MATCH(N90,$F$90:$F$104,0))</f>
        <v>Brooklyn Nets </v>
      </c>
      <c r="P90" s="63">
        <f>R90*72</f>
        <v>48.698428710937499</v>
      </c>
      <c r="Q90" s="63">
        <f>72-P90</f>
        <v>23.301571289062501</v>
      </c>
      <c r="R90" s="66">
        <f>VLOOKUP(O90,$B$90:$G$119,6,FALSE)</f>
        <v>0.6763670654296875</v>
      </c>
      <c r="T90" s="72">
        <v>1</v>
      </c>
      <c r="U90" s="73" t="str">
        <f>VLOOKUP(T90,$N$90:$O$97,2,FALSE)</f>
        <v>Brooklyn Nets </v>
      </c>
      <c r="V90" s="41"/>
      <c r="W90" s="42">
        <f>INDEX('Playoff Probabilties'!$C$37:$AF$66,MATCH(Standings!U90,'Playoff Probabilties'!$B$37:$B$66,0),MATCH(Standings!U91,'Playoff Probabilties'!$C$36:$AF$36,0))</f>
        <v>0.67691468362047635</v>
      </c>
      <c r="X90" s="114" t="str">
        <f>IF(W90&gt;=0.5,U90,U91)</f>
        <v>Brooklyn Nets </v>
      </c>
      <c r="Y90" s="42">
        <f>INDEX('Playoff Probabilties'!$C$37:$AF$66,MATCH(Standings!X90,'Playoff Probabilties'!$B$37:$B$66,0),MATCH(Standings!X92,'Playoff Probabilties'!$C$36:$AF$36,0))</f>
        <v>0.63954535154739289</v>
      </c>
      <c r="Z90" s="41"/>
      <c r="AA90" s="41"/>
      <c r="AB90" s="41"/>
      <c r="AC90" s="41"/>
    </row>
    <row r="91" spans="1:29" ht="15.75" thickBot="1" x14ac:dyDescent="0.3">
      <c r="A91" t="s">
        <v>75</v>
      </c>
      <c r="B91" t="s">
        <v>14</v>
      </c>
      <c r="C91" s="5">
        <f>VLOOKUP(B91,'Gamma Prediction'!$A$2:$G$31,7,FALSE)</f>
        <v>-5.1264001333118925E-3</v>
      </c>
      <c r="D91" s="53">
        <f t="shared" ref="D91:D119" ca="1" si="22">IF(C91&lt;0,MAX(-0.15,(RAND()*0.15-RAND()*0.1)+C91),MIN(0.15,(RAND()*0.1-RAND()*0.15)+C91))</f>
        <v>9.1504445987718341E-2</v>
      </c>
      <c r="E91" s="4">
        <f ca="1">VLOOKUP(B91,'Gamma Prediction'!$A$2:$G$31,6,FALSE)+D91</f>
        <v>0.62463084612103026</v>
      </c>
      <c r="F91">
        <f t="shared" ref="F91:F104" si="23">RANK(G91,$G$90:$G$104,0)</f>
        <v>4</v>
      </c>
      <c r="G91" s="4">
        <v>0.55263446044921871</v>
      </c>
      <c r="H91">
        <f t="shared" ref="H91:H104" ca="1" si="24">RANK(E91,$E$90:$E$104,0)</f>
        <v>3</v>
      </c>
      <c r="M91" s="243"/>
      <c r="N91" s="47">
        <v>2</v>
      </c>
      <c r="O91" s="43" t="str">
        <f t="shared" ref="O91:O104" si="25">INDEX($B$90:$B$104,MATCH(N91,$F$90:$F$104,0))</f>
        <v>Philadelphia 76ers </v>
      </c>
      <c r="P91" s="63">
        <f t="shared" ref="P91:P104" si="26">R91*72</f>
        <v>46.397206054687494</v>
      </c>
      <c r="Q91" s="63">
        <f t="shared" ref="Q91:Q104" si="27">72-P91</f>
        <v>25.602793945312506</v>
      </c>
      <c r="R91" s="66">
        <f t="shared" ref="R91:R104" si="28">VLOOKUP(O91,$B$90:$G$119,6,FALSE)</f>
        <v>0.64440563964843744</v>
      </c>
      <c r="T91" s="72">
        <v>8</v>
      </c>
      <c r="U91" s="73" t="str">
        <f t="shared" ref="U91:U97" si="29">VLOOKUP(T91,$N$90:$O$97,2,FALSE)</f>
        <v>Indiana Pacers </v>
      </c>
      <c r="V91" s="41"/>
      <c r="W91" s="42"/>
      <c r="X91" s="41"/>
      <c r="Y91" s="42"/>
      <c r="Z91" s="253" t="str">
        <f>IF(Y90&gt;=0.5,X90,X92)</f>
        <v>Brooklyn Nets </v>
      </c>
      <c r="AA91" s="254"/>
      <c r="AB91" s="42">
        <f>INDEX('Playoff Probabilties'!$C$37:$AF$66,MATCH(Standings!Z91,'Playoff Probabilties'!$B$37:$B$66,0),MATCH(Standings!Z95,'Playoff Probabilties'!$C$36:$AF$36,0))</f>
        <v>0.45354506997637889</v>
      </c>
      <c r="AC91" s="41"/>
    </row>
    <row r="92" spans="1:29" ht="15.75" thickBot="1" x14ac:dyDescent="0.3">
      <c r="A92" t="s">
        <v>75</v>
      </c>
      <c r="B92" t="s">
        <v>11</v>
      </c>
      <c r="C92" s="5">
        <f>VLOOKUP(B92,'Gamma Prediction'!$A$2:$G$31,7,FALSE)</f>
        <v>-1.7330086238876996E-2</v>
      </c>
      <c r="D92" s="53">
        <f t="shared" ca="1" si="22"/>
        <v>4.3415991805030016E-2</v>
      </c>
      <c r="E92" s="4">
        <f ca="1">VLOOKUP(B92,'Gamma Prediction'!$A$2:$G$31,6,FALSE)+D92</f>
        <v>0.70974607804390699</v>
      </c>
      <c r="F92">
        <f t="shared" si="23"/>
        <v>1</v>
      </c>
      <c r="G92" s="4">
        <v>0.6763670654296875</v>
      </c>
      <c r="H92">
        <f t="shared" ca="1" si="24"/>
        <v>1</v>
      </c>
      <c r="M92" s="243"/>
      <c r="N92" s="47">
        <v>3</v>
      </c>
      <c r="O92" s="43" t="str">
        <f t="shared" si="25"/>
        <v>Milwaukee Bucks </v>
      </c>
      <c r="P92" s="63">
        <f t="shared" si="26"/>
        <v>45.743299804687496</v>
      </c>
      <c r="Q92" s="63">
        <f t="shared" si="27"/>
        <v>26.256700195312504</v>
      </c>
      <c r="R92" s="66">
        <f t="shared" si="28"/>
        <v>0.63532360839843749</v>
      </c>
      <c r="T92" s="72">
        <v>4</v>
      </c>
      <c r="U92" s="73" t="str">
        <f t="shared" si="29"/>
        <v>Boston Celtics </v>
      </c>
      <c r="V92" s="41"/>
      <c r="W92" s="42">
        <f>INDEX('Playoff Probabilties'!$C$37:$AF$66,MATCH(Standings!U92,'Playoff Probabilties'!$B$37:$B$66,0),MATCH(Standings!U93,'Playoff Probabilties'!$C$36:$AF$36,0))</f>
        <v>0.56103862752847344</v>
      </c>
      <c r="X92" s="114" t="str">
        <f>IF(W92&gt;=0.5,U92,U93)</f>
        <v>Boston Celtics </v>
      </c>
      <c r="Y92" s="42"/>
      <c r="Z92" s="41"/>
      <c r="AA92" s="41"/>
      <c r="AB92" s="41"/>
      <c r="AC92" s="41"/>
    </row>
    <row r="93" spans="1:29" ht="15.75" thickBot="1" x14ac:dyDescent="0.3">
      <c r="A93" t="s">
        <v>75</v>
      </c>
      <c r="B93" t="s">
        <v>16</v>
      </c>
      <c r="C93" s="5">
        <f>VLOOKUP(B93,'Gamma Prediction'!$A$2:$G$31,7,FALSE)</f>
        <v>4.1451160183654245E-3</v>
      </c>
      <c r="D93" s="53">
        <f t="shared" ca="1" si="22"/>
        <v>-9.1063984143304952E-3</v>
      </c>
      <c r="E93" s="4">
        <f ca="1">VLOOKUP(B93,'Gamma Prediction'!$A$2:$G$31,6,FALSE)+D93</f>
        <v>0.47274848556730409</v>
      </c>
      <c r="F93">
        <f t="shared" si="23"/>
        <v>11</v>
      </c>
      <c r="G93" s="4">
        <v>0.46237200927734373</v>
      </c>
      <c r="H93">
        <f t="shared" ca="1" si="24"/>
        <v>9</v>
      </c>
      <c r="M93" s="243"/>
      <c r="N93" s="47">
        <v>4</v>
      </c>
      <c r="O93" s="43" t="str">
        <f t="shared" si="25"/>
        <v>Boston Celtics </v>
      </c>
      <c r="P93" s="63">
        <f t="shared" si="26"/>
        <v>39.789681152343746</v>
      </c>
      <c r="Q93" s="63">
        <f t="shared" si="27"/>
        <v>32.210318847656254</v>
      </c>
      <c r="R93" s="66">
        <f t="shared" si="28"/>
        <v>0.55263446044921871</v>
      </c>
      <c r="T93" s="72">
        <v>5</v>
      </c>
      <c r="U93" s="73" t="str">
        <f t="shared" si="29"/>
        <v>New York Knicks </v>
      </c>
      <c r="V93" s="41"/>
      <c r="W93" s="42"/>
      <c r="X93" s="41"/>
      <c r="Y93" s="42"/>
      <c r="Z93" s="41"/>
      <c r="AA93" s="41"/>
      <c r="AB93" s="41"/>
      <c r="AC93" s="262" t="str">
        <f>IF(AB91&gt;=0.5,Z91,Z95)</f>
        <v>Milwaukee Bucks </v>
      </c>
    </row>
    <row r="94" spans="1:29" ht="15.75" thickBot="1" x14ac:dyDescent="0.3">
      <c r="A94" t="s">
        <v>75</v>
      </c>
      <c r="B94" t="s">
        <v>20</v>
      </c>
      <c r="C94" s="5">
        <f>VLOOKUP(B94,'Gamma Prediction'!$A$2:$G$31,7,FALSE)</f>
        <v>-2.1874892616549124E-2</v>
      </c>
      <c r="D94" s="53">
        <f t="shared" ca="1" si="22"/>
        <v>-4.3826705457080187E-2</v>
      </c>
      <c r="E94" s="4">
        <f ca="1">VLOOKUP(B94,'Gamma Prediction'!$A$2:$G$31,6,FALSE)+D94</f>
        <v>0.44904818715946893</v>
      </c>
      <c r="F94">
        <f t="shared" si="23"/>
        <v>6</v>
      </c>
      <c r="G94" s="4">
        <v>0.49522024536132814</v>
      </c>
      <c r="H94">
        <f t="shared" ca="1" si="24"/>
        <v>10</v>
      </c>
      <c r="M94" s="243"/>
      <c r="N94" s="47">
        <v>5</v>
      </c>
      <c r="O94" s="43" t="str">
        <f t="shared" si="25"/>
        <v>New York Knicks </v>
      </c>
      <c r="P94" s="63">
        <f t="shared" si="26"/>
        <v>38.890309570312503</v>
      </c>
      <c r="Q94" s="63">
        <f t="shared" si="27"/>
        <v>33.109690429687497</v>
      </c>
      <c r="R94" s="66">
        <f t="shared" si="28"/>
        <v>0.54014318847656251</v>
      </c>
      <c r="T94" s="72">
        <v>3</v>
      </c>
      <c r="U94" s="73" t="str">
        <f t="shared" si="29"/>
        <v>Milwaukee Bucks </v>
      </c>
      <c r="V94" s="41"/>
      <c r="W94" s="42">
        <f>INDEX('Playoff Probabilties'!$C$37:$AF$66,MATCH(Standings!U94,'Playoff Probabilties'!$B$37:$B$66,0),MATCH(Standings!U95,'Playoff Probabilties'!$C$36:$AF$36,0))</f>
        <v>0.75942228605377626</v>
      </c>
      <c r="X94" s="114" t="str">
        <f>IF(W94&gt;=0.5,U94,U95)</f>
        <v>Milwaukee Bucks </v>
      </c>
      <c r="Y94" s="42"/>
      <c r="Z94" s="41"/>
      <c r="AA94" s="41"/>
      <c r="AB94" s="41"/>
      <c r="AC94" s="263"/>
    </row>
    <row r="95" spans="1:29" ht="15.75" thickBot="1" x14ac:dyDescent="0.3">
      <c r="A95" t="s">
        <v>75</v>
      </c>
      <c r="B95" t="s">
        <v>26</v>
      </c>
      <c r="C95" s="5">
        <f>VLOOKUP(B95,'Gamma Prediction'!$A$2:$G$31,7,FALSE)</f>
        <v>0.14592211832775909</v>
      </c>
      <c r="D95" s="53">
        <f t="shared" ca="1" si="22"/>
        <v>0.15</v>
      </c>
      <c r="E95" s="4">
        <f ca="1">VLOOKUP(B95,'Gamma Prediction'!$A$2:$G$31,6,FALSE)+D95</f>
        <v>0.39307788167224089</v>
      </c>
      <c r="F95">
        <f t="shared" si="23"/>
        <v>13</v>
      </c>
      <c r="G95" s="4">
        <v>0.35462176513671873</v>
      </c>
      <c r="H95">
        <f t="shared" ca="1" si="24"/>
        <v>12</v>
      </c>
      <c r="M95" s="243"/>
      <c r="N95" s="47">
        <v>6</v>
      </c>
      <c r="O95" s="43" t="str">
        <f t="shared" si="25"/>
        <v>Chicago Bulls </v>
      </c>
      <c r="P95" s="63">
        <f t="shared" si="26"/>
        <v>35.655857666015628</v>
      </c>
      <c r="Q95" s="63">
        <f t="shared" si="27"/>
        <v>36.344142333984372</v>
      </c>
      <c r="R95" s="66">
        <f t="shared" si="28"/>
        <v>0.49522024536132814</v>
      </c>
      <c r="T95" s="72">
        <v>6</v>
      </c>
      <c r="U95" s="73" t="str">
        <f t="shared" si="29"/>
        <v>Chicago Bulls </v>
      </c>
      <c r="V95" s="41"/>
      <c r="W95" s="42"/>
      <c r="X95" s="41"/>
      <c r="Y95" s="42"/>
      <c r="Z95" s="253" t="str">
        <f>IF(Y96&gt;=0.5,X96,X94)</f>
        <v>Milwaukee Bucks </v>
      </c>
      <c r="AA95" s="254"/>
      <c r="AB95" s="41"/>
      <c r="AC95" s="41"/>
    </row>
    <row r="96" spans="1:29" ht="15.75" thickBot="1" x14ac:dyDescent="0.3">
      <c r="A96" t="s">
        <v>75</v>
      </c>
      <c r="B96" t="s">
        <v>29</v>
      </c>
      <c r="C96" s="5">
        <f>VLOOKUP(B96,'Gamma Prediction'!$A$2:$G$31,7,FALSE)</f>
        <v>-8.0497807097156704E-2</v>
      </c>
      <c r="D96" s="53">
        <f t="shared" ca="1" si="22"/>
        <v>-7.1078660637102081E-2</v>
      </c>
      <c r="E96" s="4">
        <f ca="1">VLOOKUP(B96,'Gamma Prediction'!$A$2:$G$31,6,FALSE)+D96</f>
        <v>0.28741914646005462</v>
      </c>
      <c r="F96">
        <f t="shared" si="23"/>
        <v>15</v>
      </c>
      <c r="G96" s="4">
        <v>0.30273171997070314</v>
      </c>
      <c r="H96">
        <f t="shared" ca="1" si="24"/>
        <v>15</v>
      </c>
      <c r="M96" s="243"/>
      <c r="N96" s="47">
        <v>7</v>
      </c>
      <c r="O96" s="43" t="str">
        <f t="shared" si="25"/>
        <v>Toronto Raptors </v>
      </c>
      <c r="P96" s="63">
        <f t="shared" si="26"/>
        <v>35.514894287109378</v>
      </c>
      <c r="Q96" s="63">
        <f t="shared" si="27"/>
        <v>36.485105712890622</v>
      </c>
      <c r="R96" s="66">
        <f t="shared" si="28"/>
        <v>0.49326242065429687</v>
      </c>
      <c r="T96" s="72">
        <v>2</v>
      </c>
      <c r="U96" s="73" t="str">
        <f t="shared" si="29"/>
        <v>Philadelphia 76ers </v>
      </c>
      <c r="V96" s="41"/>
      <c r="W96" s="42">
        <f>INDEX('Playoff Probabilties'!$C$37:$AF$66,MATCH(Standings!U96,'Playoff Probabilties'!$B$37:$B$66,0),MATCH(Standings!U97,'Playoff Probabilties'!$C$36:$AF$36,0))</f>
        <v>0.5916976613883963</v>
      </c>
      <c r="X96" s="114" t="str">
        <f>IF(W96&gt;=0.5,U96,U97)</f>
        <v>Philadelphia 76ers </v>
      </c>
      <c r="Y96" s="42">
        <f>INDEX('Playoff Probabilties'!$C$37:$AF$66,MATCH(Standings!X96,'Playoff Probabilties'!$B$37:$B$66,0),MATCH(Standings!X94,'Playoff Probabilties'!$C$36:$AF$36,0))</f>
        <v>0.40376352557633943</v>
      </c>
      <c r="Z96" s="41"/>
      <c r="AA96" s="41"/>
      <c r="AB96" s="41"/>
      <c r="AC96" s="41"/>
    </row>
    <row r="97" spans="1:29" ht="15.75" thickBot="1" x14ac:dyDescent="0.3">
      <c r="A97" t="s">
        <v>75</v>
      </c>
      <c r="B97" t="s">
        <v>12</v>
      </c>
      <c r="C97" s="5">
        <f>VLOOKUP(B97,'Gamma Prediction'!$A$2:$G$31,7,FALSE)</f>
        <v>-5.3919111331204916E-2</v>
      </c>
      <c r="D97" s="53">
        <f t="shared" ca="1" si="22"/>
        <v>3.5190817808939318E-2</v>
      </c>
      <c r="E97" s="4">
        <f ca="1">VLOOKUP(B97,'Gamma Prediction'!$A$2:$G$31,6,FALSE)+D97</f>
        <v>0.54610992914014422</v>
      </c>
      <c r="F97">
        <f t="shared" si="23"/>
        <v>8</v>
      </c>
      <c r="G97" s="4">
        <v>0.48247683715820311</v>
      </c>
      <c r="H97">
        <f t="shared" ca="1" si="24"/>
        <v>6</v>
      </c>
      <c r="M97" s="243"/>
      <c r="N97" s="49">
        <v>8</v>
      </c>
      <c r="O97" s="50" t="str">
        <f t="shared" si="25"/>
        <v>Indiana Pacers </v>
      </c>
      <c r="P97" s="67">
        <f t="shared" si="26"/>
        <v>34.738332275390626</v>
      </c>
      <c r="Q97" s="67">
        <f t="shared" si="27"/>
        <v>37.261667724609374</v>
      </c>
      <c r="R97" s="68">
        <f t="shared" si="28"/>
        <v>0.48247683715820311</v>
      </c>
      <c r="T97" s="72">
        <v>7</v>
      </c>
      <c r="U97" s="73" t="str">
        <f t="shared" si="29"/>
        <v>Toronto Raptors </v>
      </c>
      <c r="V97" s="41"/>
      <c r="W97" s="41"/>
      <c r="X97" s="41"/>
      <c r="Y97" s="41"/>
      <c r="Z97" s="41"/>
      <c r="AA97" s="41"/>
      <c r="AB97" s="41"/>
      <c r="AC97" s="41"/>
    </row>
    <row r="98" spans="1:29" x14ac:dyDescent="0.25">
      <c r="A98" t="s">
        <v>75</v>
      </c>
      <c r="B98" t="s">
        <v>22</v>
      </c>
      <c r="C98" s="5">
        <f>VLOOKUP(B98,'Gamma Prediction'!$A$2:$G$31,7,FALSE)</f>
        <v>6.0678659431711468E-2</v>
      </c>
      <c r="D98" s="53">
        <f t="shared" ca="1" si="22"/>
        <v>-1.6635673431148135E-2</v>
      </c>
      <c r="E98" s="4">
        <f ca="1">VLOOKUP(B98,'Gamma Prediction'!$A$2:$G$31,6,FALSE)+D98</f>
        <v>0.4226856671371404</v>
      </c>
      <c r="F98">
        <f t="shared" si="23"/>
        <v>9</v>
      </c>
      <c r="G98" s="4">
        <v>0.47330364990234375</v>
      </c>
      <c r="H98">
        <f t="shared" ca="1" si="24"/>
        <v>11</v>
      </c>
      <c r="M98" s="243"/>
      <c r="N98" s="80">
        <v>9</v>
      </c>
      <c r="O98" s="69" t="str">
        <f t="shared" si="25"/>
        <v>Miami Heat </v>
      </c>
      <c r="P98" s="70">
        <f t="shared" si="26"/>
        <v>34.077862792968752</v>
      </c>
      <c r="Q98" s="70">
        <f t="shared" si="27"/>
        <v>37.922137207031248</v>
      </c>
      <c r="R98" s="71">
        <f t="shared" si="28"/>
        <v>0.47330364990234375</v>
      </c>
      <c r="T98" s="41"/>
      <c r="U98" s="41"/>
      <c r="V98" s="41"/>
      <c r="W98" s="41"/>
      <c r="X98" s="41"/>
      <c r="Y98" s="41"/>
      <c r="Z98" s="41"/>
      <c r="AA98" s="41"/>
      <c r="AB98" s="41"/>
      <c r="AC98" s="41"/>
    </row>
    <row r="99" spans="1:29" ht="15.75" thickBot="1" x14ac:dyDescent="0.3">
      <c r="A99" t="s">
        <v>75</v>
      </c>
      <c r="B99" t="s">
        <v>10</v>
      </c>
      <c r="C99" s="5">
        <f>VLOOKUP(B99,'Gamma Prediction'!$A$2:$G$31,7,FALSE)</f>
        <v>-9.8668655337519562E-2</v>
      </c>
      <c r="D99" s="53">
        <f t="shared" ca="1" si="22"/>
        <v>-0.10198302984032249</v>
      </c>
      <c r="E99" s="4">
        <f ca="1">VLOOKUP(B99,'Gamma Prediction'!$A$2:$G$31,6,FALSE)+D99</f>
        <v>0.60768562549719707</v>
      </c>
      <c r="F99">
        <f t="shared" si="23"/>
        <v>3</v>
      </c>
      <c r="G99" s="4">
        <v>0.63532360839843749</v>
      </c>
      <c r="H99">
        <f t="shared" ca="1" si="24"/>
        <v>4</v>
      </c>
      <c r="M99" s="243"/>
      <c r="N99" s="47">
        <v>10</v>
      </c>
      <c r="O99" s="43" t="str">
        <f t="shared" si="25"/>
        <v>Atlanta Hawks </v>
      </c>
      <c r="P99" s="63">
        <f t="shared" si="26"/>
        <v>33.867065917968752</v>
      </c>
      <c r="Q99" s="63">
        <f t="shared" si="27"/>
        <v>38.132934082031248</v>
      </c>
      <c r="R99" s="66">
        <f t="shared" si="28"/>
        <v>0.47037591552734376</v>
      </c>
      <c r="T99" s="41"/>
      <c r="U99" s="41"/>
      <c r="V99" s="41"/>
      <c r="W99" s="41"/>
      <c r="X99" s="41"/>
      <c r="Y99" s="41"/>
      <c r="Z99" s="41"/>
      <c r="AA99" s="41"/>
      <c r="AB99" s="41"/>
      <c r="AC99" s="41"/>
    </row>
    <row r="100" spans="1:29" x14ac:dyDescent="0.25">
      <c r="A100" t="s">
        <v>75</v>
      </c>
      <c r="B100" t="s">
        <v>15</v>
      </c>
      <c r="C100" s="5">
        <f>VLOOKUP(B100,'Gamma Prediction'!$A$2:$G$31,7,FALSE)</f>
        <v>-5.5828285114041254E-3</v>
      </c>
      <c r="D100" s="53">
        <f t="shared" ca="1" si="22"/>
        <v>-1.9897105669676562E-2</v>
      </c>
      <c r="E100" s="4">
        <f ca="1">VLOOKUP(B100,'Gamma Prediction'!$A$2:$G$31,6,FALSE)+D100</f>
        <v>0.49968572284172758</v>
      </c>
      <c r="F100">
        <f t="shared" si="23"/>
        <v>5</v>
      </c>
      <c r="G100" s="4">
        <v>0.54014318847656251</v>
      </c>
      <c r="H100">
        <f t="shared" ca="1" si="24"/>
        <v>8</v>
      </c>
      <c r="M100" s="243"/>
      <c r="N100" s="47">
        <v>11</v>
      </c>
      <c r="O100" s="43" t="str">
        <f t="shared" si="25"/>
        <v>Charlotte Hornets </v>
      </c>
      <c r="P100" s="63">
        <f t="shared" si="26"/>
        <v>33.290784667968751</v>
      </c>
      <c r="Q100" s="63">
        <f t="shared" si="27"/>
        <v>38.709215332031249</v>
      </c>
      <c r="R100" s="66">
        <f t="shared" si="28"/>
        <v>0.46237200927734373</v>
      </c>
      <c r="T100" s="255" t="s">
        <v>124</v>
      </c>
      <c r="U100" s="256"/>
      <c r="V100" s="41"/>
      <c r="W100" s="265" t="str">
        <f>AC93</f>
        <v>Milwaukee Bucks </v>
      </c>
      <c r="X100" s="266"/>
      <c r="Y100" s="41"/>
      <c r="Z100" s="41"/>
      <c r="AA100" s="273" t="str">
        <f>IF(Y101&gt;0.5," 2021 NBA CHAMPIONS : "&amp;W100,"2021 NBA CHAMPIONS : "&amp;W103)</f>
        <v>2021 NBA CHAMPIONS : Utah Jazz </v>
      </c>
      <c r="AB100" s="274"/>
      <c r="AC100" s="275"/>
    </row>
    <row r="101" spans="1:29" ht="15.75" thickBot="1" x14ac:dyDescent="0.3">
      <c r="A101" t="s">
        <v>75</v>
      </c>
      <c r="B101" t="s">
        <v>24</v>
      </c>
      <c r="C101" s="5">
        <f>VLOOKUP(B101,'Gamma Prediction'!$A$2:$G$31,7,FALSE)</f>
        <v>9.096242479227562E-2</v>
      </c>
      <c r="D101" s="53">
        <f t="shared" ca="1" si="22"/>
        <v>0.10003225027566827</v>
      </c>
      <c r="E101" s="4">
        <f ca="1">VLOOKUP(B101,'Gamma Prediction'!$A$2:$G$31,6,FALSE)+D101</f>
        <v>0.37006982548339262</v>
      </c>
      <c r="F101">
        <f t="shared" si="23"/>
        <v>14</v>
      </c>
      <c r="G101" s="4">
        <v>0.33369692993164063</v>
      </c>
      <c r="H101">
        <f t="shared" ca="1" si="24"/>
        <v>13</v>
      </c>
      <c r="M101" s="243"/>
      <c r="N101" s="47">
        <v>12</v>
      </c>
      <c r="O101" s="43" t="str">
        <f t="shared" si="25"/>
        <v>Washington Wizards </v>
      </c>
      <c r="P101" s="63">
        <f t="shared" si="26"/>
        <v>27.142510253906252</v>
      </c>
      <c r="Q101" s="63">
        <f t="shared" si="27"/>
        <v>44.857489746093748</v>
      </c>
      <c r="R101" s="66">
        <f t="shared" si="28"/>
        <v>0.37697930908203126</v>
      </c>
      <c r="T101" s="257"/>
      <c r="U101" s="258"/>
      <c r="V101" s="41"/>
      <c r="W101" s="267"/>
      <c r="X101" s="268"/>
      <c r="Y101" s="42">
        <f>INDEX('Playoff Probabilties'!$C$37:$AF$66,MATCH(Standings!W100,'Playoff Probabilties'!$B$37:$B$66,0),MATCH(Standings!W103,'Playoff Probabilties'!$C$36:$AF$36,0))</f>
        <v>0.41154928689958714</v>
      </c>
      <c r="Z101" s="41"/>
      <c r="AA101" s="276"/>
      <c r="AB101" s="277"/>
      <c r="AC101" s="278"/>
    </row>
    <row r="102" spans="1:29" ht="15.75" thickBot="1" x14ac:dyDescent="0.3">
      <c r="A102" t="s">
        <v>75</v>
      </c>
      <c r="B102" t="s">
        <v>8</v>
      </c>
      <c r="C102" s="5">
        <f>VLOOKUP(B102,'Gamma Prediction'!$A$2:$G$31,7,FALSE)</f>
        <v>4.2585959705456644E-2</v>
      </c>
      <c r="D102" s="53">
        <f t="shared" ca="1" si="22"/>
        <v>8.3888727484391051E-2</v>
      </c>
      <c r="E102" s="4">
        <f ca="1">VLOOKUP(B102,'Gamma Prediction'!$A$2:$G$31,6,FALSE)+D102</f>
        <v>0.70830276777893442</v>
      </c>
      <c r="F102">
        <f t="shared" si="23"/>
        <v>2</v>
      </c>
      <c r="G102" s="4">
        <v>0.64440563964843744</v>
      </c>
      <c r="H102">
        <f t="shared" ca="1" si="24"/>
        <v>2</v>
      </c>
      <c r="M102" s="243"/>
      <c r="N102" s="47">
        <v>13</v>
      </c>
      <c r="O102" s="43" t="str">
        <f t="shared" si="25"/>
        <v>Cleveland Cavaliers </v>
      </c>
      <c r="P102" s="63">
        <f t="shared" si="26"/>
        <v>25.532767089843748</v>
      </c>
      <c r="Q102" s="63">
        <f t="shared" si="27"/>
        <v>46.467232910156255</v>
      </c>
      <c r="R102" s="66">
        <f t="shared" si="28"/>
        <v>0.35462176513671873</v>
      </c>
      <c r="T102" s="257"/>
      <c r="U102" s="258"/>
      <c r="V102" s="41"/>
      <c r="W102" s="41"/>
      <c r="X102" s="41"/>
      <c r="Y102" s="41"/>
      <c r="Z102" s="41"/>
      <c r="AA102" s="276"/>
      <c r="AB102" s="277"/>
      <c r="AC102" s="278"/>
    </row>
    <row r="103" spans="1:29" x14ac:dyDescent="0.25">
      <c r="A103" t="s">
        <v>75</v>
      </c>
      <c r="B103" t="s">
        <v>18</v>
      </c>
      <c r="C103" s="5">
        <f>VLOOKUP(B103,'Gamma Prediction'!$A$2:$G$31,7,FALSE)</f>
        <v>-7.8946011077121847E-2</v>
      </c>
      <c r="D103" s="53">
        <f t="shared" ca="1" si="22"/>
        <v>-2.2900915851252104E-2</v>
      </c>
      <c r="E103" s="4">
        <f ca="1">VLOOKUP(B103,'Gamma Prediction'!$A$2:$G$31,6,FALSE)+D103</f>
        <v>0.52804509522586973</v>
      </c>
      <c r="F103">
        <f t="shared" si="23"/>
        <v>7</v>
      </c>
      <c r="G103" s="4">
        <v>0.49326242065429687</v>
      </c>
      <c r="H103">
        <f t="shared" ca="1" si="24"/>
        <v>7</v>
      </c>
      <c r="M103" s="243"/>
      <c r="N103" s="47">
        <v>14</v>
      </c>
      <c r="O103" s="43" t="str">
        <f t="shared" si="25"/>
        <v>Orlando Magic </v>
      </c>
      <c r="P103" s="63">
        <f t="shared" si="26"/>
        <v>24.026178955078127</v>
      </c>
      <c r="Q103" s="63">
        <f t="shared" si="27"/>
        <v>47.973821044921877</v>
      </c>
      <c r="R103" s="66">
        <f t="shared" si="28"/>
        <v>0.33369692993164063</v>
      </c>
      <c r="T103" s="257"/>
      <c r="U103" s="258"/>
      <c r="V103" s="41"/>
      <c r="W103" s="269" t="str">
        <f>AC111</f>
        <v>Utah Jazz </v>
      </c>
      <c r="X103" s="270"/>
      <c r="Y103" s="41"/>
      <c r="Z103" s="41"/>
      <c r="AA103" s="276"/>
      <c r="AB103" s="277"/>
      <c r="AC103" s="278"/>
    </row>
    <row r="104" spans="1:29" ht="15.75" thickBot="1" x14ac:dyDescent="0.3">
      <c r="A104" t="s">
        <v>75</v>
      </c>
      <c r="B104" t="s">
        <v>28</v>
      </c>
      <c r="C104" s="5">
        <f>VLOOKUP(B104,'Gamma Prediction'!$A$2:$G$31,7,FALSE)</f>
        <v>5.8976196152893789E-2</v>
      </c>
      <c r="D104" s="53">
        <f t="shared" ca="1" si="22"/>
        <v>1.9726266619619903E-5</v>
      </c>
      <c r="E104" s="4">
        <f ca="1">VLOOKUP(B104,'Gamma Prediction'!$A$2:$G$31,6,FALSE)+D104</f>
        <v>0.34104353011372585</v>
      </c>
      <c r="F104">
        <f t="shared" si="23"/>
        <v>12</v>
      </c>
      <c r="G104" s="4">
        <v>0.37697930908203126</v>
      </c>
      <c r="H104">
        <f t="shared" ca="1" si="24"/>
        <v>14</v>
      </c>
      <c r="M104" s="244"/>
      <c r="N104" s="49">
        <v>15</v>
      </c>
      <c r="O104" s="50" t="str">
        <f t="shared" si="25"/>
        <v>Detroit Pistons </v>
      </c>
      <c r="P104" s="67">
        <f t="shared" si="26"/>
        <v>21.796683837890626</v>
      </c>
      <c r="Q104" s="67">
        <f t="shared" si="27"/>
        <v>50.203316162109374</v>
      </c>
      <c r="R104" s="68">
        <f t="shared" si="28"/>
        <v>0.30273171997070314</v>
      </c>
      <c r="T104" s="259"/>
      <c r="U104" s="260"/>
      <c r="V104" s="41"/>
      <c r="W104" s="271"/>
      <c r="X104" s="272"/>
      <c r="Y104" s="41"/>
      <c r="Z104" s="41"/>
      <c r="AA104" s="279"/>
      <c r="AB104" s="280"/>
      <c r="AC104" s="281"/>
    </row>
    <row r="105" spans="1:29" x14ac:dyDescent="0.25">
      <c r="A105" t="s">
        <v>1</v>
      </c>
      <c r="B105" t="s">
        <v>41</v>
      </c>
      <c r="C105" s="5">
        <f>VLOOKUP(B105,'Gamma Prediction'!$A$2:$G$31,7,FALSE)</f>
        <v>5.0322292462301688E-2</v>
      </c>
      <c r="D105" s="53">
        <f t="shared" ca="1" si="22"/>
        <v>-1.7177142128772332E-2</v>
      </c>
      <c r="E105" s="4">
        <f ca="1">VLOOKUP(B105,'Gamma Prediction'!$A$2:$G$31,6,FALSE)+D105</f>
        <v>0.47550056540892605</v>
      </c>
      <c r="F105">
        <f>RANK(G105,$G$105:$G$119)</f>
        <v>10</v>
      </c>
      <c r="G105" s="4">
        <v>0.51715283203124995</v>
      </c>
      <c r="H105">
        <f ca="1">RANK(E105,$E$105:$E$119,0)</f>
        <v>10</v>
      </c>
      <c r="T105" s="41"/>
      <c r="U105" s="41"/>
      <c r="V105" s="41"/>
      <c r="W105" s="41"/>
      <c r="X105" s="41"/>
      <c r="Y105" s="41"/>
      <c r="Z105" s="41"/>
      <c r="AA105" s="41"/>
      <c r="AB105" s="41"/>
      <c r="AC105" s="41"/>
    </row>
    <row r="106" spans="1:29" ht="15.75" thickBot="1" x14ac:dyDescent="0.3">
      <c r="A106" t="s">
        <v>1</v>
      </c>
      <c r="B106" t="s">
        <v>37</v>
      </c>
      <c r="C106" s="5">
        <f>VLOOKUP(B106,'Gamma Prediction'!$A$2:$G$31,7,FALSE)</f>
        <v>-0.10004282954162758</v>
      </c>
      <c r="D106" s="53">
        <f t="shared" ca="1" si="22"/>
        <v>-3.5046980322188476E-2</v>
      </c>
      <c r="E106" s="4">
        <f ca="1">VLOOKUP(B106,'Gamma Prediction'!$A$2:$G$31,6,FALSE)+D106</f>
        <v>0.64799584921943909</v>
      </c>
      <c r="F106">
        <f t="shared" ref="F106:F119" si="30">RANK(G106,$G$105:$G$119)</f>
        <v>5</v>
      </c>
      <c r="G106" s="4">
        <v>0.6102592163085937</v>
      </c>
      <c r="H106">
        <f t="shared" ref="H106:H119" ca="1" si="31">RANK(E106,$E$105:$E$119,0)</f>
        <v>4</v>
      </c>
      <c r="T106" s="41"/>
      <c r="U106" s="41"/>
      <c r="V106" s="41"/>
      <c r="W106" s="41"/>
      <c r="X106" s="41"/>
      <c r="Y106" s="41"/>
      <c r="Z106" s="41"/>
      <c r="AA106" s="41"/>
      <c r="AB106" s="41"/>
      <c r="AC106" s="41"/>
    </row>
    <row r="107" spans="1:29" ht="15.75" thickBot="1" x14ac:dyDescent="0.3">
      <c r="A107" t="s">
        <v>1</v>
      </c>
      <c r="B107" t="s">
        <v>39</v>
      </c>
      <c r="C107" s="5">
        <f>VLOOKUP(B107,'Gamma Prediction'!$A$2:$G$31,7,FALSE)</f>
        <v>-4.1130713309811551E-3</v>
      </c>
      <c r="D107" s="53">
        <f t="shared" ca="1" si="22"/>
        <v>-1.4547458608987526E-2</v>
      </c>
      <c r="E107" s="4">
        <f ca="1">VLOOKUP(B107,'Gamma Prediction'!$A$2:$G$31,6,FALSE)+D107</f>
        <v>0.50356561272199363</v>
      </c>
      <c r="F107">
        <f t="shared" si="30"/>
        <v>8</v>
      </c>
      <c r="G107" s="4">
        <v>0.53656878662109375</v>
      </c>
      <c r="H107">
        <f t="shared" ca="1" si="31"/>
        <v>9</v>
      </c>
      <c r="M107" s="245" t="s">
        <v>58</v>
      </c>
      <c r="N107" s="77"/>
      <c r="O107" s="78" t="s">
        <v>65</v>
      </c>
      <c r="P107" s="78" t="s">
        <v>1</v>
      </c>
      <c r="Q107" s="78" t="s">
        <v>2</v>
      </c>
      <c r="R107" s="79" t="s">
        <v>3</v>
      </c>
      <c r="T107" s="41"/>
      <c r="U107" s="41"/>
      <c r="V107" s="41"/>
      <c r="W107" s="41"/>
      <c r="X107" s="41"/>
      <c r="Y107" s="41"/>
      <c r="Z107" s="41"/>
      <c r="AA107" s="41"/>
      <c r="AB107" s="41"/>
      <c r="AC107" s="41"/>
    </row>
    <row r="108" spans="1:29" ht="15.75" thickBot="1" x14ac:dyDescent="0.3">
      <c r="A108" t="s">
        <v>1</v>
      </c>
      <c r="B108" t="s">
        <v>47</v>
      </c>
      <c r="C108" s="5">
        <f>VLOOKUP(B108,'Gamma Prediction'!$A$2:$G$31,7,FALSE)</f>
        <v>8.4191919080658373E-3</v>
      </c>
      <c r="D108" s="53">
        <f t="shared" ca="1" si="22"/>
        <v>3.4041407169331905E-2</v>
      </c>
      <c r="E108" s="4">
        <f ca="1">VLOOKUP(B108,'Gamma Prediction'!$A$2:$G$31,6,FALSE)+D108</f>
        <v>0.34962221526126608</v>
      </c>
      <c r="F108">
        <f t="shared" si="30"/>
        <v>14</v>
      </c>
      <c r="G108" s="4">
        <v>0.29849871826171875</v>
      </c>
      <c r="H108">
        <f t="shared" ca="1" si="31"/>
        <v>13</v>
      </c>
      <c r="M108" s="246"/>
      <c r="N108" s="80">
        <v>1</v>
      </c>
      <c r="O108" s="69" t="str">
        <f>INDEX($B$105:$B$119,MATCH(N108,$F$105:$F$119,0))</f>
        <v>Utah Jazz </v>
      </c>
      <c r="P108" s="70">
        <f>R108*72</f>
        <v>55.948684570312494</v>
      </c>
      <c r="Q108" s="70">
        <f>72-P108</f>
        <v>16.051315429687506</v>
      </c>
      <c r="R108" s="71">
        <f>VLOOKUP(O108,$B$90:$G$119,6,FALSE)</f>
        <v>0.77706506347656246</v>
      </c>
      <c r="T108" s="72">
        <v>1</v>
      </c>
      <c r="U108" s="73" t="str">
        <f>VLOOKUP(T108,$N$108:$O$115,2,FALSE)</f>
        <v>Utah Jazz </v>
      </c>
      <c r="V108" s="41"/>
      <c r="W108" s="42">
        <f>INDEX('Playoff Probabilties'!$C$37:$AF$66,MATCH(Standings!U108,'Playoff Probabilties'!$B$37:$B$66,0),MATCH(Standings!U109,'Playoff Probabilties'!$C$36:$AF$36,0))</f>
        <v>0.77663019909709696</v>
      </c>
      <c r="X108" s="114" t="str">
        <f>IF(W108&gt;=0.5,U108,U109)</f>
        <v>Utah Jazz </v>
      </c>
      <c r="Y108" s="42">
        <f>INDEX('Playoff Probabilties'!$C$37:$AF$66,MATCH(Standings!X108,'Playoff Probabilties'!$B$37:$B$66,0),MATCH(Standings!X110,'Playoff Probabilties'!$C$36:$AF$36,0))</f>
        <v>0.61505009738752614</v>
      </c>
      <c r="Z108" s="41"/>
      <c r="AA108" s="41"/>
      <c r="AB108" s="41"/>
      <c r="AC108" s="41"/>
    </row>
    <row r="109" spans="1:29" ht="15.75" thickBot="1" x14ac:dyDescent="0.3">
      <c r="A109" t="s">
        <v>1</v>
      </c>
      <c r="B109" t="s">
        <v>32</v>
      </c>
      <c r="C109" s="5">
        <f>VLOOKUP(B109,'Gamma Prediction'!$A$2:$G$31,7,FALSE)</f>
        <v>-5.5898161501803711E-2</v>
      </c>
      <c r="D109" s="53">
        <f t="shared" ca="1" si="22"/>
        <v>2.0064046932024043E-2</v>
      </c>
      <c r="E109" s="4">
        <f ca="1">VLOOKUP(B109,'Gamma Prediction'!$A$2:$G$31,6,FALSE)+D109</f>
        <v>0.70796220843382773</v>
      </c>
      <c r="F109">
        <f t="shared" si="30"/>
        <v>4</v>
      </c>
      <c r="G109" s="4">
        <v>0.65696453857421877</v>
      </c>
      <c r="H109">
        <f t="shared" ca="1" si="31"/>
        <v>3</v>
      </c>
      <c r="M109" s="246"/>
      <c r="N109" s="47">
        <v>2</v>
      </c>
      <c r="O109" s="43" t="str">
        <f t="shared" ref="O109:O122" si="32">INDEX($B$105:$B$119,MATCH(N109,$F$105:$F$119,0))</f>
        <v>Phoenix Suns </v>
      </c>
      <c r="P109" s="63">
        <f t="shared" ref="P109:P122" si="33">R109*72</f>
        <v>51.2941376953125</v>
      </c>
      <c r="Q109" s="63">
        <f t="shared" ref="Q109:Q122" si="34">72-P109</f>
        <v>20.7058623046875</v>
      </c>
      <c r="R109" s="66">
        <f t="shared" ref="R109:R122" si="35">VLOOKUP(O109,$B$90:$G$119,6,FALSE)</f>
        <v>0.71241857910156248</v>
      </c>
      <c r="T109" s="72">
        <v>8</v>
      </c>
      <c r="U109" s="73" t="str">
        <f t="shared" ref="U109:U115" si="36">VLOOKUP(T109,$N$108:$O$115,2,FALSE)</f>
        <v>Golden State Warriors </v>
      </c>
      <c r="V109" s="41"/>
      <c r="W109" s="42"/>
      <c r="X109" s="41"/>
      <c r="Y109" s="42"/>
      <c r="Z109" s="253" t="str">
        <f>IF(Y108&gt;=0.5,X108,X110)</f>
        <v>Utah Jazz </v>
      </c>
      <c r="AA109" s="254"/>
      <c r="AB109" s="42">
        <f>INDEX('Playoff Probabilties'!$C$37:$AF$66,MATCH(Standings!Z109,'Playoff Probabilties'!$B$37:$B$66,0),MATCH(Standings!Z113,'Playoff Probabilties'!$C$36:$AF$36,0))</f>
        <v>0.57463032417594229</v>
      </c>
      <c r="AC109" s="41"/>
    </row>
    <row r="110" spans="1:29" ht="15.75" thickBot="1" x14ac:dyDescent="0.3">
      <c r="A110" t="s">
        <v>1</v>
      </c>
      <c r="B110" t="s">
        <v>31</v>
      </c>
      <c r="C110" s="5">
        <f>VLOOKUP(B110,'Gamma Prediction'!$A$2:$G$31,7,FALSE)</f>
        <v>-3.4235915148626117E-2</v>
      </c>
      <c r="D110" s="53">
        <f t="shared" ca="1" si="22"/>
        <v>-8.063889639708012E-2</v>
      </c>
      <c r="E110" s="4">
        <f ca="1">VLOOKUP(B110,'Gamma Prediction'!$A$2:$G$31,6,FALSE)+D110</f>
        <v>0.60259701875154603</v>
      </c>
      <c r="F110">
        <f t="shared" si="30"/>
        <v>3</v>
      </c>
      <c r="G110" s="4">
        <v>0.67275689697265628</v>
      </c>
      <c r="H110">
        <f t="shared" ca="1" si="31"/>
        <v>5</v>
      </c>
      <c r="M110" s="246"/>
      <c r="N110" s="47">
        <v>3</v>
      </c>
      <c r="O110" s="43" t="str">
        <f t="shared" si="32"/>
        <v>Los Angeles Lakers </v>
      </c>
      <c r="P110" s="63">
        <f t="shared" si="33"/>
        <v>48.438496582031249</v>
      </c>
      <c r="Q110" s="63">
        <f t="shared" si="34"/>
        <v>23.561503417968751</v>
      </c>
      <c r="R110" s="66">
        <f t="shared" si="35"/>
        <v>0.67275689697265628</v>
      </c>
      <c r="T110" s="72">
        <v>4</v>
      </c>
      <c r="U110" s="73" t="str">
        <f t="shared" si="36"/>
        <v>Los Angeles Clippers </v>
      </c>
      <c r="V110" s="41"/>
      <c r="W110" s="42">
        <f>INDEX('Playoff Probabilties'!$C$37:$AF$66,MATCH(Standings!U110,'Playoff Probabilties'!$B$37:$B$66,0),MATCH(Standings!U111,'Playoff Probabilties'!$C$36:$AF$36,0))</f>
        <v>0.50009913148472718</v>
      </c>
      <c r="X110" s="114" t="str">
        <f>IF(W110&gt;=0.5,U110,U111)</f>
        <v>Los Angeles Clippers </v>
      </c>
      <c r="Y110" s="42"/>
      <c r="Z110" s="41"/>
      <c r="AA110" s="41"/>
      <c r="AB110" s="41"/>
      <c r="AC110" s="41"/>
    </row>
    <row r="111" spans="1:29" ht="15.75" thickBot="1" x14ac:dyDescent="0.3">
      <c r="A111" t="s">
        <v>1</v>
      </c>
      <c r="B111" t="s">
        <v>40</v>
      </c>
      <c r="C111" s="5">
        <f>VLOOKUP(B111,'Gamma Prediction'!$A$2:$G$31,7,FALSE)</f>
        <v>-3.2688332037544843E-2</v>
      </c>
      <c r="D111" s="53">
        <f t="shared" ca="1" si="22"/>
        <v>-1.9627493717699725E-2</v>
      </c>
      <c r="E111" s="4">
        <f ca="1">VLOOKUP(B111,'Gamma Prediction'!$A$2:$G$31,6,FALSE)+D111</f>
        <v>0.52806083831984518</v>
      </c>
      <c r="F111">
        <f t="shared" si="30"/>
        <v>7</v>
      </c>
      <c r="G111" s="4">
        <v>0.53772888183593748</v>
      </c>
      <c r="H111">
        <f t="shared" ca="1" si="31"/>
        <v>8</v>
      </c>
      <c r="M111" s="246"/>
      <c r="N111" s="47">
        <v>4</v>
      </c>
      <c r="O111" s="43" t="str">
        <f t="shared" si="32"/>
        <v>Los Angeles Clippers </v>
      </c>
      <c r="P111" s="63">
        <f t="shared" si="33"/>
        <v>47.301446777343749</v>
      </c>
      <c r="Q111" s="63">
        <f t="shared" si="34"/>
        <v>24.698553222656251</v>
      </c>
      <c r="R111" s="66">
        <f t="shared" si="35"/>
        <v>0.65696453857421877</v>
      </c>
      <c r="T111" s="72">
        <v>5</v>
      </c>
      <c r="U111" s="73" t="str">
        <f t="shared" si="36"/>
        <v>Denver Nuggets </v>
      </c>
      <c r="V111" s="41"/>
      <c r="W111" s="42"/>
      <c r="X111" s="41"/>
      <c r="Y111" s="42"/>
      <c r="Z111" s="41"/>
      <c r="AA111" s="41"/>
      <c r="AB111" s="41"/>
      <c r="AC111" s="262" t="str">
        <f>IF(AB109&gt;=0.5,Z109,Z113)</f>
        <v>Utah Jazz </v>
      </c>
    </row>
    <row r="112" spans="1:29" ht="15.75" thickBot="1" x14ac:dyDescent="0.3">
      <c r="A112" t="s">
        <v>1</v>
      </c>
      <c r="B112" t="s">
        <v>48</v>
      </c>
      <c r="C112" s="5">
        <f>VLOOKUP(B112,'Gamma Prediction'!$A$2:$G$31,7,FALSE)</f>
        <v>-1.546655018826773E-2</v>
      </c>
      <c r="D112" s="53">
        <f t="shared" ca="1" si="22"/>
        <v>-2.1299554018187908E-2</v>
      </c>
      <c r="E112" s="4">
        <f ca="1">VLOOKUP(B112,'Gamma Prediction'!$A$2:$G$31,6,FALSE)+D112</f>
        <v>0.18816699617007981</v>
      </c>
      <c r="F112">
        <f t="shared" si="30"/>
        <v>15</v>
      </c>
      <c r="G112" s="4">
        <v>0.21574502563476564</v>
      </c>
      <c r="H112">
        <f t="shared" ca="1" si="31"/>
        <v>15</v>
      </c>
      <c r="M112" s="246"/>
      <c r="N112" s="47">
        <v>5</v>
      </c>
      <c r="O112" s="43" t="str">
        <f t="shared" si="32"/>
        <v>Denver Nuggets </v>
      </c>
      <c r="P112" s="63">
        <f t="shared" si="33"/>
        <v>43.938663574218744</v>
      </c>
      <c r="Q112" s="63">
        <f t="shared" si="34"/>
        <v>28.061336425781256</v>
      </c>
      <c r="R112" s="66">
        <f t="shared" si="35"/>
        <v>0.6102592163085937</v>
      </c>
      <c r="T112" s="64">
        <v>3</v>
      </c>
      <c r="U112" s="65" t="str">
        <f t="shared" si="36"/>
        <v>Los Angeles Lakers </v>
      </c>
      <c r="V112" s="41"/>
      <c r="W112" s="42">
        <f>INDEX('Playoff Probabilties'!$C$37:$AF$66,MATCH(Standings!U112,'Playoff Probabilties'!$B$37:$B$66,0),MATCH(Standings!U113,'Playoff Probabilties'!$C$36:$AF$36,0))</f>
        <v>0.72922552797346629</v>
      </c>
      <c r="X112" s="114" t="str">
        <f>IF(W112&gt;=0.5,U112,U113)</f>
        <v>Los Angeles Lakers </v>
      </c>
      <c r="Y112" s="42"/>
      <c r="Z112" s="41"/>
      <c r="AA112" s="41"/>
      <c r="AB112" s="41"/>
      <c r="AC112" s="263"/>
    </row>
    <row r="113" spans="1:29" ht="15.75" thickBot="1" x14ac:dyDescent="0.3">
      <c r="A113" t="s">
        <v>1</v>
      </c>
      <c r="B113" t="s">
        <v>44</v>
      </c>
      <c r="C113" s="5">
        <f>VLOOKUP(B113,'Gamma Prediction'!$A$2:$G$31,7,FALSE)</f>
        <v>-6.882651230473219E-2</v>
      </c>
      <c r="D113" s="53">
        <f t="shared" ca="1" si="22"/>
        <v>-0.11291479861951817</v>
      </c>
      <c r="E113" s="4">
        <f ca="1">VLOOKUP(B113,'Gamma Prediction'!$A$2:$G$31,6,FALSE)+D113</f>
        <v>0.37291171368521403</v>
      </c>
      <c r="F113">
        <f t="shared" si="30"/>
        <v>11</v>
      </c>
      <c r="G113" s="4">
        <v>0.44343267822265625</v>
      </c>
      <c r="H113">
        <f t="shared" ca="1" si="31"/>
        <v>12</v>
      </c>
      <c r="M113" s="246"/>
      <c r="N113" s="47">
        <v>6</v>
      </c>
      <c r="O113" s="43" t="str">
        <f t="shared" si="32"/>
        <v>Portland Trail Blazers </v>
      </c>
      <c r="P113" s="63">
        <f t="shared" si="33"/>
        <v>41.198400878906249</v>
      </c>
      <c r="Q113" s="63">
        <f t="shared" si="34"/>
        <v>30.801599121093751</v>
      </c>
      <c r="R113" s="66">
        <f t="shared" si="35"/>
        <v>0.57220001220703121</v>
      </c>
      <c r="T113" s="72">
        <v>6</v>
      </c>
      <c r="U113" s="73" t="str">
        <f t="shared" si="36"/>
        <v>Portland Trail Blazers </v>
      </c>
      <c r="V113" s="41"/>
      <c r="W113" s="42"/>
      <c r="X113" s="41"/>
      <c r="Y113" s="42"/>
      <c r="Z113" s="253" t="str">
        <f>IF(Y114&gt;=0.5,X114,X112)</f>
        <v>Phoenix Suns </v>
      </c>
      <c r="AA113" s="254"/>
      <c r="AB113" s="41"/>
      <c r="AC113" s="41"/>
    </row>
    <row r="114" spans="1:29" ht="15.75" thickBot="1" x14ac:dyDescent="0.3">
      <c r="A114" t="s">
        <v>1</v>
      </c>
      <c r="B114" t="s">
        <v>46</v>
      </c>
      <c r="C114" s="5">
        <f>VLOOKUP(B114,'Gamma Prediction'!$A$2:$G$31,7,FALSE)</f>
        <v>0.11346553834721235</v>
      </c>
      <c r="D114" s="53">
        <f t="shared" ca="1" si="22"/>
        <v>1.4909783506606711E-3</v>
      </c>
      <c r="E114" s="4">
        <f ca="1">VLOOKUP(B114,'Gamma Prediction'!$A$2:$G$31,6,FALSE)+D114</f>
        <v>0.30502544000344833</v>
      </c>
      <c r="F114">
        <f t="shared" si="30"/>
        <v>12</v>
      </c>
      <c r="G114" s="4">
        <v>0.38979058837890623</v>
      </c>
      <c r="H114">
        <f t="shared" ca="1" si="31"/>
        <v>14</v>
      </c>
      <c r="M114" s="246"/>
      <c r="N114" s="47">
        <v>7</v>
      </c>
      <c r="O114" s="43" t="str">
        <f t="shared" si="32"/>
        <v>Memphis Grizzlies </v>
      </c>
      <c r="P114" s="63">
        <f t="shared" si="33"/>
        <v>38.716479492187496</v>
      </c>
      <c r="Q114" s="63">
        <f t="shared" si="34"/>
        <v>33.283520507812504</v>
      </c>
      <c r="R114" s="66">
        <f t="shared" si="35"/>
        <v>0.53772888183593748</v>
      </c>
      <c r="T114" s="72">
        <v>2</v>
      </c>
      <c r="U114" s="73" t="str">
        <f t="shared" si="36"/>
        <v>Phoenix Suns </v>
      </c>
      <c r="V114" s="41"/>
      <c r="W114" s="42">
        <f>INDEX('Playoff Probabilties'!$C$37:$AF$66,MATCH(Standings!U114,'Playoff Probabilties'!$B$37:$B$66,0),MATCH(Standings!U115,'Playoff Probabilties'!$C$36:$AF$36,0))</f>
        <v>0.69132790298392954</v>
      </c>
      <c r="X114" s="114" t="str">
        <f>IF(W114&gt;=0.5,U114,U115)</f>
        <v>Phoenix Suns </v>
      </c>
      <c r="Y114" s="42">
        <f>INDEX('Playoff Probabilties'!$C$37:$AF$66,MATCH(Standings!X114,'Playoff Probabilties'!$B$37:$B$66,0),MATCH(Standings!X112,'Playoff Probabilties'!$C$36:$AF$36,0))</f>
        <v>0.55793025566175669</v>
      </c>
      <c r="Z114" s="41"/>
      <c r="AA114" s="41"/>
      <c r="AB114" s="41"/>
      <c r="AC114" s="41"/>
    </row>
    <row r="115" spans="1:29" ht="15.75" thickBot="1" x14ac:dyDescent="0.3">
      <c r="A115" t="s">
        <v>1</v>
      </c>
      <c r="B115" t="s">
        <v>34</v>
      </c>
      <c r="C115" s="5">
        <f>VLOOKUP(B115,'Gamma Prediction'!$A$2:$G$31,7,FALSE)</f>
        <v>-3.8417237547569427E-2</v>
      </c>
      <c r="D115" s="53">
        <f t="shared" ca="1" si="22"/>
        <v>-1.6250936488378546E-2</v>
      </c>
      <c r="E115" s="4">
        <f ca="1">VLOOKUP(B115,'Gamma Prediction'!$A$2:$G$31,6,FALSE)+D115</f>
        <v>0.70816630105919098</v>
      </c>
      <c r="F115">
        <f t="shared" si="30"/>
        <v>2</v>
      </c>
      <c r="G115" s="4">
        <v>0.71241857910156248</v>
      </c>
      <c r="H115">
        <f t="shared" ca="1" si="31"/>
        <v>2</v>
      </c>
      <c r="M115" s="246"/>
      <c r="N115" s="49">
        <v>8</v>
      </c>
      <c r="O115" s="50" t="str">
        <f t="shared" si="32"/>
        <v>Golden State Warriors </v>
      </c>
      <c r="P115" s="67">
        <f t="shared" si="33"/>
        <v>38.632952636718748</v>
      </c>
      <c r="Q115" s="67">
        <f t="shared" si="34"/>
        <v>33.367047363281252</v>
      </c>
      <c r="R115" s="68">
        <f t="shared" si="35"/>
        <v>0.53656878662109375</v>
      </c>
      <c r="T115" s="72">
        <v>7</v>
      </c>
      <c r="U115" s="73" t="str">
        <f t="shared" si="36"/>
        <v>Memphis Grizzlies </v>
      </c>
      <c r="V115" s="41"/>
      <c r="W115" s="41"/>
      <c r="X115" s="41"/>
      <c r="Y115" s="41"/>
      <c r="Z115" s="41"/>
      <c r="AA115" s="41"/>
      <c r="AB115" s="41"/>
      <c r="AC115" s="41"/>
    </row>
    <row r="116" spans="1:29" x14ac:dyDescent="0.25">
      <c r="A116" t="s">
        <v>1</v>
      </c>
      <c r="B116" t="s">
        <v>35</v>
      </c>
      <c r="C116" s="5">
        <f>VLOOKUP(B116,'Gamma Prediction'!$A$2:$G$31,7,FALSE)</f>
        <v>0.11429699094514106</v>
      </c>
      <c r="D116" s="53">
        <f t="shared" ca="1" si="22"/>
        <v>8.966198196485449E-2</v>
      </c>
      <c r="E116" s="4">
        <f ca="1">VLOOKUP(B116,'Gamma Prediction'!$A$2:$G$31,6,FALSE)+D116</f>
        <v>0.57536499101971339</v>
      </c>
      <c r="F116">
        <f t="shared" si="30"/>
        <v>6</v>
      </c>
      <c r="G116" s="4">
        <v>0.57220001220703121</v>
      </c>
      <c r="H116">
        <f t="shared" ca="1" si="31"/>
        <v>6</v>
      </c>
      <c r="M116" s="246"/>
      <c r="N116" s="80">
        <v>9</v>
      </c>
      <c r="O116" s="69" t="str">
        <f t="shared" si="32"/>
        <v>San Antonio Spurs </v>
      </c>
      <c r="P116" s="70">
        <f t="shared" si="33"/>
        <v>37.558067871093755</v>
      </c>
      <c r="Q116" s="70">
        <f t="shared" si="34"/>
        <v>34.441932128906245</v>
      </c>
      <c r="R116" s="71">
        <f t="shared" si="35"/>
        <v>0.52163983154296878</v>
      </c>
    </row>
    <row r="117" spans="1:29" x14ac:dyDescent="0.25">
      <c r="A117" t="s">
        <v>1</v>
      </c>
      <c r="B117" t="s">
        <v>43</v>
      </c>
      <c r="C117" s="5">
        <f>VLOOKUP(B117,'Gamma Prediction'!$A$2:$G$31,7,FALSE)</f>
        <v>7.8020163341876003E-2</v>
      </c>
      <c r="D117" s="53">
        <f t="shared" ca="1" si="22"/>
        <v>0.12361361713709679</v>
      </c>
      <c r="E117" s="4">
        <f ca="1">VLOOKUP(B117,'Gamma Prediction'!$A$2:$G$31,6,FALSE)+D117</f>
        <v>0.4345934537952208</v>
      </c>
      <c r="F117">
        <f t="shared" si="30"/>
        <v>13</v>
      </c>
      <c r="G117" s="4">
        <v>0.36202380371093751</v>
      </c>
      <c r="H117">
        <f t="shared" ca="1" si="31"/>
        <v>11</v>
      </c>
      <c r="M117" s="246"/>
      <c r="N117" s="47">
        <v>10</v>
      </c>
      <c r="O117" s="43" t="str">
        <f t="shared" si="32"/>
        <v>Dallas Mavericks </v>
      </c>
      <c r="P117" s="63">
        <f t="shared" si="33"/>
        <v>37.23500390625</v>
      </c>
      <c r="Q117" s="63">
        <f t="shared" si="34"/>
        <v>34.76499609375</v>
      </c>
      <c r="R117" s="66">
        <f t="shared" si="35"/>
        <v>0.51715283203124995</v>
      </c>
    </row>
    <row r="118" spans="1:29" x14ac:dyDescent="0.25">
      <c r="A118" t="s">
        <v>1</v>
      </c>
      <c r="B118" t="s">
        <v>36</v>
      </c>
      <c r="C118" s="5">
        <f>VLOOKUP(B118,'Gamma Prediction'!$A$2:$G$31,7,FALSE)</f>
        <v>5.6086362102689413E-2</v>
      </c>
      <c r="D118" s="53">
        <f t="shared" ca="1" si="22"/>
        <v>5.6832834659514414E-2</v>
      </c>
      <c r="E118" s="4">
        <f ca="1">VLOOKUP(B118,'Gamma Prediction'!$A$2:$G$31,6,FALSE)+D118</f>
        <v>0.54574647255682507</v>
      </c>
      <c r="F118">
        <f t="shared" si="30"/>
        <v>9</v>
      </c>
      <c r="G118" s="4">
        <v>0.52163983154296878</v>
      </c>
      <c r="H118">
        <f t="shared" ca="1" si="31"/>
        <v>7</v>
      </c>
      <c r="M118" s="246"/>
      <c r="N118" s="47">
        <v>11</v>
      </c>
      <c r="O118" s="43" t="str">
        <f t="shared" si="32"/>
        <v>New Orleans Pelicans </v>
      </c>
      <c r="P118" s="63">
        <f t="shared" si="33"/>
        <v>31.927152832031251</v>
      </c>
      <c r="Q118" s="63">
        <f t="shared" si="34"/>
        <v>40.072847167968746</v>
      </c>
      <c r="R118" s="66">
        <f t="shared" si="35"/>
        <v>0.44343267822265625</v>
      </c>
    </row>
    <row r="119" spans="1:29" x14ac:dyDescent="0.25">
      <c r="A119" t="s">
        <v>1</v>
      </c>
      <c r="B119" t="s">
        <v>30</v>
      </c>
      <c r="C119" s="5">
        <f>VLOOKUP(B119,'Gamma Prediction'!$A$2:$G$31,7,FALSE)</f>
        <v>-3.366915778063162E-2</v>
      </c>
      <c r="D119" s="53">
        <f t="shared" ca="1" si="22"/>
        <v>6.7666940962035516E-2</v>
      </c>
      <c r="E119" s="4">
        <f ca="1">VLOOKUP(B119,'Gamma Prediction'!$A$2:$G$31,6,FALSE)+D119</f>
        <v>0.85133609874266714</v>
      </c>
      <c r="F119">
        <f t="shared" si="30"/>
        <v>1</v>
      </c>
      <c r="G119" s="4">
        <v>0.77706506347656246</v>
      </c>
      <c r="H119">
        <f t="shared" ca="1" si="31"/>
        <v>1</v>
      </c>
      <c r="M119" s="246"/>
      <c r="N119" s="47">
        <v>12</v>
      </c>
      <c r="O119" s="43" t="str">
        <f t="shared" si="32"/>
        <v>Oklahoma City Thunder </v>
      </c>
      <c r="P119" s="63">
        <f t="shared" si="33"/>
        <v>28.064922363281248</v>
      </c>
      <c r="Q119" s="63">
        <f t="shared" si="34"/>
        <v>43.935077636718752</v>
      </c>
      <c r="R119" s="66">
        <f t="shared" si="35"/>
        <v>0.38979058837890623</v>
      </c>
    </row>
    <row r="120" spans="1:29" x14ac:dyDescent="0.25">
      <c r="M120" s="246"/>
      <c r="N120" s="47">
        <v>13</v>
      </c>
      <c r="O120" s="43" t="str">
        <f t="shared" si="32"/>
        <v>Sacramento Kings </v>
      </c>
      <c r="P120" s="63">
        <f t="shared" si="33"/>
        <v>26.065713867187501</v>
      </c>
      <c r="Q120" s="63">
        <f t="shared" si="34"/>
        <v>45.934286132812503</v>
      </c>
      <c r="R120" s="66">
        <f t="shared" si="35"/>
        <v>0.36202380371093751</v>
      </c>
    </row>
    <row r="121" spans="1:29" x14ac:dyDescent="0.25">
      <c r="M121" s="246"/>
      <c r="N121" s="47">
        <v>14</v>
      </c>
      <c r="O121" s="43" t="str">
        <f t="shared" si="32"/>
        <v>Houston Rockets </v>
      </c>
      <c r="P121" s="63">
        <f t="shared" si="33"/>
        <v>21.491907714843752</v>
      </c>
      <c r="Q121" s="63">
        <f t="shared" si="34"/>
        <v>50.508092285156252</v>
      </c>
      <c r="R121" s="66">
        <f t="shared" si="35"/>
        <v>0.29849871826171875</v>
      </c>
    </row>
    <row r="122" spans="1:29" ht="15.75" thickBot="1" x14ac:dyDescent="0.3">
      <c r="M122" s="247"/>
      <c r="N122" s="49">
        <v>15</v>
      </c>
      <c r="O122" s="50" t="str">
        <f t="shared" si="32"/>
        <v>Minnesota Timberwolves </v>
      </c>
      <c r="P122" s="67">
        <f t="shared" si="33"/>
        <v>15.533641845703126</v>
      </c>
      <c r="Q122" s="67">
        <f t="shared" si="34"/>
        <v>56.46635815429687</v>
      </c>
      <c r="R122" s="68">
        <f t="shared" si="35"/>
        <v>0.21574502563476564</v>
      </c>
    </row>
    <row r="126" spans="1:29" ht="15.75" thickBot="1" x14ac:dyDescent="0.3"/>
    <row r="127" spans="1:29" ht="15.75" thickBot="1" x14ac:dyDescent="0.3">
      <c r="R127" s="248" t="str">
        <f>"Probabilities based on "&amp;G89</f>
        <v>Probabilities based on 1000 Sims</v>
      </c>
      <c r="S127" s="249"/>
      <c r="T127" s="249"/>
      <c r="U127" s="250"/>
      <c r="V127" s="248" t="s">
        <v>123</v>
      </c>
      <c r="W127" s="249"/>
      <c r="X127" s="249"/>
      <c r="Y127" s="250"/>
    </row>
    <row r="128" spans="1:29" ht="15.75" thickBot="1" x14ac:dyDescent="0.3">
      <c r="A128" s="85"/>
      <c r="B128" s="93" t="s">
        <v>76</v>
      </c>
      <c r="C128" s="92">
        <v>1</v>
      </c>
      <c r="D128" s="92">
        <v>2</v>
      </c>
      <c r="E128" s="92">
        <v>3</v>
      </c>
      <c r="F128" s="92">
        <v>4</v>
      </c>
      <c r="G128" s="92">
        <v>5</v>
      </c>
      <c r="H128" s="92">
        <v>6</v>
      </c>
      <c r="I128" s="92">
        <v>7</v>
      </c>
      <c r="J128" s="92">
        <v>8</v>
      </c>
      <c r="K128" s="92">
        <v>9</v>
      </c>
      <c r="L128" s="92">
        <v>10</v>
      </c>
      <c r="M128" s="92">
        <v>11</v>
      </c>
      <c r="N128" s="92">
        <v>12</v>
      </c>
      <c r="O128" s="92">
        <v>13</v>
      </c>
      <c r="P128" s="92">
        <v>14</v>
      </c>
      <c r="Q128" s="94">
        <v>15</v>
      </c>
      <c r="R128" s="98" t="s">
        <v>65</v>
      </c>
      <c r="S128" s="99" t="s">
        <v>79</v>
      </c>
      <c r="T128" s="99" t="s">
        <v>80</v>
      </c>
      <c r="U128" s="126" t="s">
        <v>81</v>
      </c>
      <c r="V128" s="127" t="s">
        <v>115</v>
      </c>
      <c r="W128" s="128" t="s">
        <v>116</v>
      </c>
      <c r="X128" s="128" t="s">
        <v>117</v>
      </c>
      <c r="Y128" s="129" t="s">
        <v>118</v>
      </c>
    </row>
    <row r="129" spans="1:25" x14ac:dyDescent="0.25">
      <c r="A129" s="47" t="s">
        <v>75</v>
      </c>
      <c r="B129" s="43" t="s">
        <v>23</v>
      </c>
      <c r="C129" s="84">
        <v>0</v>
      </c>
      <c r="D129" s="84">
        <v>0</v>
      </c>
      <c r="E129" s="84">
        <v>3.0000000260770321E-3</v>
      </c>
      <c r="F129" s="84">
        <v>2.9999999329447746E-2</v>
      </c>
      <c r="G129" s="84">
        <v>6.4000003039836884E-2</v>
      </c>
      <c r="H129" s="84">
        <v>9.7999997437000275E-2</v>
      </c>
      <c r="I129" s="84">
        <v>0.13199999928474426</v>
      </c>
      <c r="J129" s="84">
        <v>0.14100000262260437</v>
      </c>
      <c r="K129" s="84">
        <v>0.13600000739097595</v>
      </c>
      <c r="L129" s="84">
        <v>0.16699999570846558</v>
      </c>
      <c r="M129" s="84">
        <v>0.14300000667572021</v>
      </c>
      <c r="N129" s="84">
        <v>5.9000000357627869E-2</v>
      </c>
      <c r="O129" s="84">
        <v>1.9999999552965164E-2</v>
      </c>
      <c r="P129" s="84">
        <v>6.0000000521540642E-3</v>
      </c>
      <c r="Q129" s="95">
        <v>1.0000000474974513E-3</v>
      </c>
      <c r="R129" s="100" t="s">
        <v>82</v>
      </c>
      <c r="S129" s="101">
        <f>SUM(C129:J129)</f>
        <v>0.46800000173971057</v>
      </c>
      <c r="T129" s="101">
        <f>C129</f>
        <v>0</v>
      </c>
      <c r="U129" s="122">
        <f>SUM(C129:F129)</f>
        <v>3.2999999355524778E-2</v>
      </c>
      <c r="V129" s="130">
        <v>0.17562649295928687</v>
      </c>
      <c r="W129" s="131">
        <v>7.4014412964424139E-2</v>
      </c>
      <c r="X129" s="131">
        <v>2.8488683032908677E-2</v>
      </c>
      <c r="Y129" s="132">
        <v>8.3200607347299425E-3</v>
      </c>
    </row>
    <row r="130" spans="1:25" x14ac:dyDescent="0.25">
      <c r="A130" s="47" t="s">
        <v>75</v>
      </c>
      <c r="B130" s="43" t="s">
        <v>14</v>
      </c>
      <c r="C130" s="84">
        <v>9.9999997764825821E-3</v>
      </c>
      <c r="D130" s="84">
        <v>5.000000074505806E-2</v>
      </c>
      <c r="E130" s="84">
        <v>0.10999999940395355</v>
      </c>
      <c r="F130" s="84">
        <v>0.25400000810623169</v>
      </c>
      <c r="G130" s="84">
        <v>0.20299999415874481</v>
      </c>
      <c r="H130" s="84">
        <v>0.12800000607967377</v>
      </c>
      <c r="I130" s="84">
        <v>0.10000000149011612</v>
      </c>
      <c r="J130" s="84">
        <v>8.1000000238418579E-2</v>
      </c>
      <c r="K130" s="84">
        <v>4.3999999761581421E-2</v>
      </c>
      <c r="L130" s="84">
        <v>1.4999999664723873E-2</v>
      </c>
      <c r="M130" s="84">
        <v>4.999999888241291E-3</v>
      </c>
      <c r="N130" s="84">
        <v>0</v>
      </c>
      <c r="O130" s="84">
        <v>0</v>
      </c>
      <c r="P130" s="84">
        <v>0</v>
      </c>
      <c r="Q130" s="95">
        <v>0</v>
      </c>
      <c r="R130" s="102" t="s">
        <v>83</v>
      </c>
      <c r="S130" s="103">
        <f t="shared" ref="S130:S158" si="37">SUM(C130:J130)</f>
        <v>0.93600000999867916</v>
      </c>
      <c r="T130" s="103">
        <f t="shared" ref="T130:T158" si="38">C130</f>
        <v>9.9999997764825821E-3</v>
      </c>
      <c r="U130" s="123">
        <f t="shared" ref="U130:U158" si="39">SUM(C130:F130)</f>
        <v>0.42400000803172588</v>
      </c>
      <c r="V130" s="133">
        <v>0.45269692660359595</v>
      </c>
      <c r="W130" s="125">
        <v>0.19601173399148897</v>
      </c>
      <c r="X130" s="125">
        <v>8.049190847739042E-2</v>
      </c>
      <c r="Y130" s="134">
        <v>2.585658856283916E-2</v>
      </c>
    </row>
    <row r="131" spans="1:25" x14ac:dyDescent="0.25">
      <c r="A131" s="47" t="s">
        <v>75</v>
      </c>
      <c r="B131" s="43" t="s">
        <v>11</v>
      </c>
      <c r="C131" s="84">
        <v>0.53200000524520874</v>
      </c>
      <c r="D131" s="84">
        <v>0.27399998903274536</v>
      </c>
      <c r="E131" s="84">
        <v>0.15700000524520874</v>
      </c>
      <c r="F131" s="84">
        <v>2.9999999329447746E-2</v>
      </c>
      <c r="G131" s="84">
        <v>6.0000000521540642E-3</v>
      </c>
      <c r="H131" s="84">
        <v>1.0000000474974513E-3</v>
      </c>
      <c r="I131" s="84">
        <v>0</v>
      </c>
      <c r="J131" s="84">
        <v>0</v>
      </c>
      <c r="K131" s="84">
        <v>0</v>
      </c>
      <c r="L131" s="84">
        <v>0</v>
      </c>
      <c r="M131" s="84">
        <v>0</v>
      </c>
      <c r="N131" s="84">
        <v>0</v>
      </c>
      <c r="O131" s="84">
        <v>0</v>
      </c>
      <c r="P131" s="84">
        <v>0</v>
      </c>
      <c r="Q131" s="95">
        <v>0</v>
      </c>
      <c r="R131" s="102" t="s">
        <v>84</v>
      </c>
      <c r="S131" s="103">
        <f t="shared" si="37"/>
        <v>0.9999999989522621</v>
      </c>
      <c r="T131" s="103">
        <f t="shared" si="38"/>
        <v>0.53200000524520874</v>
      </c>
      <c r="U131" s="123">
        <f t="shared" si="39"/>
        <v>0.99299999885261059</v>
      </c>
      <c r="V131" s="133">
        <v>0.69091673321257563</v>
      </c>
      <c r="W131" s="125">
        <v>0.42006699347926751</v>
      </c>
      <c r="X131" s="125">
        <v>0.23692267594539057</v>
      </c>
      <c r="Y131" s="134">
        <v>0.10751196125642729</v>
      </c>
    </row>
    <row r="132" spans="1:25" x14ac:dyDescent="0.25">
      <c r="A132" s="47" t="s">
        <v>75</v>
      </c>
      <c r="B132" s="43" t="s">
        <v>16</v>
      </c>
      <c r="C132" s="84">
        <v>0</v>
      </c>
      <c r="D132" s="84">
        <v>0</v>
      </c>
      <c r="E132" s="84">
        <v>2.0000000949949026E-3</v>
      </c>
      <c r="F132" s="84">
        <v>1.7999999225139618E-2</v>
      </c>
      <c r="G132" s="84">
        <v>5.000000074505806E-2</v>
      </c>
      <c r="H132" s="84">
        <v>0.11500000208616257</v>
      </c>
      <c r="I132" s="84">
        <v>0.10400000214576721</v>
      </c>
      <c r="J132" s="84">
        <v>0.11699999868869781</v>
      </c>
      <c r="K132" s="84">
        <v>0.15999999642372131</v>
      </c>
      <c r="L132" s="84">
        <v>0.14599999785423279</v>
      </c>
      <c r="M132" s="84">
        <v>0.1550000011920929</v>
      </c>
      <c r="N132" s="84">
        <v>8.1000000238418579E-2</v>
      </c>
      <c r="O132" s="84">
        <v>3.9999999105930328E-2</v>
      </c>
      <c r="P132" s="84">
        <v>1.2000000104308128E-2</v>
      </c>
      <c r="Q132" s="95">
        <v>0</v>
      </c>
      <c r="R132" s="102" t="s">
        <v>85</v>
      </c>
      <c r="S132" s="103">
        <f t="shared" si="37"/>
        <v>0.40600000298582017</v>
      </c>
      <c r="T132" s="103">
        <f t="shared" si="38"/>
        <v>0</v>
      </c>
      <c r="U132" s="123">
        <f t="shared" si="39"/>
        <v>1.9999999320134521E-2</v>
      </c>
      <c r="V132" s="133">
        <v>0.12899871278029118</v>
      </c>
      <c r="W132" s="125">
        <v>4.6645626394323611E-2</v>
      </c>
      <c r="X132" s="125">
        <v>1.5683720328380713E-2</v>
      </c>
      <c r="Y132" s="134">
        <v>3.8652421031462971E-3</v>
      </c>
    </row>
    <row r="133" spans="1:25" x14ac:dyDescent="0.25">
      <c r="A133" s="47" t="s">
        <v>75</v>
      </c>
      <c r="B133" s="43" t="s">
        <v>20</v>
      </c>
      <c r="C133" s="84">
        <v>0</v>
      </c>
      <c r="D133" s="84">
        <v>6.0000000521540642E-3</v>
      </c>
      <c r="E133" s="84">
        <v>1.7000000923871994E-2</v>
      </c>
      <c r="F133" s="84">
        <v>6.8999998271465302E-2</v>
      </c>
      <c r="G133" s="84">
        <v>0.1289999932050705</v>
      </c>
      <c r="H133" s="84">
        <v>0.13899999856948853</v>
      </c>
      <c r="I133" s="84">
        <v>0.14000000059604645</v>
      </c>
      <c r="J133" s="84">
        <v>0.14200000464916229</v>
      </c>
      <c r="K133" s="84">
        <v>0.12099999934434891</v>
      </c>
      <c r="L133" s="84">
        <v>0.125</v>
      </c>
      <c r="M133" s="84">
        <v>8.5000000894069672E-2</v>
      </c>
      <c r="N133" s="84">
        <v>2.199999988079071E-2</v>
      </c>
      <c r="O133" s="84">
        <v>4.0000001899898052E-3</v>
      </c>
      <c r="P133" s="84">
        <v>1.0000000474974513E-3</v>
      </c>
      <c r="Q133" s="95">
        <v>0</v>
      </c>
      <c r="R133" s="102" t="s">
        <v>86</v>
      </c>
      <c r="S133" s="103">
        <f t="shared" si="37"/>
        <v>0.64199999626725912</v>
      </c>
      <c r="T133" s="103">
        <f t="shared" si="38"/>
        <v>0</v>
      </c>
      <c r="U133" s="123">
        <f t="shared" si="39"/>
        <v>9.199999924749136E-2</v>
      </c>
      <c r="V133" s="133">
        <v>0.21526275080453666</v>
      </c>
      <c r="W133" s="125">
        <v>7.6321420450510796E-2</v>
      </c>
      <c r="X133" s="125">
        <v>2.5182540283351731E-2</v>
      </c>
      <c r="Y133" s="134">
        <v>6.1755160924203351E-3</v>
      </c>
    </row>
    <row r="134" spans="1:25" x14ac:dyDescent="0.25">
      <c r="A134" s="47" t="s">
        <v>75</v>
      </c>
      <c r="B134" s="43" t="s">
        <v>26</v>
      </c>
      <c r="C134" s="84">
        <v>0</v>
      </c>
      <c r="D134" s="84">
        <v>0</v>
      </c>
      <c r="E134" s="84">
        <v>0</v>
      </c>
      <c r="F134" s="84">
        <v>0</v>
      </c>
      <c r="G134" s="84">
        <v>0</v>
      </c>
      <c r="H134" s="84">
        <v>0</v>
      </c>
      <c r="I134" s="84">
        <v>0</v>
      </c>
      <c r="J134" s="84">
        <v>0</v>
      </c>
      <c r="K134" s="84">
        <v>0</v>
      </c>
      <c r="L134" s="84">
        <v>8.999999612569809E-3</v>
      </c>
      <c r="M134" s="84">
        <v>4.8999998718500137E-2</v>
      </c>
      <c r="N134" s="84">
        <v>0.25799998641014099</v>
      </c>
      <c r="O134" s="84">
        <v>0.32300001382827759</v>
      </c>
      <c r="P134" s="84">
        <v>0.23999999463558197</v>
      </c>
      <c r="Q134" s="95">
        <v>0.12099999934434891</v>
      </c>
      <c r="R134" s="102" t="s">
        <v>87</v>
      </c>
      <c r="S134" s="103">
        <f t="shared" si="37"/>
        <v>0</v>
      </c>
      <c r="T134" s="103">
        <f t="shared" si="38"/>
        <v>0</v>
      </c>
      <c r="U134" s="123">
        <f t="shared" si="39"/>
        <v>0</v>
      </c>
      <c r="V134" s="133">
        <v>0</v>
      </c>
      <c r="W134" s="125">
        <v>0</v>
      </c>
      <c r="X134" s="125">
        <v>0</v>
      </c>
      <c r="Y134" s="134">
        <v>0</v>
      </c>
    </row>
    <row r="135" spans="1:25" x14ac:dyDescent="0.25">
      <c r="A135" s="47" t="s">
        <v>75</v>
      </c>
      <c r="B135" s="43" t="s">
        <v>29</v>
      </c>
      <c r="C135" s="84">
        <v>0</v>
      </c>
      <c r="D135" s="84">
        <v>0</v>
      </c>
      <c r="E135" s="84">
        <v>0</v>
      </c>
      <c r="F135" s="84">
        <v>0</v>
      </c>
      <c r="G135" s="84">
        <v>0</v>
      </c>
      <c r="H135" s="84">
        <v>0</v>
      </c>
      <c r="I135" s="84">
        <v>0</v>
      </c>
      <c r="J135" s="84">
        <v>0</v>
      </c>
      <c r="K135" s="84">
        <v>0</v>
      </c>
      <c r="L135" s="84">
        <v>3.0000000260770321E-3</v>
      </c>
      <c r="M135" s="84">
        <v>1.2000000104308128E-2</v>
      </c>
      <c r="N135" s="84">
        <v>5.4999999701976776E-2</v>
      </c>
      <c r="O135" s="84">
        <v>0.13300000131130219</v>
      </c>
      <c r="P135" s="84">
        <v>0.25699999928474426</v>
      </c>
      <c r="Q135" s="95">
        <v>0.54000002145767212</v>
      </c>
      <c r="R135" s="102" t="s">
        <v>88</v>
      </c>
      <c r="S135" s="103">
        <f t="shared" si="37"/>
        <v>0</v>
      </c>
      <c r="T135" s="103">
        <f t="shared" si="38"/>
        <v>0</v>
      </c>
      <c r="U135" s="123">
        <f t="shared" si="39"/>
        <v>0</v>
      </c>
      <c r="V135" s="133">
        <v>0</v>
      </c>
      <c r="W135" s="125">
        <v>0</v>
      </c>
      <c r="X135" s="125">
        <v>0</v>
      </c>
      <c r="Y135" s="134">
        <v>0</v>
      </c>
    </row>
    <row r="136" spans="1:25" x14ac:dyDescent="0.25">
      <c r="A136" s="47" t="s">
        <v>75</v>
      </c>
      <c r="B136" s="43" t="s">
        <v>12</v>
      </c>
      <c r="C136" s="84">
        <v>0</v>
      </c>
      <c r="D136" s="84">
        <v>0</v>
      </c>
      <c r="E136" s="84">
        <v>9.9999997764825821E-3</v>
      </c>
      <c r="F136" s="84">
        <v>4.8000000417232513E-2</v>
      </c>
      <c r="G136" s="84">
        <v>8.7999999523162842E-2</v>
      </c>
      <c r="H136" s="84">
        <v>0.11900000274181366</v>
      </c>
      <c r="I136" s="84">
        <v>0.13600000739097595</v>
      </c>
      <c r="J136" s="84">
        <v>0.14200000464916229</v>
      </c>
      <c r="K136" s="84">
        <v>0.15700000524520874</v>
      </c>
      <c r="L136" s="84">
        <v>0.14900000393390656</v>
      </c>
      <c r="M136" s="84">
        <v>0.10100000351667404</v>
      </c>
      <c r="N136" s="84">
        <v>3.9000000804662704E-2</v>
      </c>
      <c r="O136" s="84">
        <v>9.9999997764825821E-3</v>
      </c>
      <c r="P136" s="84">
        <v>1.0000000474974513E-3</v>
      </c>
      <c r="Q136" s="95">
        <v>0</v>
      </c>
      <c r="R136" s="102" t="s">
        <v>89</v>
      </c>
      <c r="S136" s="103">
        <f t="shared" si="37"/>
        <v>0.54300001449882984</v>
      </c>
      <c r="T136" s="103">
        <f t="shared" si="38"/>
        <v>0</v>
      </c>
      <c r="U136" s="123">
        <f t="shared" si="39"/>
        <v>5.8000000193715096E-2</v>
      </c>
      <c r="V136" s="133">
        <v>0.20486830157875488</v>
      </c>
      <c r="W136" s="125">
        <v>8.290318759262412E-2</v>
      </c>
      <c r="X136" s="125">
        <v>3.1575479357339377E-2</v>
      </c>
      <c r="Y136" s="134">
        <v>9.0531549310358724E-3</v>
      </c>
    </row>
    <row r="137" spans="1:25" x14ac:dyDescent="0.25">
      <c r="A137" s="47" t="s">
        <v>75</v>
      </c>
      <c r="B137" s="43" t="s">
        <v>22</v>
      </c>
      <c r="C137" s="84">
        <v>0</v>
      </c>
      <c r="D137" s="84">
        <v>2.0000000949949026E-3</v>
      </c>
      <c r="E137" s="84">
        <v>4.999999888241291E-3</v>
      </c>
      <c r="F137" s="84">
        <v>3.5000000149011612E-2</v>
      </c>
      <c r="G137" s="84">
        <v>7.4000000953674316E-2</v>
      </c>
      <c r="H137" s="84">
        <v>0.10499999672174454</v>
      </c>
      <c r="I137" s="84">
        <v>0.11699999868869781</v>
      </c>
      <c r="J137" s="84">
        <v>0.13699999451637268</v>
      </c>
      <c r="K137" s="84">
        <v>0.15899999439716339</v>
      </c>
      <c r="L137" s="84">
        <v>0.14200000464916229</v>
      </c>
      <c r="M137" s="84">
        <v>0.14100000262260437</v>
      </c>
      <c r="N137" s="84">
        <v>5.7999998331069946E-2</v>
      </c>
      <c r="O137" s="84">
        <v>2.3000000044703484E-2</v>
      </c>
      <c r="P137" s="84">
        <v>2.0000000949949026E-3</v>
      </c>
      <c r="Q137" s="95">
        <v>0</v>
      </c>
      <c r="R137" s="102" t="s">
        <v>90</v>
      </c>
      <c r="S137" s="103">
        <f t="shared" si="37"/>
        <v>0.47499999101273715</v>
      </c>
      <c r="T137" s="103">
        <f t="shared" si="38"/>
        <v>0</v>
      </c>
      <c r="U137" s="123">
        <f t="shared" si="39"/>
        <v>4.2000000132247806E-2</v>
      </c>
      <c r="V137" s="133">
        <v>0.13863023165278365</v>
      </c>
      <c r="W137" s="125">
        <v>4.5207908348347842E-2</v>
      </c>
      <c r="X137" s="125">
        <v>1.3614079687359122E-2</v>
      </c>
      <c r="Y137" s="134">
        <v>2.9732963293942912E-3</v>
      </c>
    </row>
    <row r="138" spans="1:25" x14ac:dyDescent="0.25">
      <c r="A138" s="47" t="s">
        <v>75</v>
      </c>
      <c r="B138" s="43" t="s">
        <v>10</v>
      </c>
      <c r="C138" s="84">
        <v>0.20499999821186066</v>
      </c>
      <c r="D138" s="84">
        <v>0.27599999308586121</v>
      </c>
      <c r="E138" s="84">
        <v>0.33700001239776611</v>
      </c>
      <c r="F138" s="84">
        <v>0.12399999797344208</v>
      </c>
      <c r="G138" s="84">
        <v>4.1999999433755875E-2</v>
      </c>
      <c r="H138" s="84">
        <v>1.4999999664723873E-2</v>
      </c>
      <c r="I138" s="84">
        <v>1.0000000474974513E-3</v>
      </c>
      <c r="J138" s="84">
        <v>0</v>
      </c>
      <c r="K138" s="84">
        <v>0</v>
      </c>
      <c r="L138" s="84">
        <v>0</v>
      </c>
      <c r="M138" s="84">
        <v>0</v>
      </c>
      <c r="N138" s="84">
        <v>0</v>
      </c>
      <c r="O138" s="84">
        <v>0</v>
      </c>
      <c r="P138" s="84">
        <v>0</v>
      </c>
      <c r="Q138" s="95">
        <v>0</v>
      </c>
      <c r="R138" s="102" t="s">
        <v>91</v>
      </c>
      <c r="S138" s="103">
        <f t="shared" si="37"/>
        <v>1.0000000008149073</v>
      </c>
      <c r="T138" s="103">
        <f t="shared" si="38"/>
        <v>0.20499999821186066</v>
      </c>
      <c r="U138" s="123">
        <f t="shared" si="39"/>
        <v>0.94200000166893005</v>
      </c>
      <c r="V138" s="133">
        <v>0.72649015537744688</v>
      </c>
      <c r="W138" s="125">
        <v>0.47098782599289352</v>
      </c>
      <c r="X138" s="125">
        <v>0.30005370046683577</v>
      </c>
      <c r="Y138" s="134">
        <v>0.14978415776285969</v>
      </c>
    </row>
    <row r="139" spans="1:25" x14ac:dyDescent="0.25">
      <c r="A139" s="47" t="s">
        <v>75</v>
      </c>
      <c r="B139" s="43" t="s">
        <v>15</v>
      </c>
      <c r="C139" s="84">
        <v>1.0000000474974513E-3</v>
      </c>
      <c r="D139" s="84">
        <v>2.8000000864267349E-2</v>
      </c>
      <c r="E139" s="84">
        <v>0.10199999809265137</v>
      </c>
      <c r="F139" s="84">
        <v>0.21899999678134918</v>
      </c>
      <c r="G139" s="84">
        <v>0.18899999558925629</v>
      </c>
      <c r="H139" s="84">
        <v>0.14800000190734863</v>
      </c>
      <c r="I139" s="84">
        <v>0.10599999874830246</v>
      </c>
      <c r="J139" s="84">
        <v>8.3999998867511749E-2</v>
      </c>
      <c r="K139" s="84">
        <v>5.7999998331069946E-2</v>
      </c>
      <c r="L139" s="84">
        <v>4.8999998718500137E-2</v>
      </c>
      <c r="M139" s="84">
        <v>1.0999999940395355E-2</v>
      </c>
      <c r="N139" s="84">
        <v>4.999999888241291E-3</v>
      </c>
      <c r="O139" s="84">
        <v>0</v>
      </c>
      <c r="P139" s="84">
        <v>0</v>
      </c>
      <c r="Q139" s="95">
        <v>0</v>
      </c>
      <c r="R139" s="102" t="s">
        <v>92</v>
      </c>
      <c r="S139" s="103">
        <f t="shared" si="37"/>
        <v>0.87699999089818448</v>
      </c>
      <c r="T139" s="103">
        <f t="shared" si="38"/>
        <v>1.0000000474974513E-3</v>
      </c>
      <c r="U139" s="123">
        <f t="shared" si="39"/>
        <v>0.34999999578576535</v>
      </c>
      <c r="V139" s="133">
        <v>0.35346408656762818</v>
      </c>
      <c r="W139" s="125">
        <v>0.1315968118558638</v>
      </c>
      <c r="X139" s="125">
        <v>4.659929680211778E-2</v>
      </c>
      <c r="Y139" s="134">
        <v>1.2583218838588376E-2</v>
      </c>
    </row>
    <row r="140" spans="1:25" x14ac:dyDescent="0.25">
      <c r="A140" s="47" t="s">
        <v>75</v>
      </c>
      <c r="B140" s="43" t="s">
        <v>24</v>
      </c>
      <c r="C140" s="84">
        <v>0</v>
      </c>
      <c r="D140" s="84">
        <v>0</v>
      </c>
      <c r="E140" s="84">
        <v>0</v>
      </c>
      <c r="F140" s="84">
        <v>0</v>
      </c>
      <c r="G140" s="84">
        <v>0</v>
      </c>
      <c r="H140" s="84">
        <v>0</v>
      </c>
      <c r="I140" s="84">
        <v>0</v>
      </c>
      <c r="J140" s="84">
        <v>1.0000000474974513E-3</v>
      </c>
      <c r="K140" s="84">
        <v>1.0000000474974513E-3</v>
      </c>
      <c r="L140" s="84">
        <v>1.2000000104308128E-2</v>
      </c>
      <c r="M140" s="84">
        <v>5.4999999701976776E-2</v>
      </c>
      <c r="N140" s="84">
        <v>0.13600000739097595</v>
      </c>
      <c r="O140" s="84">
        <v>0.21600000560283661</v>
      </c>
      <c r="P140" s="84">
        <v>0.30500000715255737</v>
      </c>
      <c r="Q140" s="95">
        <v>0.27399998903274536</v>
      </c>
      <c r="R140" s="102" t="s">
        <v>93</v>
      </c>
      <c r="S140" s="103">
        <f t="shared" si="37"/>
        <v>1.0000000474974513E-3</v>
      </c>
      <c r="T140" s="103">
        <f t="shared" si="38"/>
        <v>0</v>
      </c>
      <c r="U140" s="123">
        <f t="shared" si="39"/>
        <v>0</v>
      </c>
      <c r="V140" s="133">
        <v>3.9733323631177853E-5</v>
      </c>
      <c r="W140" s="125">
        <v>2.7853965979209682E-6</v>
      </c>
      <c r="X140" s="125">
        <v>1.0636777390886727E-7</v>
      </c>
      <c r="Y140" s="134">
        <v>2.8211291099571551E-9</v>
      </c>
    </row>
    <row r="141" spans="1:25" x14ac:dyDescent="0.25">
      <c r="A141" s="47" t="s">
        <v>75</v>
      </c>
      <c r="B141" s="43" t="s">
        <v>8</v>
      </c>
      <c r="C141" s="84">
        <v>0.25200000405311584</v>
      </c>
      <c r="D141" s="84">
        <v>0.3619999885559082</v>
      </c>
      <c r="E141" s="84">
        <v>0.24500000476837158</v>
      </c>
      <c r="F141" s="84">
        <v>8.2999996840953827E-2</v>
      </c>
      <c r="G141" s="84">
        <v>4.1999999433755875E-2</v>
      </c>
      <c r="H141" s="84">
        <v>1.2000000104308128E-2</v>
      </c>
      <c r="I141" s="84">
        <v>4.0000001899898052E-3</v>
      </c>
      <c r="J141" s="84">
        <v>0</v>
      </c>
      <c r="K141" s="84">
        <v>0</v>
      </c>
      <c r="L141" s="84">
        <v>0</v>
      </c>
      <c r="M141" s="84">
        <v>0</v>
      </c>
      <c r="N141" s="84">
        <v>0</v>
      </c>
      <c r="O141" s="84">
        <v>0</v>
      </c>
      <c r="P141" s="84">
        <v>0</v>
      </c>
      <c r="Q141" s="95">
        <v>0</v>
      </c>
      <c r="R141" s="102" t="s">
        <v>94</v>
      </c>
      <c r="S141" s="103">
        <f t="shared" si="37"/>
        <v>0.99999999394640326</v>
      </c>
      <c r="T141" s="103">
        <f t="shared" si="38"/>
        <v>0.25200000405311584</v>
      </c>
      <c r="U141" s="123">
        <f t="shared" si="39"/>
        <v>0.94199999421834946</v>
      </c>
      <c r="V141" s="133">
        <v>0.64123710424708247</v>
      </c>
      <c r="W141" s="125">
        <v>0.33715467737473459</v>
      </c>
      <c r="X141" s="125">
        <v>0.17174733896507555</v>
      </c>
      <c r="Y141" s="134">
        <v>6.9584125033214289E-2</v>
      </c>
    </row>
    <row r="142" spans="1:25" x14ac:dyDescent="0.25">
      <c r="A142" s="47" t="s">
        <v>75</v>
      </c>
      <c r="B142" s="43" t="s">
        <v>18</v>
      </c>
      <c r="C142" s="84">
        <v>0</v>
      </c>
      <c r="D142" s="84">
        <v>2.0000000949949026E-3</v>
      </c>
      <c r="E142" s="84">
        <v>1.2000000104308128E-2</v>
      </c>
      <c r="F142" s="84">
        <v>9.0000003576278687E-2</v>
      </c>
      <c r="G142" s="84">
        <v>0.11299999803304672</v>
      </c>
      <c r="H142" s="84">
        <v>0.11900000274181366</v>
      </c>
      <c r="I142" s="84">
        <v>0.15800000727176666</v>
      </c>
      <c r="J142" s="84">
        <v>0.13300000131130219</v>
      </c>
      <c r="K142" s="84">
        <v>0.1289999932050705</v>
      </c>
      <c r="L142" s="84">
        <v>0.11699999868869781</v>
      </c>
      <c r="M142" s="84">
        <v>0.10300000011920929</v>
      </c>
      <c r="N142" s="84">
        <v>2.199999988079071E-2</v>
      </c>
      <c r="O142" s="84">
        <v>2.0000000949949026E-3</v>
      </c>
      <c r="P142" s="84">
        <v>0</v>
      </c>
      <c r="Q142" s="95">
        <v>0</v>
      </c>
      <c r="R142" s="102" t="s">
        <v>95</v>
      </c>
      <c r="S142" s="103">
        <f t="shared" si="37"/>
        <v>0.62700001313351095</v>
      </c>
      <c r="T142" s="103">
        <f t="shared" si="38"/>
        <v>0</v>
      </c>
      <c r="U142" s="123">
        <f t="shared" si="39"/>
        <v>0.10400000377558172</v>
      </c>
      <c r="V142" s="133">
        <v>0.2690773111281885</v>
      </c>
      <c r="W142" s="125">
        <v>0.11861833695619194</v>
      </c>
      <c r="X142" s="125">
        <v>4.957565077481968E-2</v>
      </c>
      <c r="Y142" s="134">
        <v>1.5904733142544036E-2</v>
      </c>
    </row>
    <row r="143" spans="1:25" ht="15.75" thickBot="1" x14ac:dyDescent="0.3">
      <c r="A143" s="49" t="s">
        <v>75</v>
      </c>
      <c r="B143" s="50" t="s">
        <v>28</v>
      </c>
      <c r="C143" s="86">
        <v>0</v>
      </c>
      <c r="D143" s="86">
        <v>0</v>
      </c>
      <c r="E143" s="86">
        <v>0</v>
      </c>
      <c r="F143" s="86">
        <v>0</v>
      </c>
      <c r="G143" s="86">
        <v>0</v>
      </c>
      <c r="H143" s="86">
        <v>1.0000000474974513E-3</v>
      </c>
      <c r="I143" s="86">
        <v>2.0000000949949026E-3</v>
      </c>
      <c r="J143" s="86">
        <v>2.199999988079071E-2</v>
      </c>
      <c r="K143" s="86">
        <v>3.5000000149011612E-2</v>
      </c>
      <c r="L143" s="86">
        <v>6.5999999642372131E-2</v>
      </c>
      <c r="M143" s="86">
        <v>0.14000000059604645</v>
      </c>
      <c r="N143" s="86">
        <v>0.26499998569488525</v>
      </c>
      <c r="O143" s="86">
        <v>0.22900000214576721</v>
      </c>
      <c r="P143" s="86">
        <v>0.17599999904632568</v>
      </c>
      <c r="Q143" s="96">
        <v>6.4000003039836884E-2</v>
      </c>
      <c r="R143" s="104" t="s">
        <v>96</v>
      </c>
      <c r="S143" s="105">
        <f t="shared" si="37"/>
        <v>2.5000000023283064E-2</v>
      </c>
      <c r="T143" s="105">
        <f t="shared" si="38"/>
        <v>0</v>
      </c>
      <c r="U143" s="124">
        <f t="shared" si="39"/>
        <v>0</v>
      </c>
      <c r="V143" s="135">
        <v>2.6914597641996096E-3</v>
      </c>
      <c r="W143" s="136">
        <v>4.6827920273059191E-4</v>
      </c>
      <c r="X143" s="136">
        <v>6.4819511256648959E-5</v>
      </c>
      <c r="Y143" s="137">
        <v>5.877026812169892E-6</v>
      </c>
    </row>
    <row r="144" spans="1:25" x14ac:dyDescent="0.25">
      <c r="A144" s="85" t="s">
        <v>1</v>
      </c>
      <c r="B144" s="75" t="s">
        <v>41</v>
      </c>
      <c r="C144" s="87">
        <v>0</v>
      </c>
      <c r="D144" s="87">
        <v>0</v>
      </c>
      <c r="E144" s="87">
        <v>1.0000000474974513E-3</v>
      </c>
      <c r="F144" s="87">
        <v>8.999999612569809E-3</v>
      </c>
      <c r="G144" s="87">
        <v>5.0999999046325684E-2</v>
      </c>
      <c r="H144" s="87">
        <v>8.7999999523162842E-2</v>
      </c>
      <c r="I144" s="87">
        <v>0.13300000131130219</v>
      </c>
      <c r="J144" s="87">
        <v>0.17700000107288361</v>
      </c>
      <c r="K144" s="87">
        <v>0.20299999415874481</v>
      </c>
      <c r="L144" s="87">
        <v>0.20600000023841858</v>
      </c>
      <c r="M144" s="87">
        <v>0.10700000077486038</v>
      </c>
      <c r="N144" s="87">
        <v>2.0999999716877937E-2</v>
      </c>
      <c r="O144" s="87">
        <v>4.0000001899898052E-3</v>
      </c>
      <c r="P144" s="87">
        <v>0</v>
      </c>
      <c r="Q144" s="97">
        <v>0</v>
      </c>
      <c r="R144" s="106" t="s">
        <v>97</v>
      </c>
      <c r="S144" s="107">
        <f t="shared" si="37"/>
        <v>0.45900000061374158</v>
      </c>
      <c r="T144" s="107">
        <f t="shared" si="38"/>
        <v>0</v>
      </c>
      <c r="U144" s="118">
        <f t="shared" si="39"/>
        <v>9.9999996600672603E-3</v>
      </c>
      <c r="V144" s="138">
        <v>0.12578897730516517</v>
      </c>
      <c r="W144" s="139">
        <v>4.1393095688877196E-2</v>
      </c>
      <c r="X144" s="139">
        <v>1.2341358307772032E-2</v>
      </c>
      <c r="Y144" s="140">
        <v>4.5685182918164926E-3</v>
      </c>
    </row>
    <row r="145" spans="1:25" x14ac:dyDescent="0.25">
      <c r="A145" s="47" t="s">
        <v>1</v>
      </c>
      <c r="B145" s="43" t="s">
        <v>37</v>
      </c>
      <c r="C145" s="84">
        <v>3.0000000260770321E-3</v>
      </c>
      <c r="D145" s="84">
        <v>3.2000001519918442E-2</v>
      </c>
      <c r="E145" s="84">
        <v>0.10400000214576721</v>
      </c>
      <c r="F145" s="84">
        <v>0.18199999630451202</v>
      </c>
      <c r="G145" s="84">
        <v>0.25799998641014099</v>
      </c>
      <c r="H145" s="84">
        <v>0.17800000309944153</v>
      </c>
      <c r="I145" s="84">
        <v>0.13300000131130219</v>
      </c>
      <c r="J145" s="84">
        <v>7.2999998927116394E-2</v>
      </c>
      <c r="K145" s="84">
        <v>3.0999999493360519E-2</v>
      </c>
      <c r="L145" s="84">
        <v>6.0000000521540642E-3</v>
      </c>
      <c r="M145" s="84">
        <v>0</v>
      </c>
      <c r="N145" s="84">
        <v>0</v>
      </c>
      <c r="O145" s="84">
        <v>0</v>
      </c>
      <c r="P145" s="84">
        <v>0</v>
      </c>
      <c r="Q145" s="95">
        <v>0</v>
      </c>
      <c r="R145" s="108" t="s">
        <v>98</v>
      </c>
      <c r="S145" s="109">
        <f t="shared" si="37"/>
        <v>0.96299998974427581</v>
      </c>
      <c r="T145" s="109">
        <f t="shared" si="38"/>
        <v>3.0000000260770321E-3</v>
      </c>
      <c r="U145" s="119">
        <f t="shared" si="39"/>
        <v>0.32099999999627471</v>
      </c>
      <c r="V145" s="141">
        <v>0.51120707723214265</v>
      </c>
      <c r="W145" s="121">
        <v>0.25816565445904477</v>
      </c>
      <c r="X145" s="121">
        <v>0.12644651690494318</v>
      </c>
      <c r="Y145" s="142">
        <v>7.1203900088352007E-2</v>
      </c>
    </row>
    <row r="146" spans="1:25" x14ac:dyDescent="0.25">
      <c r="A146" s="47" t="s">
        <v>1</v>
      </c>
      <c r="B146" s="43" t="s">
        <v>39</v>
      </c>
      <c r="C146" s="84">
        <v>0</v>
      </c>
      <c r="D146" s="84">
        <v>0</v>
      </c>
      <c r="E146" s="84">
        <v>7.0000002160668373E-3</v>
      </c>
      <c r="F146" s="84">
        <v>3.2000001519918442E-2</v>
      </c>
      <c r="G146" s="84">
        <v>7.9999998211860657E-2</v>
      </c>
      <c r="H146" s="84">
        <v>0.11400000005960464</v>
      </c>
      <c r="I146" s="84">
        <v>0.15700000524520874</v>
      </c>
      <c r="J146" s="84">
        <v>0.19799999892711639</v>
      </c>
      <c r="K146" s="84">
        <v>0.20600000023841858</v>
      </c>
      <c r="L146" s="84">
        <v>0.15099999308586121</v>
      </c>
      <c r="M146" s="84">
        <v>5.0999999046325684E-2</v>
      </c>
      <c r="N146" s="84">
        <v>4.0000001899898052E-3</v>
      </c>
      <c r="O146" s="84">
        <v>0</v>
      </c>
      <c r="P146" s="84">
        <v>0</v>
      </c>
      <c r="Q146" s="95">
        <v>0</v>
      </c>
      <c r="R146" s="108" t="s">
        <v>99</v>
      </c>
      <c r="S146" s="109">
        <f t="shared" si="37"/>
        <v>0.58800000417977571</v>
      </c>
      <c r="T146" s="109">
        <f t="shared" si="38"/>
        <v>0</v>
      </c>
      <c r="U146" s="119">
        <f t="shared" si="39"/>
        <v>3.9000001735985279E-2</v>
      </c>
      <c r="V146" s="141">
        <v>0.16694153954835173</v>
      </c>
      <c r="W146" s="121">
        <v>5.5918984011110229E-2</v>
      </c>
      <c r="X146" s="121">
        <v>1.7396724469363113E-2</v>
      </c>
      <c r="Y146" s="142">
        <v>6.6516558028460937E-3</v>
      </c>
    </row>
    <row r="147" spans="1:25" x14ac:dyDescent="0.25">
      <c r="A147" s="47" t="s">
        <v>1</v>
      </c>
      <c r="B147" s="43" t="s">
        <v>47</v>
      </c>
      <c r="C147" s="84">
        <v>0</v>
      </c>
      <c r="D147" s="84">
        <v>0</v>
      </c>
      <c r="E147" s="84">
        <v>0</v>
      </c>
      <c r="F147" s="84">
        <v>0</v>
      </c>
      <c r="G147" s="84">
        <v>0</v>
      </c>
      <c r="H147" s="84">
        <v>0</v>
      </c>
      <c r="I147" s="84">
        <v>0</v>
      </c>
      <c r="J147" s="84">
        <v>0</v>
      </c>
      <c r="K147" s="84">
        <v>0</v>
      </c>
      <c r="L147" s="84">
        <v>0</v>
      </c>
      <c r="M147" s="84">
        <v>8.999999612569809E-3</v>
      </c>
      <c r="N147" s="84">
        <v>6.4000003039836884E-2</v>
      </c>
      <c r="O147" s="84">
        <v>0.17200000584125519</v>
      </c>
      <c r="P147" s="84">
        <v>0.62999999523162842</v>
      </c>
      <c r="Q147" s="95">
        <v>0.125</v>
      </c>
      <c r="R147" s="108" t="s">
        <v>100</v>
      </c>
      <c r="S147" s="109">
        <f t="shared" si="37"/>
        <v>0</v>
      </c>
      <c r="T147" s="109">
        <f t="shared" si="38"/>
        <v>0</v>
      </c>
      <c r="U147" s="119">
        <f t="shared" si="39"/>
        <v>0</v>
      </c>
      <c r="V147" s="141">
        <v>0</v>
      </c>
      <c r="W147" s="121">
        <v>0</v>
      </c>
      <c r="X147" s="121">
        <v>0</v>
      </c>
      <c r="Y147" s="142">
        <v>0</v>
      </c>
    </row>
    <row r="148" spans="1:25" x14ac:dyDescent="0.25">
      <c r="A148" s="47" t="s">
        <v>1</v>
      </c>
      <c r="B148" s="43" t="s">
        <v>32</v>
      </c>
      <c r="C148" s="84">
        <v>2.7000000700354576E-2</v>
      </c>
      <c r="D148" s="84">
        <v>0.13500000536441803</v>
      </c>
      <c r="E148" s="84">
        <v>0.27000001072883606</v>
      </c>
      <c r="F148" s="84">
        <v>0.28200000524520874</v>
      </c>
      <c r="G148" s="84">
        <v>0.15399999916553497</v>
      </c>
      <c r="H148" s="84">
        <v>8.5000000894069672E-2</v>
      </c>
      <c r="I148" s="84">
        <v>3.2000001519918442E-2</v>
      </c>
      <c r="J148" s="84">
        <v>9.9999997764825821E-3</v>
      </c>
      <c r="K148" s="84">
        <v>4.0000001899898052E-3</v>
      </c>
      <c r="L148" s="84">
        <v>1.0000000474974513E-3</v>
      </c>
      <c r="M148" s="84">
        <v>0</v>
      </c>
      <c r="N148" s="84">
        <v>0</v>
      </c>
      <c r="O148" s="84">
        <v>0</v>
      </c>
      <c r="P148" s="84">
        <v>0</v>
      </c>
      <c r="Q148" s="95">
        <v>0</v>
      </c>
      <c r="R148" s="108" t="s">
        <v>101</v>
      </c>
      <c r="S148" s="109">
        <f t="shared" si="37"/>
        <v>0.99500002339482307</v>
      </c>
      <c r="T148" s="109">
        <f t="shared" si="38"/>
        <v>2.7000000700354576E-2</v>
      </c>
      <c r="U148" s="119">
        <f t="shared" si="39"/>
        <v>0.71400002203881741</v>
      </c>
      <c r="V148" s="141">
        <v>0.60451217075832908</v>
      </c>
      <c r="W148" s="121">
        <v>0.29830086755090618</v>
      </c>
      <c r="X148" s="121">
        <v>0.14512384849704826</v>
      </c>
      <c r="Y148" s="142">
        <v>8.1741442749114199E-2</v>
      </c>
    </row>
    <row r="149" spans="1:25" x14ac:dyDescent="0.25">
      <c r="A149" s="47" t="s">
        <v>1</v>
      </c>
      <c r="B149" s="43" t="s">
        <v>31</v>
      </c>
      <c r="C149" s="84">
        <v>5.299999937415123E-2</v>
      </c>
      <c r="D149" s="84">
        <v>0.20600000023841858</v>
      </c>
      <c r="E149" s="84">
        <v>0.31200000643730164</v>
      </c>
      <c r="F149" s="84">
        <v>0.2460000067949295</v>
      </c>
      <c r="G149" s="84">
        <v>0.11100000143051147</v>
      </c>
      <c r="H149" s="84">
        <v>4.3999999761581421E-2</v>
      </c>
      <c r="I149" s="84">
        <v>2.0999999716877937E-2</v>
      </c>
      <c r="J149" s="84">
        <v>6.0000000521540642E-3</v>
      </c>
      <c r="K149" s="84">
        <v>1.0000000474974513E-3</v>
      </c>
      <c r="L149" s="84">
        <v>0</v>
      </c>
      <c r="M149" s="84">
        <v>0</v>
      </c>
      <c r="N149" s="84">
        <v>0</v>
      </c>
      <c r="O149" s="84">
        <v>0</v>
      </c>
      <c r="P149" s="84">
        <v>0</v>
      </c>
      <c r="Q149" s="95">
        <v>0</v>
      </c>
      <c r="R149" s="108" t="s">
        <v>102</v>
      </c>
      <c r="S149" s="109">
        <f t="shared" si="37"/>
        <v>0.99900001380592585</v>
      </c>
      <c r="T149" s="109">
        <f t="shared" si="38"/>
        <v>5.299999937415123E-2</v>
      </c>
      <c r="U149" s="119">
        <f t="shared" si="39"/>
        <v>0.81700001284480095</v>
      </c>
      <c r="V149" s="141">
        <v>0.6069588960748532</v>
      </c>
      <c r="W149" s="121">
        <v>0.29193891972977148</v>
      </c>
      <c r="X149" s="121">
        <v>0.13470364465085352</v>
      </c>
      <c r="Y149" s="142">
        <v>7.3742299475417258E-2</v>
      </c>
    </row>
    <row r="150" spans="1:25" x14ac:dyDescent="0.25">
      <c r="A150" s="47" t="s">
        <v>1</v>
      </c>
      <c r="B150" s="43" t="s">
        <v>40</v>
      </c>
      <c r="C150" s="84">
        <v>0</v>
      </c>
      <c r="D150" s="84">
        <v>0</v>
      </c>
      <c r="E150" s="84">
        <v>3.0000000260770321E-3</v>
      </c>
      <c r="F150" s="84">
        <v>3.2999999821186066E-2</v>
      </c>
      <c r="G150" s="84">
        <v>8.5000000894069672E-2</v>
      </c>
      <c r="H150" s="84">
        <v>0.11299999803304672</v>
      </c>
      <c r="I150" s="84">
        <v>0.17299999296665192</v>
      </c>
      <c r="J150" s="84">
        <v>0.18799999356269836</v>
      </c>
      <c r="K150" s="84">
        <v>0.20499999821186066</v>
      </c>
      <c r="L150" s="84">
        <v>0.15299999713897705</v>
      </c>
      <c r="M150" s="84">
        <v>4.5000001788139343E-2</v>
      </c>
      <c r="N150" s="84">
        <v>2.0000000949949026E-3</v>
      </c>
      <c r="O150" s="84">
        <v>0</v>
      </c>
      <c r="P150" s="84">
        <v>0</v>
      </c>
      <c r="Q150" s="95">
        <v>0</v>
      </c>
      <c r="R150" s="108" t="s">
        <v>103</v>
      </c>
      <c r="S150" s="109">
        <f t="shared" si="37"/>
        <v>0.59499998530372977</v>
      </c>
      <c r="T150" s="109">
        <f t="shared" si="38"/>
        <v>0</v>
      </c>
      <c r="U150" s="119">
        <f t="shared" si="39"/>
        <v>3.5999999847263098E-2</v>
      </c>
      <c r="V150" s="141">
        <v>0.19051657178142012</v>
      </c>
      <c r="W150" s="121">
        <v>6.8948514804633529E-2</v>
      </c>
      <c r="X150" s="121">
        <v>2.308444105364563E-2</v>
      </c>
      <c r="Y150" s="142">
        <v>9.4818072481696672E-3</v>
      </c>
    </row>
    <row r="151" spans="1:25" x14ac:dyDescent="0.25">
      <c r="A151" s="47" t="s">
        <v>1</v>
      </c>
      <c r="B151" s="43" t="s">
        <v>48</v>
      </c>
      <c r="C151" s="84">
        <v>0</v>
      </c>
      <c r="D151" s="84">
        <v>0</v>
      </c>
      <c r="E151" s="84">
        <v>0</v>
      </c>
      <c r="F151" s="84">
        <v>0</v>
      </c>
      <c r="G151" s="84">
        <v>0</v>
      </c>
      <c r="H151" s="84">
        <v>0</v>
      </c>
      <c r="I151" s="84">
        <v>0</v>
      </c>
      <c r="J151" s="84">
        <v>0</v>
      </c>
      <c r="K151" s="84">
        <v>0</v>
      </c>
      <c r="L151" s="84">
        <v>0</v>
      </c>
      <c r="M151" s="84">
        <v>0</v>
      </c>
      <c r="N151" s="84">
        <v>0</v>
      </c>
      <c r="O151" s="84">
        <v>1.4000000432133675E-2</v>
      </c>
      <c r="P151" s="84">
        <v>0.12600000202655792</v>
      </c>
      <c r="Q151" s="95">
        <v>0.86000001430511475</v>
      </c>
      <c r="R151" s="108" t="s">
        <v>104</v>
      </c>
      <c r="S151" s="109">
        <f t="shared" si="37"/>
        <v>0</v>
      </c>
      <c r="T151" s="109">
        <f t="shared" si="38"/>
        <v>0</v>
      </c>
      <c r="U151" s="119">
        <f t="shared" si="39"/>
        <v>0</v>
      </c>
      <c r="V151" s="141">
        <v>0</v>
      </c>
      <c r="W151" s="121">
        <v>0</v>
      </c>
      <c r="X151" s="121">
        <v>0</v>
      </c>
      <c r="Y151" s="142">
        <v>0</v>
      </c>
    </row>
    <row r="152" spans="1:25" x14ac:dyDescent="0.25">
      <c r="A152" s="47" t="s">
        <v>1</v>
      </c>
      <c r="B152" s="43" t="s">
        <v>44</v>
      </c>
      <c r="C152" s="84">
        <v>0</v>
      </c>
      <c r="D152" s="84">
        <v>0</v>
      </c>
      <c r="E152" s="84">
        <v>0</v>
      </c>
      <c r="F152" s="84">
        <v>0</v>
      </c>
      <c r="G152" s="84">
        <v>0</v>
      </c>
      <c r="H152" s="84">
        <v>7.0000002160668373E-3</v>
      </c>
      <c r="I152" s="84">
        <v>1.7000000923871994E-2</v>
      </c>
      <c r="J152" s="84">
        <v>3.5000000149011612E-2</v>
      </c>
      <c r="K152" s="84">
        <v>7.1999996900558472E-2</v>
      </c>
      <c r="L152" s="84">
        <v>0.19300000369548798</v>
      </c>
      <c r="M152" s="84">
        <v>0.38899999856948853</v>
      </c>
      <c r="N152" s="84">
        <v>0.20200000703334808</v>
      </c>
      <c r="O152" s="84">
        <v>7.5000002980232239E-2</v>
      </c>
      <c r="P152" s="84">
        <v>9.9999997764825821E-3</v>
      </c>
      <c r="Q152" s="95">
        <v>0</v>
      </c>
      <c r="R152" s="108" t="s">
        <v>105</v>
      </c>
      <c r="S152" s="109">
        <f t="shared" si="37"/>
        <v>5.9000001288950443E-2</v>
      </c>
      <c r="T152" s="109">
        <f t="shared" si="38"/>
        <v>0</v>
      </c>
      <c r="U152" s="119">
        <f t="shared" si="39"/>
        <v>0</v>
      </c>
      <c r="V152" s="141">
        <v>1.3854364807998683E-2</v>
      </c>
      <c r="W152" s="121">
        <v>4.2934961653863461E-3</v>
      </c>
      <c r="X152" s="121">
        <v>1.225473708418848E-3</v>
      </c>
      <c r="Y152" s="142">
        <v>4.278666183327569E-4</v>
      </c>
    </row>
    <row r="153" spans="1:25" x14ac:dyDescent="0.25">
      <c r="A153" s="47" t="s">
        <v>1</v>
      </c>
      <c r="B153" s="43" t="s">
        <v>46</v>
      </c>
      <c r="C153" s="84">
        <v>0</v>
      </c>
      <c r="D153" s="84">
        <v>0</v>
      </c>
      <c r="E153" s="84">
        <v>0</v>
      </c>
      <c r="F153" s="84">
        <v>0</v>
      </c>
      <c r="G153" s="84">
        <v>0</v>
      </c>
      <c r="H153" s="84">
        <v>0</v>
      </c>
      <c r="I153" s="84">
        <v>0</v>
      </c>
      <c r="J153" s="84">
        <v>0</v>
      </c>
      <c r="K153" s="84">
        <v>4.999999888241291E-3</v>
      </c>
      <c r="L153" s="84">
        <v>2.8000000864267349E-2</v>
      </c>
      <c r="M153" s="84">
        <v>0.19599999487400055</v>
      </c>
      <c r="N153" s="84">
        <v>0.42399999499320984</v>
      </c>
      <c r="O153" s="84">
        <v>0.28499999642372131</v>
      </c>
      <c r="P153" s="84">
        <v>6.1999998986721039E-2</v>
      </c>
      <c r="Q153" s="95">
        <v>0</v>
      </c>
      <c r="R153" s="108" t="s">
        <v>106</v>
      </c>
      <c r="S153" s="109">
        <f t="shared" si="37"/>
        <v>0</v>
      </c>
      <c r="T153" s="109">
        <f t="shared" si="38"/>
        <v>0</v>
      </c>
      <c r="U153" s="119">
        <f t="shared" si="39"/>
        <v>0</v>
      </c>
      <c r="V153" s="141">
        <v>0</v>
      </c>
      <c r="W153" s="121">
        <v>0</v>
      </c>
      <c r="X153" s="121">
        <v>0</v>
      </c>
      <c r="Y153" s="142">
        <v>0</v>
      </c>
    </row>
    <row r="154" spans="1:25" x14ac:dyDescent="0.25">
      <c r="A154" s="47" t="s">
        <v>1</v>
      </c>
      <c r="B154" s="43" t="s">
        <v>34</v>
      </c>
      <c r="C154" s="84">
        <v>0.17700000107288361</v>
      </c>
      <c r="D154" s="84">
        <v>0.43900001049041748</v>
      </c>
      <c r="E154" s="84">
        <v>0.23199999332427979</v>
      </c>
      <c r="F154" s="84">
        <v>0.10599999874830246</v>
      </c>
      <c r="G154" s="84">
        <v>3.7999998778104782E-2</v>
      </c>
      <c r="H154" s="84">
        <v>6.0000000521540642E-3</v>
      </c>
      <c r="I154" s="84">
        <v>2.0000000949949026E-3</v>
      </c>
      <c r="J154" s="84">
        <v>0</v>
      </c>
      <c r="K154" s="84">
        <v>0</v>
      </c>
      <c r="L154" s="84">
        <v>0</v>
      </c>
      <c r="M154" s="84">
        <v>0</v>
      </c>
      <c r="N154" s="84">
        <v>0</v>
      </c>
      <c r="O154" s="84">
        <v>0</v>
      </c>
      <c r="P154" s="84">
        <v>0</v>
      </c>
      <c r="Q154" s="95">
        <v>0</v>
      </c>
      <c r="R154" s="108" t="s">
        <v>107</v>
      </c>
      <c r="S154" s="109">
        <f t="shared" si="37"/>
        <v>1.0000000025611371</v>
      </c>
      <c r="T154" s="109">
        <f t="shared" si="38"/>
        <v>0.17700000107288361</v>
      </c>
      <c r="U154" s="119">
        <f t="shared" si="39"/>
        <v>0.95400000363588333</v>
      </c>
      <c r="V154" s="141">
        <v>0.68880465799745449</v>
      </c>
      <c r="W154" s="121">
        <v>0.39283800581949579</v>
      </c>
      <c r="X154" s="121">
        <v>0.20316987283348767</v>
      </c>
      <c r="Y154" s="142">
        <v>0.12248344581370006</v>
      </c>
    </row>
    <row r="155" spans="1:25" x14ac:dyDescent="0.25">
      <c r="A155" s="47" t="s">
        <v>1</v>
      </c>
      <c r="B155" s="43" t="s">
        <v>35</v>
      </c>
      <c r="C155" s="84">
        <v>0</v>
      </c>
      <c r="D155" s="84">
        <v>0</v>
      </c>
      <c r="E155" s="84">
        <v>1.0999999940395355E-2</v>
      </c>
      <c r="F155" s="84">
        <v>8.2000002264976501E-2</v>
      </c>
      <c r="G155" s="84">
        <v>0.17100000381469727</v>
      </c>
      <c r="H155" s="84">
        <v>0.25699999928474426</v>
      </c>
      <c r="I155" s="84">
        <v>0.18199999630451202</v>
      </c>
      <c r="J155" s="84">
        <v>0.14399999380111694</v>
      </c>
      <c r="K155" s="84">
        <v>9.6000000834465027E-2</v>
      </c>
      <c r="L155" s="84">
        <v>4.3000001460313797E-2</v>
      </c>
      <c r="M155" s="84">
        <v>1.4000000432133675E-2</v>
      </c>
      <c r="N155" s="84">
        <v>0</v>
      </c>
      <c r="O155" s="84">
        <v>0</v>
      </c>
      <c r="P155" s="84">
        <v>0</v>
      </c>
      <c r="Q155" s="95">
        <v>0</v>
      </c>
      <c r="R155" s="108" t="s">
        <v>108</v>
      </c>
      <c r="S155" s="109">
        <f t="shared" si="37"/>
        <v>0.84699999541044235</v>
      </c>
      <c r="T155" s="109">
        <f t="shared" si="38"/>
        <v>0</v>
      </c>
      <c r="U155" s="119">
        <f t="shared" si="39"/>
        <v>9.3000002205371857E-2</v>
      </c>
      <c r="V155" s="141">
        <v>0.20640522556567137</v>
      </c>
      <c r="W155" s="121">
        <v>5.5445038831263713E-2</v>
      </c>
      <c r="X155" s="121">
        <v>1.3784173686591395E-2</v>
      </c>
      <c r="Y155" s="142">
        <v>4.3742236912163385E-3</v>
      </c>
    </row>
    <row r="156" spans="1:25" x14ac:dyDescent="0.25">
      <c r="A156" s="47" t="s">
        <v>1</v>
      </c>
      <c r="B156" s="43" t="s">
        <v>43</v>
      </c>
      <c r="C156" s="84">
        <v>0</v>
      </c>
      <c r="D156" s="84">
        <v>0</v>
      </c>
      <c r="E156" s="84">
        <v>0</v>
      </c>
      <c r="F156" s="84">
        <v>0</v>
      </c>
      <c r="G156" s="84">
        <v>0</v>
      </c>
      <c r="H156" s="84">
        <v>0</v>
      </c>
      <c r="I156" s="84">
        <v>0</v>
      </c>
      <c r="J156" s="84">
        <v>0</v>
      </c>
      <c r="K156" s="84">
        <v>0</v>
      </c>
      <c r="L156" s="84">
        <v>8.999999612569809E-3</v>
      </c>
      <c r="M156" s="84">
        <v>9.0999998152256012E-2</v>
      </c>
      <c r="N156" s="84">
        <v>0.26600000262260437</v>
      </c>
      <c r="O156" s="84">
        <v>0.44699999690055847</v>
      </c>
      <c r="P156" s="84">
        <v>0.17200000584125519</v>
      </c>
      <c r="Q156" s="95">
        <v>1.4999999664723873E-2</v>
      </c>
      <c r="R156" s="108" t="s">
        <v>109</v>
      </c>
      <c r="S156" s="109">
        <f t="shared" si="37"/>
        <v>0</v>
      </c>
      <c r="T156" s="109">
        <f t="shared" si="38"/>
        <v>0</v>
      </c>
      <c r="U156" s="119">
        <f t="shared" si="39"/>
        <v>0</v>
      </c>
      <c r="V156" s="141">
        <v>0</v>
      </c>
      <c r="W156" s="121">
        <v>0</v>
      </c>
      <c r="X156" s="121">
        <v>0</v>
      </c>
      <c r="Y156" s="142">
        <v>0</v>
      </c>
    </row>
    <row r="157" spans="1:25" x14ac:dyDescent="0.25">
      <c r="A157" s="47" t="s">
        <v>1</v>
      </c>
      <c r="B157" s="43" t="s">
        <v>36</v>
      </c>
      <c r="C157" s="84">
        <v>0</v>
      </c>
      <c r="D157" s="84">
        <v>0</v>
      </c>
      <c r="E157" s="84">
        <v>1.0000000474974513E-3</v>
      </c>
      <c r="F157" s="84">
        <v>1.4999999664723873E-2</v>
      </c>
      <c r="G157" s="84">
        <v>5.2000001072883606E-2</v>
      </c>
      <c r="H157" s="84">
        <v>0.1080000028014183</v>
      </c>
      <c r="I157" s="84">
        <v>0.15000000596046448</v>
      </c>
      <c r="J157" s="84">
        <v>0.16899999976158142</v>
      </c>
      <c r="K157" s="84">
        <v>0.17700000107288361</v>
      </c>
      <c r="L157" s="84">
        <v>0.20999999344348907</v>
      </c>
      <c r="M157" s="84">
        <v>9.7999997437000275E-2</v>
      </c>
      <c r="N157" s="84">
        <v>1.7000000923871994E-2</v>
      </c>
      <c r="O157" s="84">
        <v>3.0000000260770321E-3</v>
      </c>
      <c r="P157" s="84">
        <v>0</v>
      </c>
      <c r="Q157" s="95">
        <v>0</v>
      </c>
      <c r="R157" s="108" t="s">
        <v>110</v>
      </c>
      <c r="S157" s="109">
        <f t="shared" si="37"/>
        <v>0.49500000930856913</v>
      </c>
      <c r="T157" s="109">
        <f t="shared" si="38"/>
        <v>0</v>
      </c>
      <c r="U157" s="119">
        <f t="shared" si="39"/>
        <v>1.5999999712221324E-2</v>
      </c>
      <c r="V157" s="141">
        <v>0.11533549024436261</v>
      </c>
      <c r="W157" s="121">
        <v>3.2808453453032911E-2</v>
      </c>
      <c r="X157" s="121">
        <v>8.3664415076204948E-3</v>
      </c>
      <c r="Y157" s="142">
        <v>2.7027876508822855E-3</v>
      </c>
    </row>
    <row r="158" spans="1:25" ht="15.75" thickBot="1" x14ac:dyDescent="0.3">
      <c r="A158" s="47" t="s">
        <v>1</v>
      </c>
      <c r="B158" s="43" t="s">
        <v>30</v>
      </c>
      <c r="C158" s="84">
        <v>0.74000000953674316</v>
      </c>
      <c r="D158" s="84">
        <v>0.18799999356269836</v>
      </c>
      <c r="E158" s="84">
        <v>5.9000000357627869E-2</v>
      </c>
      <c r="F158" s="84">
        <v>1.3000000268220901E-2</v>
      </c>
      <c r="G158" s="84">
        <v>0</v>
      </c>
      <c r="H158" s="84">
        <v>0</v>
      </c>
      <c r="I158" s="84">
        <v>0</v>
      </c>
      <c r="J158" s="84">
        <v>0</v>
      </c>
      <c r="K158" s="84">
        <v>0</v>
      </c>
      <c r="L158" s="84">
        <v>0</v>
      </c>
      <c r="M158" s="84">
        <v>0</v>
      </c>
      <c r="N158" s="84">
        <v>0</v>
      </c>
      <c r="O158" s="84">
        <v>0</v>
      </c>
      <c r="P158" s="84">
        <v>0</v>
      </c>
      <c r="Q158" s="95">
        <v>0</v>
      </c>
      <c r="R158" s="110" t="s">
        <v>111</v>
      </c>
      <c r="S158" s="111">
        <f t="shared" si="37"/>
        <v>1.0000000037252903</v>
      </c>
      <c r="T158" s="111">
        <f t="shared" si="38"/>
        <v>0.74000000953674316</v>
      </c>
      <c r="U158" s="120">
        <f t="shared" si="39"/>
        <v>1.0000000037252903</v>
      </c>
      <c r="V158" s="143">
        <v>0.76967502868424331</v>
      </c>
      <c r="W158" s="144">
        <v>0.49994896948647788</v>
      </c>
      <c r="X158" s="144">
        <v>0.31435750438025611</v>
      </c>
      <c r="Y158" s="145">
        <v>0.21100411793501159</v>
      </c>
    </row>
    <row r="159" spans="1:25" ht="15.75" thickBot="1" x14ac:dyDescent="0.3">
      <c r="A159" s="90"/>
      <c r="B159" s="83" t="s">
        <v>76</v>
      </c>
      <c r="C159" s="88">
        <v>1</v>
      </c>
      <c r="D159" s="88">
        <v>2</v>
      </c>
      <c r="E159" s="88">
        <v>3</v>
      </c>
      <c r="F159" s="88">
        <v>4</v>
      </c>
      <c r="G159" s="88">
        <v>5</v>
      </c>
      <c r="H159" s="88">
        <v>6</v>
      </c>
      <c r="I159" s="88">
        <v>7</v>
      </c>
      <c r="J159" s="88">
        <v>8</v>
      </c>
      <c r="K159" s="88">
        <v>9</v>
      </c>
      <c r="L159" s="88">
        <v>10</v>
      </c>
      <c r="M159" s="88">
        <v>11</v>
      </c>
      <c r="N159" s="88">
        <v>12</v>
      </c>
      <c r="O159" s="88">
        <v>13</v>
      </c>
      <c r="P159" s="88">
        <v>14</v>
      </c>
      <c r="Q159" s="89">
        <v>15</v>
      </c>
      <c r="S159" s="52"/>
      <c r="T159" s="52"/>
      <c r="Y159" s="5"/>
    </row>
    <row r="160" spans="1:25" x14ac:dyDescent="0.25">
      <c r="V160" s="53"/>
      <c r="W160" s="53"/>
      <c r="X160" s="53"/>
      <c r="Y160" s="53"/>
    </row>
    <row r="170" spans="2:26" x14ac:dyDescent="0.25">
      <c r="N170" t="s">
        <v>8</v>
      </c>
      <c r="O170">
        <v>1</v>
      </c>
      <c r="P170">
        <v>0.71017288748079277</v>
      </c>
      <c r="Q170">
        <v>0.43822016406703052</v>
      </c>
      <c r="R170">
        <v>0.20529843983035473</v>
      </c>
      <c r="S170">
        <v>8.3201383467531934E-2</v>
      </c>
      <c r="U170" t="s">
        <v>30</v>
      </c>
      <c r="V170">
        <v>1</v>
      </c>
      <c r="W170">
        <v>0.78603449179454143</v>
      </c>
      <c r="X170">
        <v>0.48348780824969756</v>
      </c>
      <c r="Y170">
        <v>0.30809240981005637</v>
      </c>
      <c r="Z170">
        <v>0.20750404269121553</v>
      </c>
    </row>
    <row r="171" spans="2:26" x14ac:dyDescent="0.25">
      <c r="B171">
        <v>9.5259416712195885E-2</v>
      </c>
      <c r="N171" t="s">
        <v>11</v>
      </c>
      <c r="O171">
        <v>2</v>
      </c>
      <c r="P171">
        <v>0.72054865499810239</v>
      </c>
      <c r="Q171">
        <v>0.36941925851592211</v>
      </c>
      <c r="R171">
        <v>0.23040777508252744</v>
      </c>
      <c r="S171">
        <v>0.10458894433887958</v>
      </c>
      <c r="U171" t="s">
        <v>31</v>
      </c>
      <c r="V171">
        <v>2</v>
      </c>
      <c r="W171">
        <v>0.72922552797346629</v>
      </c>
      <c r="X171">
        <v>0.3686442819741409</v>
      </c>
      <c r="Y171">
        <v>0.1626303757935566</v>
      </c>
      <c r="Z171">
        <v>8.9427820096311089E-2</v>
      </c>
    </row>
    <row r="172" spans="2:26" x14ac:dyDescent="0.25">
      <c r="B172">
        <v>9.1429153248314049E-2</v>
      </c>
      <c r="N172" t="s">
        <v>10</v>
      </c>
      <c r="O172">
        <v>3</v>
      </c>
      <c r="P172">
        <v>0.68200826728404329</v>
      </c>
      <c r="Q172">
        <v>0.41299174386969606</v>
      </c>
      <c r="R172">
        <v>0.27509720323385539</v>
      </c>
      <c r="S172">
        <v>0.13736671588831034</v>
      </c>
      <c r="U172" t="s">
        <v>34</v>
      </c>
      <c r="V172">
        <v>3</v>
      </c>
      <c r="W172">
        <v>0.71745608795690097</v>
      </c>
      <c r="X172">
        <v>0.4423817881629889</v>
      </c>
      <c r="Y172">
        <v>0.2201740872698052</v>
      </c>
      <c r="Z172">
        <v>0.13326628767662022</v>
      </c>
    </row>
    <row r="173" spans="2:26" x14ac:dyDescent="0.25">
      <c r="B173">
        <v>0.15</v>
      </c>
      <c r="N173" t="s">
        <v>15</v>
      </c>
      <c r="O173">
        <v>4</v>
      </c>
      <c r="P173">
        <v>0.43949763197446806</v>
      </c>
      <c r="Q173">
        <v>0.18177969239450634</v>
      </c>
      <c r="R173">
        <v>5.916914261297232E-2</v>
      </c>
      <c r="S173">
        <v>1.5980365327900044E-2</v>
      </c>
      <c r="U173" t="s">
        <v>37</v>
      </c>
      <c r="V173">
        <v>4</v>
      </c>
      <c r="W173">
        <v>0.49990086851527282</v>
      </c>
      <c r="X173">
        <v>0.22532353813142672</v>
      </c>
      <c r="Y173">
        <v>0.11863639212933022</v>
      </c>
      <c r="Z173">
        <v>6.7102028252561341E-2</v>
      </c>
    </row>
    <row r="174" spans="2:26" x14ac:dyDescent="0.25">
      <c r="B174">
        <v>-2.7540594594910817E-2</v>
      </c>
      <c r="N174" t="s">
        <v>18</v>
      </c>
      <c r="O174">
        <v>5</v>
      </c>
      <c r="P174">
        <v>0.56050236802553177</v>
      </c>
      <c r="Q174">
        <v>0.26434374293975083</v>
      </c>
      <c r="R174">
        <v>0.10051520645669654</v>
      </c>
      <c r="S174">
        <v>3.2249132282263469E-2</v>
      </c>
      <c r="U174" t="s">
        <v>32</v>
      </c>
      <c r="V174">
        <v>5</v>
      </c>
      <c r="W174">
        <v>0.50009913148472718</v>
      </c>
      <c r="X174">
        <v>0.22545940217019403</v>
      </c>
      <c r="Y174">
        <v>0.11872958619302509</v>
      </c>
      <c r="Z174">
        <v>6.7166026415169E-2</v>
      </c>
    </row>
    <row r="175" spans="2:26" x14ac:dyDescent="0.25">
      <c r="B175">
        <v>6.228915759820812E-2</v>
      </c>
      <c r="N175" t="s">
        <v>14</v>
      </c>
      <c r="O175">
        <v>6</v>
      </c>
      <c r="P175">
        <v>0.31799173271595654</v>
      </c>
      <c r="Q175">
        <v>0.1350614729296912</v>
      </c>
      <c r="R175">
        <v>6.5640877757107252E-2</v>
      </c>
      <c r="S175">
        <v>2.1091121204669615E-2</v>
      </c>
      <c r="U175" t="s">
        <v>39</v>
      </c>
      <c r="V175">
        <v>6</v>
      </c>
      <c r="W175">
        <v>0.28254391204309909</v>
      </c>
      <c r="X175">
        <v>0.11243430365167353</v>
      </c>
      <c r="Y175">
        <v>3.2082079521018755E-2</v>
      </c>
      <c r="Z175">
        <v>1.2333762920447942E-2</v>
      </c>
    </row>
    <row r="176" spans="2:26" x14ac:dyDescent="0.25">
      <c r="B176">
        <v>0.15</v>
      </c>
      <c r="N176" t="s">
        <v>16</v>
      </c>
      <c r="O176">
        <v>7</v>
      </c>
      <c r="P176">
        <v>0.27945134500189778</v>
      </c>
      <c r="Q176">
        <v>8.2527524684690629E-2</v>
      </c>
      <c r="R176">
        <v>3.2826321772532689E-2</v>
      </c>
      <c r="S176">
        <v>8.0973677713297998E-3</v>
      </c>
      <c r="U176" t="s">
        <v>35</v>
      </c>
      <c r="V176">
        <v>7</v>
      </c>
      <c r="W176">
        <v>0.27077447202653371</v>
      </c>
      <c r="X176">
        <v>7.6539626211196712E-2</v>
      </c>
      <c r="Y176">
        <v>1.7545620437828018E-2</v>
      </c>
      <c r="Z176">
        <v>5.6057297721190417E-3</v>
      </c>
    </row>
    <row r="177" spans="2:26" x14ac:dyDescent="0.25">
      <c r="B177">
        <v>1.2342541738757318E-2</v>
      </c>
      <c r="N177" t="s">
        <v>22</v>
      </c>
      <c r="O177">
        <v>8</v>
      </c>
      <c r="P177">
        <v>0.28982711251920712</v>
      </c>
      <c r="Q177">
        <v>0.11565640059871192</v>
      </c>
      <c r="R177">
        <v>3.1045033253953112E-2</v>
      </c>
      <c r="S177">
        <v>6.7839874141450481E-3</v>
      </c>
      <c r="U177" t="s">
        <v>41</v>
      </c>
      <c r="V177">
        <v>8</v>
      </c>
      <c r="W177">
        <v>0.21396550820545859</v>
      </c>
      <c r="X177">
        <v>6.5729251448681497E-2</v>
      </c>
      <c r="Y177">
        <v>2.2109448845379596E-2</v>
      </c>
      <c r="Z177">
        <v>8.2352844805252574E-3</v>
      </c>
    </row>
    <row r="178" spans="2:26" x14ac:dyDescent="0.25">
      <c r="B178">
        <v>0.14303737827182517</v>
      </c>
      <c r="N178" t="s">
        <v>23</v>
      </c>
      <c r="O178">
        <v>9</v>
      </c>
      <c r="P178">
        <v>0</v>
      </c>
      <c r="Q178">
        <v>0</v>
      </c>
      <c r="R178">
        <v>0</v>
      </c>
      <c r="S178">
        <v>0</v>
      </c>
      <c r="U178" t="s">
        <v>40</v>
      </c>
      <c r="V178">
        <v>9</v>
      </c>
      <c r="W178">
        <v>0</v>
      </c>
      <c r="X178">
        <v>0</v>
      </c>
      <c r="Y178">
        <v>0</v>
      </c>
      <c r="Z178">
        <v>0</v>
      </c>
    </row>
    <row r="179" spans="2:26" x14ac:dyDescent="0.25">
      <c r="B179">
        <v>8.4066291307456631E-2</v>
      </c>
      <c r="N179" t="s">
        <v>12</v>
      </c>
      <c r="O179">
        <v>10</v>
      </c>
      <c r="P179">
        <v>0</v>
      </c>
      <c r="Q179">
        <v>0</v>
      </c>
      <c r="R179">
        <v>0</v>
      </c>
      <c r="S179">
        <v>0</v>
      </c>
      <c r="U179" t="s">
        <v>44</v>
      </c>
      <c r="V179">
        <v>10</v>
      </c>
      <c r="W179">
        <v>0</v>
      </c>
      <c r="X179">
        <v>0</v>
      </c>
      <c r="Y179">
        <v>0</v>
      </c>
      <c r="Z179">
        <v>0</v>
      </c>
    </row>
    <row r="180" spans="2:26" x14ac:dyDescent="0.25">
      <c r="B180">
        <v>9.7209016343685867E-2</v>
      </c>
      <c r="N180" t="s">
        <v>28</v>
      </c>
      <c r="O180">
        <v>11</v>
      </c>
      <c r="P180">
        <v>0</v>
      </c>
      <c r="Q180">
        <v>0</v>
      </c>
      <c r="R180">
        <v>0</v>
      </c>
      <c r="S180">
        <v>0</v>
      </c>
      <c r="U180" t="s">
        <v>36</v>
      </c>
      <c r="V180">
        <v>11</v>
      </c>
      <c r="W180">
        <v>0</v>
      </c>
      <c r="X180">
        <v>0</v>
      </c>
      <c r="Y180">
        <v>0</v>
      </c>
      <c r="Z180">
        <v>0</v>
      </c>
    </row>
    <row r="181" spans="2:26" x14ac:dyDescent="0.25">
      <c r="B181">
        <v>5.925354974907826E-2</v>
      </c>
      <c r="N181" t="s">
        <v>20</v>
      </c>
      <c r="O181">
        <v>12</v>
      </c>
      <c r="P181">
        <v>0</v>
      </c>
      <c r="Q181">
        <v>0</v>
      </c>
      <c r="R181">
        <v>0</v>
      </c>
      <c r="S181">
        <v>0</v>
      </c>
      <c r="U181" t="s">
        <v>47</v>
      </c>
      <c r="V181">
        <v>12</v>
      </c>
      <c r="W181">
        <v>0</v>
      </c>
      <c r="X181">
        <v>0</v>
      </c>
      <c r="Y181">
        <v>0</v>
      </c>
      <c r="Z181">
        <v>0</v>
      </c>
    </row>
    <row r="182" spans="2:26" x14ac:dyDescent="0.25">
      <c r="B182">
        <v>2.6836454494341133E-2</v>
      </c>
      <c r="N182" t="s">
        <v>26</v>
      </c>
      <c r="O182">
        <v>13</v>
      </c>
      <c r="P182">
        <v>0</v>
      </c>
      <c r="Q182">
        <v>0</v>
      </c>
      <c r="R182">
        <v>0</v>
      </c>
      <c r="S182">
        <v>0</v>
      </c>
      <c r="U182" t="s">
        <v>43</v>
      </c>
      <c r="V182">
        <v>13</v>
      </c>
      <c r="W182">
        <v>0</v>
      </c>
      <c r="X182">
        <v>0</v>
      </c>
      <c r="Y182">
        <v>0</v>
      </c>
      <c r="Z182">
        <v>0</v>
      </c>
    </row>
    <row r="183" spans="2:26" x14ac:dyDescent="0.25">
      <c r="B183">
        <v>7.1508752084443017E-2</v>
      </c>
      <c r="N183" t="s">
        <v>24</v>
      </c>
      <c r="O183">
        <v>14</v>
      </c>
      <c r="P183">
        <v>0</v>
      </c>
      <c r="Q183">
        <v>0</v>
      </c>
      <c r="R183">
        <v>0</v>
      </c>
      <c r="S183">
        <v>0</v>
      </c>
      <c r="U183" t="s">
        <v>46</v>
      </c>
      <c r="V183">
        <v>14</v>
      </c>
      <c r="W183">
        <v>0</v>
      </c>
      <c r="X183">
        <v>0</v>
      </c>
      <c r="Y183">
        <v>0</v>
      </c>
      <c r="Z183">
        <v>0</v>
      </c>
    </row>
    <row r="184" spans="2:26" x14ac:dyDescent="0.25">
      <c r="B184">
        <v>7.4112901639474205E-2</v>
      </c>
      <c r="N184" t="s">
        <v>29</v>
      </c>
      <c r="O184">
        <v>15</v>
      </c>
      <c r="P184">
        <v>0</v>
      </c>
      <c r="Q184">
        <v>0</v>
      </c>
      <c r="R184">
        <v>0</v>
      </c>
      <c r="S184">
        <v>0</v>
      </c>
      <c r="U184" t="s">
        <v>48</v>
      </c>
      <c r="V184">
        <v>15</v>
      </c>
      <c r="W184">
        <v>0</v>
      </c>
      <c r="X184">
        <v>0</v>
      </c>
      <c r="Y184">
        <v>0</v>
      </c>
      <c r="Z184">
        <v>0</v>
      </c>
    </row>
    <row r="185" spans="2:26" x14ac:dyDescent="0.25">
      <c r="B185">
        <v>9.6098613798501084E-2</v>
      </c>
    </row>
    <row r="186" spans="2:26" x14ac:dyDescent="0.25">
      <c r="B186">
        <v>9.7354438685435085E-2</v>
      </c>
    </row>
    <row r="187" spans="2:26" x14ac:dyDescent="0.25">
      <c r="B187">
        <v>0.15</v>
      </c>
    </row>
    <row r="188" spans="2:26" x14ac:dyDescent="0.25">
      <c r="B188">
        <v>0.13333576825989973</v>
      </c>
    </row>
    <row r="189" spans="2:26" x14ac:dyDescent="0.25">
      <c r="B189">
        <v>0.13378462787613249</v>
      </c>
    </row>
    <row r="190" spans="2:26" x14ac:dyDescent="0.25">
      <c r="B190">
        <v>0.15</v>
      </c>
    </row>
    <row r="191" spans="2:26" x14ac:dyDescent="0.25">
      <c r="B191">
        <v>7.9597976885843053E-2</v>
      </c>
    </row>
    <row r="192" spans="2:26" x14ac:dyDescent="0.25">
      <c r="B192">
        <v>0.15</v>
      </c>
    </row>
    <row r="193" spans="2:2" x14ac:dyDescent="0.25">
      <c r="B193">
        <v>0.12924080587830467</v>
      </c>
    </row>
    <row r="194" spans="2:2" x14ac:dyDescent="0.25">
      <c r="B194">
        <v>4.0017403603206422E-2</v>
      </c>
    </row>
    <row r="195" spans="2:2" x14ac:dyDescent="0.25">
      <c r="B195">
        <v>0.14979386817393053</v>
      </c>
    </row>
    <row r="196" spans="2:2" x14ac:dyDescent="0.25">
      <c r="B196">
        <v>3.1459030783421132E-2</v>
      </c>
    </row>
    <row r="197" spans="2:2" x14ac:dyDescent="0.25">
      <c r="B197">
        <v>0.10292524842085642</v>
      </c>
    </row>
    <row r="198" spans="2:2" x14ac:dyDescent="0.25">
      <c r="B198">
        <v>-3.5977559174359242E-2</v>
      </c>
    </row>
    <row r="199" spans="2:2" x14ac:dyDescent="0.25">
      <c r="B199">
        <v>0.1335315630163682</v>
      </c>
    </row>
    <row r="200" spans="2:2" x14ac:dyDescent="0.25">
      <c r="B200">
        <v>6.1050332586861218E-2</v>
      </c>
    </row>
    <row r="201" spans="2:2" x14ac:dyDescent="0.25">
      <c r="B201">
        <v>0.15</v>
      </c>
    </row>
    <row r="202" spans="2:2" x14ac:dyDescent="0.25">
      <c r="B202">
        <v>8.1383821809895465E-2</v>
      </c>
    </row>
    <row r="203" spans="2:2" x14ac:dyDescent="0.25">
      <c r="B203">
        <v>1.1980543182624398E-2</v>
      </c>
    </row>
    <row r="204" spans="2:2" x14ac:dyDescent="0.25">
      <c r="B204">
        <v>0.10347973419393366</v>
      </c>
    </row>
    <row r="205" spans="2:2" x14ac:dyDescent="0.25">
      <c r="B205">
        <v>7.2635759031985214E-2</v>
      </c>
    </row>
    <row r="206" spans="2:2" x14ac:dyDescent="0.25">
      <c r="B206">
        <v>7.0820382025191683E-2</v>
      </c>
    </row>
    <row r="207" spans="2:2" x14ac:dyDescent="0.25">
      <c r="B207">
        <v>0.15</v>
      </c>
    </row>
    <row r="208" spans="2:2" x14ac:dyDescent="0.25">
      <c r="B208">
        <v>6.0964837129076341E-2</v>
      </c>
    </row>
    <row r="209" spans="2:2" x14ac:dyDescent="0.25">
      <c r="B209">
        <v>4.7963713776604897E-2</v>
      </c>
    </row>
    <row r="210" spans="2:2" x14ac:dyDescent="0.25">
      <c r="B210">
        <v>5.4469350577704925E-2</v>
      </c>
    </row>
    <row r="211" spans="2:2" x14ac:dyDescent="0.25">
      <c r="B211">
        <v>8.8744863429046278E-2</v>
      </c>
    </row>
    <row r="212" spans="2:2" x14ac:dyDescent="0.25">
      <c r="B212">
        <v>5.4073778959574437E-2</v>
      </c>
    </row>
    <row r="213" spans="2:2" x14ac:dyDescent="0.25">
      <c r="B213">
        <v>3.0704579811476687E-2</v>
      </c>
    </row>
    <row r="214" spans="2:2" x14ac:dyDescent="0.25">
      <c r="B214">
        <v>0.15</v>
      </c>
    </row>
    <row r="215" spans="2:2" x14ac:dyDescent="0.25">
      <c r="B215">
        <v>-2.6247286090121724E-2</v>
      </c>
    </row>
    <row r="216" spans="2:2" x14ac:dyDescent="0.25">
      <c r="B216">
        <v>5.0120490351469725E-2</v>
      </c>
    </row>
    <row r="217" spans="2:2" x14ac:dyDescent="0.25">
      <c r="B217">
        <v>0.15</v>
      </c>
    </row>
    <row r="218" spans="2:2" x14ac:dyDescent="0.25">
      <c r="B218">
        <v>0.15</v>
      </c>
    </row>
    <row r="219" spans="2:2" x14ac:dyDescent="0.25">
      <c r="B219">
        <v>5.7473503071178302E-2</v>
      </c>
    </row>
    <row r="220" spans="2:2" x14ac:dyDescent="0.25">
      <c r="B220">
        <v>-1.6524644711981576E-2</v>
      </c>
    </row>
    <row r="221" spans="2:2" x14ac:dyDescent="0.25">
      <c r="B221">
        <v>9.6282784493486706E-2</v>
      </c>
    </row>
    <row r="222" spans="2:2" x14ac:dyDescent="0.25">
      <c r="B222">
        <v>0.11670382921437719</v>
      </c>
    </row>
    <row r="223" spans="2:2" x14ac:dyDescent="0.25">
      <c r="B223">
        <v>7.6938813309788343E-2</v>
      </c>
    </row>
    <row r="224" spans="2:2" x14ac:dyDescent="0.25">
      <c r="B224">
        <v>6.0362695624675777E-2</v>
      </c>
    </row>
    <row r="225" spans="2:2" x14ac:dyDescent="0.25">
      <c r="B225">
        <v>0.13528858968206772</v>
      </c>
    </row>
    <row r="226" spans="2:2" x14ac:dyDescent="0.25">
      <c r="B226">
        <v>2.7761960377955974E-2</v>
      </c>
    </row>
    <row r="227" spans="2:2" x14ac:dyDescent="0.25">
      <c r="B227">
        <v>0.15</v>
      </c>
    </row>
    <row r="228" spans="2:2" x14ac:dyDescent="0.25">
      <c r="B228">
        <v>-1.2550066798888287E-2</v>
      </c>
    </row>
    <row r="229" spans="2:2" x14ac:dyDescent="0.25">
      <c r="B229">
        <v>4.260515224446082E-2</v>
      </c>
    </row>
    <row r="230" spans="2:2" x14ac:dyDescent="0.25">
      <c r="B230">
        <v>0.11667273635703086</v>
      </c>
    </row>
    <row r="231" spans="2:2" x14ac:dyDescent="0.25">
      <c r="B231">
        <v>7.3418292241100885E-2</v>
      </c>
    </row>
    <row r="232" spans="2:2" x14ac:dyDescent="0.25">
      <c r="B232">
        <v>3.6462242270285938E-2</v>
      </c>
    </row>
    <row r="233" spans="2:2" x14ac:dyDescent="0.25">
      <c r="B233">
        <v>0.1141692043720736</v>
      </c>
    </row>
    <row r="234" spans="2:2" x14ac:dyDescent="0.25">
      <c r="B234">
        <v>2.3511106976437199E-2</v>
      </c>
    </row>
    <row r="235" spans="2:2" x14ac:dyDescent="0.25">
      <c r="B235">
        <v>8.151938966891166E-2</v>
      </c>
    </row>
    <row r="236" spans="2:2" x14ac:dyDescent="0.25">
      <c r="B236">
        <v>0.15</v>
      </c>
    </row>
    <row r="237" spans="2:2" x14ac:dyDescent="0.25">
      <c r="B237">
        <v>0.14085971115008294</v>
      </c>
    </row>
    <row r="238" spans="2:2" x14ac:dyDescent="0.25">
      <c r="B238">
        <v>0.10743705359972192</v>
      </c>
    </row>
    <row r="239" spans="2:2" x14ac:dyDescent="0.25">
      <c r="B239">
        <v>0.13782111713719006</v>
      </c>
    </row>
    <row r="240" spans="2:2" x14ac:dyDescent="0.25">
      <c r="B240">
        <v>0.14228578699856856</v>
      </c>
    </row>
    <row r="241" spans="2:2" x14ac:dyDescent="0.25">
      <c r="B241">
        <v>8.0880024859345673E-2</v>
      </c>
    </row>
    <row r="242" spans="2:2" x14ac:dyDescent="0.25">
      <c r="B242">
        <v>0.10589182839687863</v>
      </c>
    </row>
    <row r="243" spans="2:2" x14ac:dyDescent="0.25">
      <c r="B243">
        <v>9.7967574254505627E-2</v>
      </c>
    </row>
    <row r="244" spans="2:2" x14ac:dyDescent="0.25">
      <c r="B244">
        <v>9.8376833960651416E-2</v>
      </c>
    </row>
    <row r="245" spans="2:2" x14ac:dyDescent="0.25">
      <c r="B245">
        <v>0.10186697045186056</v>
      </c>
    </row>
    <row r="246" spans="2:2" x14ac:dyDescent="0.25">
      <c r="B246">
        <v>-2.1377863360980659E-2</v>
      </c>
    </row>
    <row r="247" spans="2:2" x14ac:dyDescent="0.25">
      <c r="B247">
        <v>6.3328204494113347E-2</v>
      </c>
    </row>
    <row r="248" spans="2:2" x14ac:dyDescent="0.25">
      <c r="B248">
        <v>2.1710429124676037E-2</v>
      </c>
    </row>
    <row r="249" spans="2:2" x14ac:dyDescent="0.25">
      <c r="B249">
        <v>7.6099908302330987E-2</v>
      </c>
    </row>
    <row r="250" spans="2:2" x14ac:dyDescent="0.25">
      <c r="B250">
        <v>7.7761951684551037E-2</v>
      </c>
    </row>
    <row r="251" spans="2:2" x14ac:dyDescent="0.25">
      <c r="B251">
        <v>0.1024648079813871</v>
      </c>
    </row>
    <row r="252" spans="2:2" x14ac:dyDescent="0.25">
      <c r="B252">
        <v>2.8327665023930471E-2</v>
      </c>
    </row>
    <row r="253" spans="2:2" x14ac:dyDescent="0.25">
      <c r="B253">
        <v>0.14175051144262088</v>
      </c>
    </row>
    <row r="254" spans="2:2" x14ac:dyDescent="0.25">
      <c r="B254">
        <v>0.12297774630392581</v>
      </c>
    </row>
    <row r="255" spans="2:2" x14ac:dyDescent="0.25">
      <c r="B255">
        <v>1.7680333303940352E-2</v>
      </c>
    </row>
    <row r="256" spans="2:2" x14ac:dyDescent="0.25">
      <c r="B256">
        <v>0.15</v>
      </c>
    </row>
    <row r="257" spans="2:2" x14ac:dyDescent="0.25">
      <c r="B257">
        <v>-6.9471426963625682E-3</v>
      </c>
    </row>
    <row r="258" spans="2:2" x14ac:dyDescent="0.25">
      <c r="B258">
        <v>8.6994085654887365E-2</v>
      </c>
    </row>
    <row r="259" spans="2:2" x14ac:dyDescent="0.25">
      <c r="B259">
        <v>0.11350149650337624</v>
      </c>
    </row>
    <row r="260" spans="2:2" x14ac:dyDescent="0.25">
      <c r="B260">
        <v>0.10834962281929911</v>
      </c>
    </row>
    <row r="261" spans="2:2" x14ac:dyDescent="0.25">
      <c r="B261">
        <v>0.10939896837866833</v>
      </c>
    </row>
    <row r="262" spans="2:2" x14ac:dyDescent="0.25">
      <c r="B262">
        <v>0.13652704453162967</v>
      </c>
    </row>
    <row r="263" spans="2:2" x14ac:dyDescent="0.25">
      <c r="B263">
        <v>5.5383372900596931E-2</v>
      </c>
    </row>
    <row r="264" spans="2:2" x14ac:dyDescent="0.25">
      <c r="B264">
        <v>9.1058983137970603E-2</v>
      </c>
    </row>
    <row r="265" spans="2:2" x14ac:dyDescent="0.25">
      <c r="B265">
        <v>0.15</v>
      </c>
    </row>
    <row r="266" spans="2:2" x14ac:dyDescent="0.25">
      <c r="B266">
        <v>4.2911943984384054E-2</v>
      </c>
    </row>
    <row r="267" spans="2:2" x14ac:dyDescent="0.25">
      <c r="B267">
        <v>8.8998852004800538E-2</v>
      </c>
    </row>
    <row r="268" spans="2:2" x14ac:dyDescent="0.25">
      <c r="B268">
        <v>4.1942419148432872E-2</v>
      </c>
    </row>
    <row r="269" spans="2:2" x14ac:dyDescent="0.25">
      <c r="B269">
        <v>6.0761803755735269E-2</v>
      </c>
    </row>
    <row r="270" spans="2:2" x14ac:dyDescent="0.25">
      <c r="B270">
        <v>2.2711334413670584E-2</v>
      </c>
    </row>
    <row r="271" spans="2:2" x14ac:dyDescent="0.25">
      <c r="B271">
        <v>0.11612044018356664</v>
      </c>
    </row>
    <row r="272" spans="2:2" x14ac:dyDescent="0.25">
      <c r="B272">
        <v>0.11862613984034182</v>
      </c>
    </row>
    <row r="273" spans="2:2" x14ac:dyDescent="0.25">
      <c r="B273">
        <v>-6.0847907163910364E-3</v>
      </c>
    </row>
    <row r="274" spans="2:2" x14ac:dyDescent="0.25">
      <c r="B274">
        <v>4.1398544365553541E-2</v>
      </c>
    </row>
    <row r="275" spans="2:2" x14ac:dyDescent="0.25">
      <c r="B275">
        <v>3.8369013713492828E-2</v>
      </c>
    </row>
    <row r="276" spans="2:2" x14ac:dyDescent="0.25">
      <c r="B276">
        <v>0.12487050681717285</v>
      </c>
    </row>
    <row r="277" spans="2:2" x14ac:dyDescent="0.25">
      <c r="B277">
        <v>6.7283800898097185E-2</v>
      </c>
    </row>
    <row r="278" spans="2:2" x14ac:dyDescent="0.25">
      <c r="B278">
        <v>0.15</v>
      </c>
    </row>
    <row r="279" spans="2:2" x14ac:dyDescent="0.25">
      <c r="B279">
        <v>0.1312597333349608</v>
      </c>
    </row>
    <row r="280" spans="2:2" x14ac:dyDescent="0.25">
      <c r="B280">
        <v>0.10206090854193671</v>
      </c>
    </row>
    <row r="281" spans="2:2" x14ac:dyDescent="0.25">
      <c r="B281">
        <v>0.15</v>
      </c>
    </row>
    <row r="282" spans="2:2" x14ac:dyDescent="0.25">
      <c r="B282">
        <v>3.2653871987139566E-2</v>
      </c>
    </row>
    <row r="283" spans="2:2" x14ac:dyDescent="0.25">
      <c r="B283">
        <v>2.8079473933506072E-2</v>
      </c>
    </row>
    <row r="284" spans="2:2" x14ac:dyDescent="0.25">
      <c r="B284">
        <v>0.15</v>
      </c>
    </row>
    <row r="285" spans="2:2" x14ac:dyDescent="0.25">
      <c r="B285">
        <v>4.70746271862756E-2</v>
      </c>
    </row>
    <row r="286" spans="2:2" x14ac:dyDescent="0.25">
      <c r="B286">
        <v>0.1417298428144555</v>
      </c>
    </row>
    <row r="287" spans="2:2" x14ac:dyDescent="0.25">
      <c r="B287">
        <v>7.3865674012149982E-2</v>
      </c>
    </row>
    <row r="288" spans="2:2" x14ac:dyDescent="0.25">
      <c r="B288">
        <v>9.7671164059855847E-2</v>
      </c>
    </row>
    <row r="289" spans="2:2" x14ac:dyDescent="0.25">
      <c r="B289">
        <v>6.5908941757179804E-2</v>
      </c>
    </row>
    <row r="290" spans="2:2" x14ac:dyDescent="0.25">
      <c r="B290">
        <v>0.13216667955211409</v>
      </c>
    </row>
    <row r="291" spans="2:2" x14ac:dyDescent="0.25">
      <c r="B291">
        <v>0.14969510985930884</v>
      </c>
    </row>
    <row r="292" spans="2:2" x14ac:dyDescent="0.25">
      <c r="B292">
        <v>1.0391489498774192E-2</v>
      </c>
    </row>
    <row r="293" spans="2:2" x14ac:dyDescent="0.25">
      <c r="B293">
        <v>-5.100463411742126E-3</v>
      </c>
    </row>
    <row r="294" spans="2:2" x14ac:dyDescent="0.25">
      <c r="B294">
        <v>3.9176978610835078E-3</v>
      </c>
    </row>
    <row r="295" spans="2:2" x14ac:dyDescent="0.25">
      <c r="B295">
        <v>0.1347422201440068</v>
      </c>
    </row>
    <row r="296" spans="2:2" x14ac:dyDescent="0.25">
      <c r="B296">
        <v>8.1931485707439883E-2</v>
      </c>
    </row>
    <row r="297" spans="2:2" x14ac:dyDescent="0.25">
      <c r="B297">
        <v>5.6112985893330594E-2</v>
      </c>
    </row>
    <row r="298" spans="2:2" x14ac:dyDescent="0.25">
      <c r="B298">
        <v>8.1500288699870513E-2</v>
      </c>
    </row>
    <row r="299" spans="2:2" x14ac:dyDescent="0.25">
      <c r="B299">
        <v>-1.5997152064181022E-2</v>
      </c>
    </row>
    <row r="300" spans="2:2" x14ac:dyDescent="0.25">
      <c r="B300">
        <v>1.3987153985360462E-2</v>
      </c>
    </row>
    <row r="301" spans="2:2" x14ac:dyDescent="0.25">
      <c r="B301">
        <v>9.5723783042560268E-2</v>
      </c>
    </row>
    <row r="302" spans="2:2" x14ac:dyDescent="0.25">
      <c r="B302">
        <v>5.4608373740113222E-2</v>
      </c>
    </row>
    <row r="303" spans="2:2" x14ac:dyDescent="0.25">
      <c r="B303">
        <v>5.8211706784078471E-2</v>
      </c>
    </row>
    <row r="304" spans="2:2" x14ac:dyDescent="0.25">
      <c r="B304">
        <v>0.10011866318611609</v>
      </c>
    </row>
    <row r="305" spans="2:2" x14ac:dyDescent="0.25">
      <c r="B305">
        <v>0.14260685070336157</v>
      </c>
    </row>
    <row r="306" spans="2:2" x14ac:dyDescent="0.25">
      <c r="B306">
        <v>0.14805803755551281</v>
      </c>
    </row>
    <row r="307" spans="2:2" x14ac:dyDescent="0.25">
      <c r="B307">
        <v>6.9632492589394537E-2</v>
      </c>
    </row>
    <row r="308" spans="2:2" x14ac:dyDescent="0.25">
      <c r="B308">
        <v>0.11208910078066771</v>
      </c>
    </row>
    <row r="309" spans="2:2" x14ac:dyDescent="0.25">
      <c r="B309">
        <v>3.9114620991022031E-3</v>
      </c>
    </row>
    <row r="310" spans="2:2" x14ac:dyDescent="0.25">
      <c r="B310">
        <v>4.0151381303321909E-3</v>
      </c>
    </row>
    <row r="311" spans="2:2" x14ac:dyDescent="0.25">
      <c r="B311">
        <v>5.1898182946030019E-2</v>
      </c>
    </row>
    <row r="312" spans="2:2" x14ac:dyDescent="0.25">
      <c r="B312">
        <v>7.269136281501544E-2</v>
      </c>
    </row>
    <row r="313" spans="2:2" x14ac:dyDescent="0.25">
      <c r="B313">
        <v>-5.9564946134002261E-3</v>
      </c>
    </row>
    <row r="314" spans="2:2" x14ac:dyDescent="0.25">
      <c r="B314">
        <v>5.0903656594537418E-2</v>
      </c>
    </row>
    <row r="315" spans="2:2" x14ac:dyDescent="0.25">
      <c r="B315">
        <v>1.0991944561476702E-2</v>
      </c>
    </row>
    <row r="316" spans="2:2" x14ac:dyDescent="0.25">
      <c r="B316">
        <v>5.6930801833128687E-2</v>
      </c>
    </row>
    <row r="317" spans="2:2" x14ac:dyDescent="0.25">
      <c r="B317">
        <v>4.0362653309943403E-2</v>
      </c>
    </row>
    <row r="318" spans="2:2" x14ac:dyDescent="0.25">
      <c r="B318">
        <v>5.3486977732555188E-2</v>
      </c>
    </row>
    <row r="319" spans="2:2" x14ac:dyDescent="0.25">
      <c r="B319">
        <v>5.5775908591048667E-2</v>
      </c>
    </row>
    <row r="320" spans="2:2" x14ac:dyDescent="0.25">
      <c r="B320">
        <v>5.8266646992197794E-2</v>
      </c>
    </row>
    <row r="321" spans="2:2" x14ac:dyDescent="0.25">
      <c r="B321">
        <v>5.5926444486697549E-2</v>
      </c>
    </row>
    <row r="322" spans="2:2" x14ac:dyDescent="0.25">
      <c r="B322">
        <v>0.10384473288630834</v>
      </c>
    </row>
    <row r="323" spans="2:2" x14ac:dyDescent="0.25">
      <c r="B323">
        <v>7.5899701904631925E-2</v>
      </c>
    </row>
    <row r="324" spans="2:2" x14ac:dyDescent="0.25">
      <c r="B324">
        <v>0.10135728915320096</v>
      </c>
    </row>
    <row r="325" spans="2:2" x14ac:dyDescent="0.25">
      <c r="B325">
        <v>0.15</v>
      </c>
    </row>
    <row r="326" spans="2:2" x14ac:dyDescent="0.25">
      <c r="B326">
        <v>0.13838633771847991</v>
      </c>
    </row>
    <row r="327" spans="2:2" x14ac:dyDescent="0.25">
      <c r="B327">
        <v>8.1336646835513574E-2</v>
      </c>
    </row>
    <row r="328" spans="2:2" x14ac:dyDescent="0.25">
      <c r="B328">
        <v>8.7191214349155347E-2</v>
      </c>
    </row>
    <row r="329" spans="2:2" x14ac:dyDescent="0.25">
      <c r="B329">
        <v>0.15</v>
      </c>
    </row>
    <row r="330" spans="2:2" x14ac:dyDescent="0.25">
      <c r="B330">
        <v>0.13049952562605005</v>
      </c>
    </row>
    <row r="331" spans="2:2" x14ac:dyDescent="0.25">
      <c r="B331">
        <v>2.8947747093996598E-2</v>
      </c>
    </row>
    <row r="332" spans="2:2" x14ac:dyDescent="0.25">
      <c r="B332">
        <v>0.15</v>
      </c>
    </row>
    <row r="333" spans="2:2" x14ac:dyDescent="0.25">
      <c r="B333">
        <v>0.1461723377849703</v>
      </c>
    </row>
    <row r="334" spans="2:2" x14ac:dyDescent="0.25">
      <c r="B334">
        <v>4.7498521493827814E-2</v>
      </c>
    </row>
    <row r="335" spans="2:2" x14ac:dyDescent="0.25">
      <c r="B335">
        <v>0.13520024734120806</v>
      </c>
    </row>
    <row r="336" spans="2:2" x14ac:dyDescent="0.25">
      <c r="B336">
        <v>0.15</v>
      </c>
    </row>
    <row r="337" spans="2:2" x14ac:dyDescent="0.25">
      <c r="B337">
        <v>0.13189512424492758</v>
      </c>
    </row>
    <row r="338" spans="2:2" x14ac:dyDescent="0.25">
      <c r="B338">
        <v>5.9444548029743097E-2</v>
      </c>
    </row>
    <row r="339" spans="2:2" x14ac:dyDescent="0.25">
      <c r="B339">
        <v>7.7295549499501889E-2</v>
      </c>
    </row>
    <row r="340" spans="2:2" x14ac:dyDescent="0.25">
      <c r="B340">
        <v>4.0398672029972854E-2</v>
      </c>
    </row>
    <row r="341" spans="2:2" x14ac:dyDescent="0.25">
      <c r="B341">
        <v>0.10736670814300443</v>
      </c>
    </row>
    <row r="342" spans="2:2" x14ac:dyDescent="0.25">
      <c r="B342">
        <v>0.14133490077860678</v>
      </c>
    </row>
    <row r="343" spans="2:2" x14ac:dyDescent="0.25">
      <c r="B343">
        <v>7.4674865229324525E-2</v>
      </c>
    </row>
    <row r="344" spans="2:2" x14ac:dyDescent="0.25">
      <c r="B344">
        <v>0.11269521720546005</v>
      </c>
    </row>
    <row r="345" spans="2:2" x14ac:dyDescent="0.25">
      <c r="B345">
        <v>0.15</v>
      </c>
    </row>
    <row r="346" spans="2:2" x14ac:dyDescent="0.25">
      <c r="B346">
        <v>2.7764660509117856E-2</v>
      </c>
    </row>
    <row r="347" spans="2:2" x14ac:dyDescent="0.25">
      <c r="B347">
        <v>9.8103723291589659E-2</v>
      </c>
    </row>
    <row r="348" spans="2:2" x14ac:dyDescent="0.25">
      <c r="B348">
        <v>5.1515528627033381E-2</v>
      </c>
    </row>
    <row r="349" spans="2:2" x14ac:dyDescent="0.25">
      <c r="B349">
        <v>0.13223596559452644</v>
      </c>
    </row>
    <row r="350" spans="2:2" x14ac:dyDescent="0.25">
      <c r="B350">
        <v>6.6296442552876547E-2</v>
      </c>
    </row>
    <row r="351" spans="2:2" x14ac:dyDescent="0.25">
      <c r="B351">
        <v>8.8419621832735121E-2</v>
      </c>
    </row>
    <row r="352" spans="2:2" x14ac:dyDescent="0.25">
      <c r="B352">
        <v>0.1424382663762559</v>
      </c>
    </row>
    <row r="353" spans="2:2" x14ac:dyDescent="0.25">
      <c r="B353">
        <v>4.4694949866985023E-2</v>
      </c>
    </row>
    <row r="354" spans="2:2" x14ac:dyDescent="0.25">
      <c r="B354">
        <v>0.11914692219095335</v>
      </c>
    </row>
    <row r="355" spans="2:2" x14ac:dyDescent="0.25">
      <c r="B355">
        <v>6.5903371296471405E-2</v>
      </c>
    </row>
    <row r="356" spans="2:2" x14ac:dyDescent="0.25">
      <c r="B356">
        <v>9.2394925240796538E-2</v>
      </c>
    </row>
    <row r="357" spans="2:2" x14ac:dyDescent="0.25">
      <c r="B357">
        <v>4.0076760723449997E-2</v>
      </c>
    </row>
    <row r="358" spans="2:2" x14ac:dyDescent="0.25">
      <c r="B358">
        <v>1.5065336274010133E-2</v>
      </c>
    </row>
    <row r="359" spans="2:2" x14ac:dyDescent="0.25">
      <c r="B359">
        <v>-1.0348522177279676E-2</v>
      </c>
    </row>
    <row r="360" spans="2:2" x14ac:dyDescent="0.25">
      <c r="B360">
        <v>0.12685991958416012</v>
      </c>
    </row>
    <row r="361" spans="2:2" x14ac:dyDescent="0.25">
      <c r="B361">
        <v>4.3228974592742636E-3</v>
      </c>
    </row>
    <row r="362" spans="2:2" x14ac:dyDescent="0.25">
      <c r="B362">
        <v>5.3376680846541291E-2</v>
      </c>
    </row>
    <row r="363" spans="2:2" x14ac:dyDescent="0.25">
      <c r="B363">
        <v>5.2563519120116621E-2</v>
      </c>
    </row>
    <row r="364" spans="2:2" x14ac:dyDescent="0.25">
      <c r="B364">
        <v>6.366831897159142E-3</v>
      </c>
    </row>
    <row r="365" spans="2:2" x14ac:dyDescent="0.25">
      <c r="B365">
        <v>8.6983922551149603E-2</v>
      </c>
    </row>
    <row r="366" spans="2:2" x14ac:dyDescent="0.25">
      <c r="B366">
        <v>1.0838304652171241E-2</v>
      </c>
    </row>
    <row r="367" spans="2:2" x14ac:dyDescent="0.25">
      <c r="B367">
        <v>4.9766285901690986E-2</v>
      </c>
    </row>
    <row r="368" spans="2:2" x14ac:dyDescent="0.25">
      <c r="B368">
        <v>8.5895411914184192E-2</v>
      </c>
    </row>
    <row r="369" spans="2:2" x14ac:dyDescent="0.25">
      <c r="B369">
        <v>5.5007929097266164E-2</v>
      </c>
    </row>
    <row r="370" spans="2:2" x14ac:dyDescent="0.25">
      <c r="B370">
        <v>3.1028849580840595E-2</v>
      </c>
    </row>
    <row r="371" spans="2:2" x14ac:dyDescent="0.25">
      <c r="B371">
        <v>9.6325075556821238E-2</v>
      </c>
    </row>
    <row r="372" spans="2:2" x14ac:dyDescent="0.25">
      <c r="B372">
        <v>-1.3858374787537764E-2</v>
      </c>
    </row>
    <row r="373" spans="2:2" x14ac:dyDescent="0.25">
      <c r="B373">
        <v>0.12508985120315474</v>
      </c>
    </row>
    <row r="374" spans="2:2" x14ac:dyDescent="0.25">
      <c r="B374">
        <v>3.189877744240241E-2</v>
      </c>
    </row>
    <row r="375" spans="2:2" x14ac:dyDescent="0.25">
      <c r="B375">
        <v>0.1226128318453871</v>
      </c>
    </row>
    <row r="376" spans="2:2" x14ac:dyDescent="0.25">
      <c r="B376">
        <v>0.12922527183064395</v>
      </c>
    </row>
    <row r="377" spans="2:2" x14ac:dyDescent="0.25">
      <c r="B377">
        <v>0.11657418590875669</v>
      </c>
    </row>
    <row r="378" spans="2:2" x14ac:dyDescent="0.25">
      <c r="B378">
        <v>6.7709790047022544E-2</v>
      </c>
    </row>
    <row r="379" spans="2:2" x14ac:dyDescent="0.25">
      <c r="B379">
        <v>4.1898370334697982E-2</v>
      </c>
    </row>
    <row r="380" spans="2:2" x14ac:dyDescent="0.25">
      <c r="B380">
        <v>6.4981771452892773E-2</v>
      </c>
    </row>
    <row r="381" spans="2:2" x14ac:dyDescent="0.25">
      <c r="B381">
        <v>5.0484824808479635E-2</v>
      </c>
    </row>
    <row r="382" spans="2:2" x14ac:dyDescent="0.25">
      <c r="B382">
        <v>3.6682049462152255E-3</v>
      </c>
    </row>
    <row r="383" spans="2:2" x14ac:dyDescent="0.25">
      <c r="B383">
        <v>3.9866454822714392E-2</v>
      </c>
    </row>
    <row r="384" spans="2:2" x14ac:dyDescent="0.25">
      <c r="B384">
        <v>7.0632463620208294E-2</v>
      </c>
    </row>
    <row r="385" spans="2:2" x14ac:dyDescent="0.25">
      <c r="B385">
        <v>0.15</v>
      </c>
    </row>
    <row r="386" spans="2:2" x14ac:dyDescent="0.25">
      <c r="B386">
        <v>7.0877568664224455E-2</v>
      </c>
    </row>
    <row r="387" spans="2:2" x14ac:dyDescent="0.25">
      <c r="B387">
        <v>0.10861735358633275</v>
      </c>
    </row>
    <row r="388" spans="2:2" x14ac:dyDescent="0.25">
      <c r="B388">
        <v>6.6544326443212454E-2</v>
      </c>
    </row>
    <row r="389" spans="2:2" x14ac:dyDescent="0.25">
      <c r="B389">
        <v>0.12069554493797456</v>
      </c>
    </row>
    <row r="390" spans="2:2" x14ac:dyDescent="0.25">
      <c r="B390">
        <v>0.15</v>
      </c>
    </row>
    <row r="391" spans="2:2" x14ac:dyDescent="0.25">
      <c r="B391">
        <v>2.5056807983659779E-2</v>
      </c>
    </row>
    <row r="392" spans="2:2" x14ac:dyDescent="0.25">
      <c r="B392">
        <v>-5.9054879901394436E-3</v>
      </c>
    </row>
    <row r="393" spans="2:2" x14ac:dyDescent="0.25">
      <c r="B393">
        <v>0.1322382625146924</v>
      </c>
    </row>
    <row r="394" spans="2:2" x14ac:dyDescent="0.25">
      <c r="B394">
        <v>6.7898210540442011E-2</v>
      </c>
    </row>
    <row r="395" spans="2:2" x14ac:dyDescent="0.25">
      <c r="B395">
        <v>6.520618245893231E-2</v>
      </c>
    </row>
    <row r="396" spans="2:2" x14ac:dyDescent="0.25">
      <c r="B396">
        <v>6.7593332926498453E-2</v>
      </c>
    </row>
    <row r="397" spans="2:2" x14ac:dyDescent="0.25">
      <c r="B397">
        <v>0.13383320048738678</v>
      </c>
    </row>
    <row r="398" spans="2:2" x14ac:dyDescent="0.25">
      <c r="B398">
        <v>4.7063496390860264E-2</v>
      </c>
    </row>
    <row r="399" spans="2:2" x14ac:dyDescent="0.25">
      <c r="B399">
        <v>0.15</v>
      </c>
    </row>
    <row r="400" spans="2:2" x14ac:dyDescent="0.25">
      <c r="B400">
        <v>4.5028301259693954E-2</v>
      </c>
    </row>
    <row r="401" spans="2:2" x14ac:dyDescent="0.25">
      <c r="B401">
        <v>9.6918111823000128E-2</v>
      </c>
    </row>
    <row r="402" spans="2:2" x14ac:dyDescent="0.25">
      <c r="B402">
        <v>8.8536712959113611E-2</v>
      </c>
    </row>
    <row r="403" spans="2:2" x14ac:dyDescent="0.25">
      <c r="B403">
        <v>6.568777192229952E-2</v>
      </c>
    </row>
    <row r="404" spans="2:2" x14ac:dyDescent="0.25">
      <c r="B404">
        <v>9.0537756964894286E-2</v>
      </c>
    </row>
    <row r="405" spans="2:2" x14ac:dyDescent="0.25">
      <c r="B405">
        <v>0.12452711315434915</v>
      </c>
    </row>
    <row r="406" spans="2:2" x14ac:dyDescent="0.25">
      <c r="B406">
        <v>0.15</v>
      </c>
    </row>
    <row r="407" spans="2:2" x14ac:dyDescent="0.25">
      <c r="B407">
        <v>9.6685356466832864E-2</v>
      </c>
    </row>
    <row r="408" spans="2:2" x14ac:dyDescent="0.25">
      <c r="B408">
        <v>2.5996530447968277E-2</v>
      </c>
    </row>
    <row r="409" spans="2:2" x14ac:dyDescent="0.25">
      <c r="B409">
        <v>0.1358762557455627</v>
      </c>
    </row>
    <row r="410" spans="2:2" x14ac:dyDescent="0.25">
      <c r="B410">
        <v>5.7256027103726737E-3</v>
      </c>
    </row>
    <row r="411" spans="2:2" x14ac:dyDescent="0.25">
      <c r="B411">
        <v>0.15</v>
      </c>
    </row>
    <row r="412" spans="2:2" x14ac:dyDescent="0.25">
      <c r="B412">
        <v>0.126283456141699</v>
      </c>
    </row>
    <row r="413" spans="2:2" x14ac:dyDescent="0.25">
      <c r="B413">
        <v>0.13566580900093286</v>
      </c>
    </row>
    <row r="414" spans="2:2" x14ac:dyDescent="0.25">
      <c r="B414">
        <v>-1.6040823824412492E-2</v>
      </c>
    </row>
    <row r="415" spans="2:2" x14ac:dyDescent="0.25">
      <c r="B415">
        <v>5.378788025600318E-2</v>
      </c>
    </row>
    <row r="416" spans="2:2" x14ac:dyDescent="0.25">
      <c r="B416">
        <v>4.4500343238780493E-2</v>
      </c>
    </row>
    <row r="417" spans="2:2" x14ac:dyDescent="0.25">
      <c r="B417">
        <v>0.104768977162252</v>
      </c>
    </row>
    <row r="418" spans="2:2" x14ac:dyDescent="0.25">
      <c r="B418">
        <v>5.8596633852487687E-2</v>
      </c>
    </row>
    <row r="419" spans="2:2" x14ac:dyDescent="0.25">
      <c r="B419">
        <v>3.1612415457370896E-2</v>
      </c>
    </row>
    <row r="420" spans="2:2" x14ac:dyDescent="0.25">
      <c r="B420">
        <v>0.10674869301010172</v>
      </c>
    </row>
    <row r="421" spans="2:2" x14ac:dyDescent="0.25">
      <c r="B421">
        <v>0.11032084859546107</v>
      </c>
    </row>
    <row r="422" spans="2:2" x14ac:dyDescent="0.25">
      <c r="B422">
        <v>1.8257651120524077E-2</v>
      </c>
    </row>
    <row r="423" spans="2:2" x14ac:dyDescent="0.25">
      <c r="B423">
        <v>0.12464393064316237</v>
      </c>
    </row>
    <row r="424" spans="2:2" x14ac:dyDescent="0.25">
      <c r="B424">
        <v>-3.0133649231237014E-2</v>
      </c>
    </row>
    <row r="425" spans="2:2" x14ac:dyDescent="0.25">
      <c r="B425">
        <v>-1.538555783823127E-2</v>
      </c>
    </row>
    <row r="426" spans="2:2" x14ac:dyDescent="0.25">
      <c r="B426">
        <v>0.10066334592234302</v>
      </c>
    </row>
    <row r="427" spans="2:2" x14ac:dyDescent="0.25">
      <c r="B427">
        <v>0.11743442270485746</v>
      </c>
    </row>
    <row r="428" spans="2:2" x14ac:dyDescent="0.25">
      <c r="B428">
        <v>7.6305064704565079E-2</v>
      </c>
    </row>
    <row r="429" spans="2:2" x14ac:dyDescent="0.25">
      <c r="B429">
        <v>9.3037694650106251E-2</v>
      </c>
    </row>
    <row r="430" spans="2:2" x14ac:dyDescent="0.25">
      <c r="B430">
        <v>6.0990026632139191E-2</v>
      </c>
    </row>
    <row r="431" spans="2:2" x14ac:dyDescent="0.25">
      <c r="B431">
        <v>0.12678561871096716</v>
      </c>
    </row>
    <row r="432" spans="2:2" x14ac:dyDescent="0.25">
      <c r="B432">
        <v>0.10995269766106068</v>
      </c>
    </row>
    <row r="433" spans="2:2" x14ac:dyDescent="0.25">
      <c r="B433">
        <v>0.13834900456136298</v>
      </c>
    </row>
    <row r="434" spans="2:2" x14ac:dyDescent="0.25">
      <c r="B434">
        <v>9.9768610919829553E-2</v>
      </c>
    </row>
    <row r="435" spans="2:2" x14ac:dyDescent="0.25">
      <c r="B435">
        <v>5.4066709579773525E-2</v>
      </c>
    </row>
    <row r="436" spans="2:2" x14ac:dyDescent="0.25">
      <c r="B436">
        <v>6.0195404673008546E-3</v>
      </c>
    </row>
    <row r="437" spans="2:2" x14ac:dyDescent="0.25">
      <c r="B437">
        <v>3.8185295721024706E-2</v>
      </c>
    </row>
    <row r="438" spans="2:2" x14ac:dyDescent="0.25">
      <c r="B438">
        <v>0.13552403358746284</v>
      </c>
    </row>
    <row r="439" spans="2:2" x14ac:dyDescent="0.25">
      <c r="B439">
        <v>5.2698941069596703E-2</v>
      </c>
    </row>
    <row r="440" spans="2:2" x14ac:dyDescent="0.25">
      <c r="B440">
        <v>-2.0794104338690944E-2</v>
      </c>
    </row>
    <row r="441" spans="2:2" x14ac:dyDescent="0.25">
      <c r="B441">
        <v>7.8269942058607045E-2</v>
      </c>
    </row>
    <row r="442" spans="2:2" x14ac:dyDescent="0.25">
      <c r="B442">
        <v>9.8724824645596815E-2</v>
      </c>
    </row>
    <row r="443" spans="2:2" x14ac:dyDescent="0.25">
      <c r="B443">
        <v>0.10890387670100765</v>
      </c>
    </row>
    <row r="444" spans="2:2" x14ac:dyDescent="0.25">
      <c r="B444">
        <v>5.5620989673434429E-3</v>
      </c>
    </row>
    <row r="445" spans="2:2" x14ac:dyDescent="0.25">
      <c r="B445">
        <v>0.15</v>
      </c>
    </row>
    <row r="446" spans="2:2" x14ac:dyDescent="0.25">
      <c r="B446">
        <v>6.672443582800526E-2</v>
      </c>
    </row>
    <row r="447" spans="2:2" x14ac:dyDescent="0.25">
      <c r="B447">
        <v>5.4796602358604951E-2</v>
      </c>
    </row>
    <row r="448" spans="2:2" x14ac:dyDescent="0.25">
      <c r="B448">
        <v>9.0492836906376023E-2</v>
      </c>
    </row>
    <row r="449" spans="2:2" x14ac:dyDescent="0.25">
      <c r="B449">
        <v>0.15</v>
      </c>
    </row>
    <row r="450" spans="2:2" x14ac:dyDescent="0.25">
      <c r="B450">
        <v>0.14550881303984542</v>
      </c>
    </row>
    <row r="451" spans="2:2" x14ac:dyDescent="0.25">
      <c r="B451">
        <v>0.11253719743014473</v>
      </c>
    </row>
    <row r="452" spans="2:2" x14ac:dyDescent="0.25">
      <c r="B452">
        <v>3.6023654345711004E-2</v>
      </c>
    </row>
    <row r="453" spans="2:2" x14ac:dyDescent="0.25">
      <c r="B453">
        <v>6.9733985971288298E-2</v>
      </c>
    </row>
    <row r="454" spans="2:2" x14ac:dyDescent="0.25">
      <c r="B454">
        <v>5.6840836923079105E-2</v>
      </c>
    </row>
    <row r="455" spans="2:2" x14ac:dyDescent="0.25">
      <c r="B455">
        <v>7.1627017516627353E-2</v>
      </c>
    </row>
    <row r="456" spans="2:2" x14ac:dyDescent="0.25">
      <c r="B456">
        <v>7.6283773166447785E-2</v>
      </c>
    </row>
    <row r="457" spans="2:2" x14ac:dyDescent="0.25">
      <c r="B457">
        <v>0.15</v>
      </c>
    </row>
    <row r="458" spans="2:2" x14ac:dyDescent="0.25">
      <c r="B458">
        <v>0.11455885992920042</v>
      </c>
    </row>
    <row r="459" spans="2:2" x14ac:dyDescent="0.25">
      <c r="B459">
        <v>6.8568238485169658E-2</v>
      </c>
    </row>
    <row r="460" spans="2:2" x14ac:dyDescent="0.25">
      <c r="B460">
        <v>0.15</v>
      </c>
    </row>
    <row r="461" spans="2:2" x14ac:dyDescent="0.25">
      <c r="B461">
        <v>6.7118668381395671E-2</v>
      </c>
    </row>
    <row r="462" spans="2:2" x14ac:dyDescent="0.25">
      <c r="B462">
        <v>4.448169030141802E-2</v>
      </c>
    </row>
    <row r="463" spans="2:2" x14ac:dyDescent="0.25">
      <c r="B463">
        <v>7.610734062571553E-2</v>
      </c>
    </row>
    <row r="464" spans="2:2" x14ac:dyDescent="0.25">
      <c r="B464">
        <v>2.1368700171816052E-2</v>
      </c>
    </row>
    <row r="465" spans="2:2" x14ac:dyDescent="0.25">
      <c r="B465">
        <v>-2.2979536800795841E-2</v>
      </c>
    </row>
    <row r="466" spans="2:2" x14ac:dyDescent="0.25">
      <c r="B466">
        <v>0.13743290825549681</v>
      </c>
    </row>
    <row r="467" spans="2:2" x14ac:dyDescent="0.25">
      <c r="B467">
        <v>0.13998445640839086</v>
      </c>
    </row>
    <row r="468" spans="2:2" x14ac:dyDescent="0.25">
      <c r="B468">
        <v>6.3406770041206095E-3</v>
      </c>
    </row>
    <row r="469" spans="2:2" x14ac:dyDescent="0.25">
      <c r="B469">
        <v>9.3256355956186088E-3</v>
      </c>
    </row>
    <row r="470" spans="2:2" x14ac:dyDescent="0.25">
      <c r="B470">
        <v>5.3412492449531987E-2</v>
      </c>
    </row>
    <row r="471" spans="2:2" x14ac:dyDescent="0.25">
      <c r="B471">
        <v>9.3914550570031063E-2</v>
      </c>
    </row>
    <row r="472" spans="2:2" x14ac:dyDescent="0.25">
      <c r="B472">
        <v>6.2880894126565071E-2</v>
      </c>
    </row>
    <row r="473" spans="2:2" x14ac:dyDescent="0.25">
      <c r="B473">
        <v>1.7821302390910065E-2</v>
      </c>
    </row>
    <row r="474" spans="2:2" x14ac:dyDescent="0.25">
      <c r="B474">
        <v>0.11445445624259226</v>
      </c>
    </row>
    <row r="475" spans="2:2" x14ac:dyDescent="0.25">
      <c r="B475">
        <v>3.2460639819975656E-2</v>
      </c>
    </row>
    <row r="476" spans="2:2" x14ac:dyDescent="0.25">
      <c r="B476">
        <v>0.10481581362122877</v>
      </c>
    </row>
    <row r="477" spans="2:2" x14ac:dyDescent="0.25">
      <c r="B477">
        <v>6.7038691228668706E-2</v>
      </c>
    </row>
    <row r="478" spans="2:2" x14ac:dyDescent="0.25">
      <c r="B478">
        <v>2.272179867364027E-2</v>
      </c>
    </row>
    <row r="479" spans="2:2" x14ac:dyDescent="0.25">
      <c r="B479">
        <v>2.0061718740367843E-2</v>
      </c>
    </row>
    <row r="480" spans="2:2" x14ac:dyDescent="0.25">
      <c r="B480">
        <v>0.12046728580814137</v>
      </c>
    </row>
    <row r="481" spans="2:2" x14ac:dyDescent="0.25">
      <c r="B481">
        <v>0.15</v>
      </c>
    </row>
    <row r="482" spans="2:2" x14ac:dyDescent="0.25">
      <c r="B482">
        <v>6.8990151593365967E-2</v>
      </c>
    </row>
    <row r="483" spans="2:2" x14ac:dyDescent="0.25">
      <c r="B483">
        <v>2.1811356935929671E-2</v>
      </c>
    </row>
    <row r="484" spans="2:2" x14ac:dyDescent="0.25">
      <c r="B484">
        <v>2.351916963945766E-3</v>
      </c>
    </row>
    <row r="485" spans="2:2" x14ac:dyDescent="0.25">
      <c r="B485">
        <v>0.13468794967831874</v>
      </c>
    </row>
    <row r="486" spans="2:2" x14ac:dyDescent="0.25">
      <c r="B486">
        <v>7.5551493412618798E-2</v>
      </c>
    </row>
    <row r="487" spans="2:2" x14ac:dyDescent="0.25">
      <c r="B487">
        <v>0.11926926638587398</v>
      </c>
    </row>
    <row r="488" spans="2:2" x14ac:dyDescent="0.25">
      <c r="B488">
        <v>6.4603524172011054E-2</v>
      </c>
    </row>
    <row r="489" spans="2:2" x14ac:dyDescent="0.25">
      <c r="B489">
        <v>-1.2519959464578026E-2</v>
      </c>
    </row>
    <row r="490" spans="2:2" x14ac:dyDescent="0.25">
      <c r="B490">
        <v>6.2125117308354072E-2</v>
      </c>
    </row>
    <row r="491" spans="2:2" x14ac:dyDescent="0.25">
      <c r="B491">
        <v>0.11749127183069641</v>
      </c>
    </row>
    <row r="492" spans="2:2" x14ac:dyDescent="0.25">
      <c r="B492">
        <v>0.15</v>
      </c>
    </row>
    <row r="493" spans="2:2" x14ac:dyDescent="0.25">
      <c r="B493">
        <v>0.13147149394451357</v>
      </c>
    </row>
    <row r="494" spans="2:2" x14ac:dyDescent="0.25">
      <c r="B494">
        <v>2.624118756164559E-2</v>
      </c>
    </row>
    <row r="495" spans="2:2" x14ac:dyDescent="0.25">
      <c r="B495">
        <v>7.5779135789285468E-2</v>
      </c>
    </row>
    <row r="496" spans="2:2" x14ac:dyDescent="0.25">
      <c r="B496">
        <v>0.11085431912595216</v>
      </c>
    </row>
    <row r="497" spans="2:2" x14ac:dyDescent="0.25">
      <c r="B497">
        <v>1.0412329533401807E-2</v>
      </c>
    </row>
    <row r="498" spans="2:2" x14ac:dyDescent="0.25">
      <c r="B498">
        <v>0.12013431508703684</v>
      </c>
    </row>
    <row r="499" spans="2:2" x14ac:dyDescent="0.25">
      <c r="B499">
        <v>0.12192247329953175</v>
      </c>
    </row>
    <row r="500" spans="2:2" x14ac:dyDescent="0.25">
      <c r="B500">
        <v>9.2971973048378065E-2</v>
      </c>
    </row>
    <row r="501" spans="2:2" x14ac:dyDescent="0.25">
      <c r="B501">
        <v>0.13126611378355013</v>
      </c>
    </row>
    <row r="502" spans="2:2" x14ac:dyDescent="0.25">
      <c r="B502">
        <v>6.8022138042516E-2</v>
      </c>
    </row>
    <row r="503" spans="2:2" x14ac:dyDescent="0.25">
      <c r="B503">
        <v>0.13216090233843927</v>
      </c>
    </row>
    <row r="504" spans="2:2" x14ac:dyDescent="0.25">
      <c r="B504">
        <v>5.661722876615171E-2</v>
      </c>
    </row>
    <row r="505" spans="2:2" x14ac:dyDescent="0.25">
      <c r="B505">
        <v>1.8796962456950977E-2</v>
      </c>
    </row>
    <row r="506" spans="2:2" x14ac:dyDescent="0.25">
      <c r="B506">
        <v>8.4223814853618739E-2</v>
      </c>
    </row>
    <row r="507" spans="2:2" x14ac:dyDescent="0.25">
      <c r="B507">
        <v>9.3784586035661699E-2</v>
      </c>
    </row>
    <row r="508" spans="2:2" x14ac:dyDescent="0.25">
      <c r="B508">
        <v>8.8950015725458603E-2</v>
      </c>
    </row>
    <row r="509" spans="2:2" x14ac:dyDescent="0.25">
      <c r="B509">
        <v>8.2994787423832123E-2</v>
      </c>
    </row>
    <row r="510" spans="2:2" x14ac:dyDescent="0.25">
      <c r="B510">
        <v>1.665854691219433E-2</v>
      </c>
    </row>
    <row r="511" spans="2:2" x14ac:dyDescent="0.25">
      <c r="B511">
        <v>5.1211585718677483E-2</v>
      </c>
    </row>
    <row r="512" spans="2:2" x14ac:dyDescent="0.25">
      <c r="B512">
        <v>0.11390529798650084</v>
      </c>
    </row>
    <row r="513" spans="2:2" x14ac:dyDescent="0.25">
      <c r="B513">
        <v>0.14609283053841252</v>
      </c>
    </row>
    <row r="514" spans="2:2" x14ac:dyDescent="0.25">
      <c r="B514">
        <v>8.3453141122887389E-2</v>
      </c>
    </row>
    <row r="515" spans="2:2" x14ac:dyDescent="0.25">
      <c r="B515">
        <v>2.8041256111079688E-2</v>
      </c>
    </row>
    <row r="516" spans="2:2" x14ac:dyDescent="0.25">
      <c r="B516">
        <v>8.4047407239781532E-2</v>
      </c>
    </row>
    <row r="517" spans="2:2" x14ac:dyDescent="0.25">
      <c r="B517">
        <v>0.11114459879292476</v>
      </c>
    </row>
    <row r="518" spans="2:2" x14ac:dyDescent="0.25">
      <c r="B518">
        <v>0.11013480256060984</v>
      </c>
    </row>
    <row r="519" spans="2:2" x14ac:dyDescent="0.25">
      <c r="B519">
        <v>2.0657755040667941E-2</v>
      </c>
    </row>
    <row r="520" spans="2:2" x14ac:dyDescent="0.25">
      <c r="B520">
        <v>7.341886871974089E-2</v>
      </c>
    </row>
    <row r="521" spans="2:2" x14ac:dyDescent="0.25">
      <c r="B521">
        <v>0.11148525045969049</v>
      </c>
    </row>
    <row r="522" spans="2:2" x14ac:dyDescent="0.25">
      <c r="B522">
        <v>0.11082235222775771</v>
      </c>
    </row>
    <row r="523" spans="2:2" x14ac:dyDescent="0.25">
      <c r="B523">
        <v>0.15</v>
      </c>
    </row>
    <row r="524" spans="2:2" x14ac:dyDescent="0.25">
      <c r="B524">
        <v>0.15</v>
      </c>
    </row>
    <row r="525" spans="2:2" x14ac:dyDescent="0.25">
      <c r="B525">
        <v>6.5244597867108955E-2</v>
      </c>
    </row>
    <row r="526" spans="2:2" x14ac:dyDescent="0.25">
      <c r="B526">
        <v>0.13092580389418029</v>
      </c>
    </row>
    <row r="527" spans="2:2" x14ac:dyDescent="0.25">
      <c r="B527">
        <v>0.15</v>
      </c>
    </row>
    <row r="528" spans="2:2" x14ac:dyDescent="0.25">
      <c r="B528">
        <v>7.9663440543617042E-2</v>
      </c>
    </row>
    <row r="529" spans="2:2" x14ac:dyDescent="0.25">
      <c r="B529">
        <v>4.260838484927805E-2</v>
      </c>
    </row>
    <row r="530" spans="2:2" x14ac:dyDescent="0.25">
      <c r="B530">
        <v>8.1416735363918608E-2</v>
      </c>
    </row>
    <row r="531" spans="2:2" x14ac:dyDescent="0.25">
      <c r="B531">
        <v>0.15</v>
      </c>
    </row>
    <row r="532" spans="2:2" x14ac:dyDescent="0.25">
      <c r="B532">
        <v>5.7330646724247827E-2</v>
      </c>
    </row>
    <row r="533" spans="2:2" x14ac:dyDescent="0.25">
      <c r="B533">
        <v>9.8216591035771794E-2</v>
      </c>
    </row>
    <row r="534" spans="2:2" x14ac:dyDescent="0.25">
      <c r="B534">
        <v>9.5185388548562205E-2</v>
      </c>
    </row>
    <row r="535" spans="2:2" x14ac:dyDescent="0.25">
      <c r="B535">
        <v>4.4417101228910974E-2</v>
      </c>
    </row>
    <row r="536" spans="2:2" x14ac:dyDescent="0.25">
      <c r="B536">
        <v>6.9272013832436752E-2</v>
      </c>
    </row>
    <row r="537" spans="2:2" x14ac:dyDescent="0.25">
      <c r="B537">
        <v>0.15</v>
      </c>
    </row>
    <row r="538" spans="2:2" x14ac:dyDescent="0.25">
      <c r="B538">
        <v>0.12943766391635192</v>
      </c>
    </row>
    <row r="539" spans="2:2" x14ac:dyDescent="0.25">
      <c r="B539">
        <v>7.0417279402822969E-2</v>
      </c>
    </row>
    <row r="540" spans="2:2" x14ac:dyDescent="0.25">
      <c r="B540">
        <v>0.10076796828033334</v>
      </c>
    </row>
    <row r="541" spans="2:2" x14ac:dyDescent="0.25">
      <c r="B541">
        <v>3.0998424671927718E-2</v>
      </c>
    </row>
    <row r="542" spans="2:2" x14ac:dyDescent="0.25">
      <c r="B542">
        <v>4.4416590935585962E-2</v>
      </c>
    </row>
    <row r="543" spans="2:2" x14ac:dyDescent="0.25">
      <c r="B543">
        <v>3.9119366849133169E-2</v>
      </c>
    </row>
    <row r="544" spans="2:2" x14ac:dyDescent="0.25">
      <c r="B544">
        <v>-1.7077512516381593E-2</v>
      </c>
    </row>
    <row r="545" spans="2:2" x14ac:dyDescent="0.25">
      <c r="B545">
        <v>4.5446323625755257E-2</v>
      </c>
    </row>
    <row r="546" spans="2:2" x14ac:dyDescent="0.25">
      <c r="B546">
        <v>0.10617782396743436</v>
      </c>
    </row>
    <row r="547" spans="2:2" x14ac:dyDescent="0.25">
      <c r="B547">
        <v>0.10166652196250853</v>
      </c>
    </row>
    <row r="548" spans="2:2" x14ac:dyDescent="0.25">
      <c r="B548">
        <v>0.15</v>
      </c>
    </row>
    <row r="549" spans="2:2" x14ac:dyDescent="0.25">
      <c r="B549">
        <v>5.1222805274942371E-2</v>
      </c>
    </row>
    <row r="550" spans="2:2" x14ac:dyDescent="0.25">
      <c r="B550">
        <v>0.135936078823092</v>
      </c>
    </row>
    <row r="551" spans="2:2" x14ac:dyDescent="0.25">
      <c r="B551">
        <v>0.14464033124668582</v>
      </c>
    </row>
    <row r="552" spans="2:2" x14ac:dyDescent="0.25">
      <c r="B552">
        <v>5.2930700841973093E-2</v>
      </c>
    </row>
    <row r="553" spans="2:2" x14ac:dyDescent="0.25">
      <c r="B553">
        <v>0.13530335938680244</v>
      </c>
    </row>
    <row r="554" spans="2:2" x14ac:dyDescent="0.25">
      <c r="B554">
        <v>0.15</v>
      </c>
    </row>
    <row r="555" spans="2:2" x14ac:dyDescent="0.25">
      <c r="B555">
        <v>6.7733140243836087E-2</v>
      </c>
    </row>
    <row r="556" spans="2:2" x14ac:dyDescent="0.25">
      <c r="B556">
        <v>0.12629927534798888</v>
      </c>
    </row>
    <row r="557" spans="2:2" x14ac:dyDescent="0.25">
      <c r="B557">
        <v>3.6347083071169184E-2</v>
      </c>
    </row>
    <row r="558" spans="2:2" x14ac:dyDescent="0.25">
      <c r="B558">
        <v>8.6490036318422919E-2</v>
      </c>
    </row>
    <row r="559" spans="2:2" x14ac:dyDescent="0.25">
      <c r="B559">
        <v>0.14366765351646194</v>
      </c>
    </row>
    <row r="560" spans="2:2" x14ac:dyDescent="0.25">
      <c r="B560">
        <v>6.7500722831545512E-2</v>
      </c>
    </row>
    <row r="561" spans="2:2" x14ac:dyDescent="0.25">
      <c r="B561">
        <v>0.15</v>
      </c>
    </row>
    <row r="562" spans="2:2" x14ac:dyDescent="0.25">
      <c r="B562">
        <v>7.9134290255429951E-2</v>
      </c>
    </row>
    <row r="563" spans="2:2" x14ac:dyDescent="0.25">
      <c r="B563">
        <v>0.14409186368663515</v>
      </c>
    </row>
    <row r="564" spans="2:2" x14ac:dyDescent="0.25">
      <c r="B564">
        <v>4.4818443471552227E-2</v>
      </c>
    </row>
    <row r="565" spans="2:2" x14ac:dyDescent="0.25">
      <c r="B565">
        <v>6.0321146023939655E-2</v>
      </c>
    </row>
    <row r="566" spans="2:2" x14ac:dyDescent="0.25">
      <c r="B566">
        <v>3.5134920615458823E-2</v>
      </c>
    </row>
    <row r="567" spans="2:2" x14ac:dyDescent="0.25">
      <c r="B567">
        <v>9.5254903053008821E-2</v>
      </c>
    </row>
    <row r="568" spans="2:2" x14ac:dyDescent="0.25">
      <c r="B568">
        <v>0.15</v>
      </c>
    </row>
    <row r="569" spans="2:2" x14ac:dyDescent="0.25">
      <c r="B569">
        <v>0.1394650883836831</v>
      </c>
    </row>
    <row r="570" spans="2:2" x14ac:dyDescent="0.25">
      <c r="B570">
        <v>8.9104089963718408E-2</v>
      </c>
    </row>
    <row r="571" spans="2:2" x14ac:dyDescent="0.25">
      <c r="B571">
        <v>-9.5743174342138027E-3</v>
      </c>
    </row>
    <row r="572" spans="2:2" x14ac:dyDescent="0.25">
      <c r="B572">
        <v>8.0069732325674742E-2</v>
      </c>
    </row>
    <row r="573" spans="2:2" x14ac:dyDescent="0.25">
      <c r="B573">
        <v>0.11842456057610913</v>
      </c>
    </row>
    <row r="574" spans="2:2" x14ac:dyDescent="0.25">
      <c r="B574">
        <v>0.10825514889099297</v>
      </c>
    </row>
    <row r="575" spans="2:2" x14ac:dyDescent="0.25">
      <c r="B575">
        <v>0.14030243517403373</v>
      </c>
    </row>
    <row r="576" spans="2:2" x14ac:dyDescent="0.25">
      <c r="B576">
        <v>5.5060856064754887E-2</v>
      </c>
    </row>
    <row r="577" spans="2:2" x14ac:dyDescent="0.25">
      <c r="B577">
        <v>0.12140003618494059</v>
      </c>
    </row>
    <row r="578" spans="2:2" x14ac:dyDescent="0.25">
      <c r="B578">
        <v>0.12732529812707474</v>
      </c>
    </row>
    <row r="579" spans="2:2" x14ac:dyDescent="0.25">
      <c r="B579">
        <v>0.12238905651243745</v>
      </c>
    </row>
    <row r="580" spans="2:2" x14ac:dyDescent="0.25">
      <c r="B580">
        <v>5.8194367989041193E-2</v>
      </c>
    </row>
    <row r="581" spans="2:2" x14ac:dyDescent="0.25">
      <c r="B581">
        <v>0.14164186233171469</v>
      </c>
    </row>
    <row r="582" spans="2:2" x14ac:dyDescent="0.25">
      <c r="B582">
        <v>0.1416054301348221</v>
      </c>
    </row>
    <row r="583" spans="2:2" x14ac:dyDescent="0.25">
      <c r="B583">
        <v>7.6171505443439494E-2</v>
      </c>
    </row>
    <row r="584" spans="2:2" x14ac:dyDescent="0.25">
      <c r="B584">
        <v>6.7519251076642389E-2</v>
      </c>
    </row>
    <row r="585" spans="2:2" x14ac:dyDescent="0.25">
      <c r="B585">
        <v>3.0113727621184444E-2</v>
      </c>
    </row>
    <row r="586" spans="2:2" x14ac:dyDescent="0.25">
      <c r="B586">
        <v>1.0882866419926251E-2</v>
      </c>
    </row>
    <row r="587" spans="2:2" x14ac:dyDescent="0.25">
      <c r="B587">
        <v>8.8117734298315514E-2</v>
      </c>
    </row>
    <row r="588" spans="2:2" x14ac:dyDescent="0.25">
      <c r="B588">
        <v>9.3651494027568227E-2</v>
      </c>
    </row>
    <row r="589" spans="2:2" x14ac:dyDescent="0.25">
      <c r="B589">
        <v>0.13362332062416313</v>
      </c>
    </row>
    <row r="590" spans="2:2" x14ac:dyDescent="0.25">
      <c r="B590">
        <v>7.6888763126288506E-3</v>
      </c>
    </row>
    <row r="591" spans="2:2" x14ac:dyDescent="0.25">
      <c r="B591">
        <v>0.10906291956023763</v>
      </c>
    </row>
    <row r="592" spans="2:2" x14ac:dyDescent="0.25">
      <c r="B592">
        <v>0.14600077151296598</v>
      </c>
    </row>
    <row r="593" spans="2:2" x14ac:dyDescent="0.25">
      <c r="B593">
        <v>3.977029622990591E-2</v>
      </c>
    </row>
    <row r="594" spans="2:2" x14ac:dyDescent="0.25">
      <c r="B594">
        <v>5.7417803984964461E-2</v>
      </c>
    </row>
    <row r="595" spans="2:2" x14ac:dyDescent="0.25">
      <c r="B595">
        <v>6.5935881727001502E-2</v>
      </c>
    </row>
    <row r="596" spans="2:2" x14ac:dyDescent="0.25">
      <c r="B596">
        <v>8.7142694077326915E-2</v>
      </c>
    </row>
    <row r="597" spans="2:2" x14ac:dyDescent="0.25">
      <c r="B597">
        <v>4.5714384508080519E-2</v>
      </c>
    </row>
    <row r="598" spans="2:2" x14ac:dyDescent="0.25">
      <c r="B598">
        <v>8.9613888987878712E-2</v>
      </c>
    </row>
    <row r="599" spans="2:2" x14ac:dyDescent="0.25">
      <c r="B599">
        <v>3.5117138482521598E-2</v>
      </c>
    </row>
    <row r="600" spans="2:2" x14ac:dyDescent="0.25">
      <c r="B600">
        <v>0.15</v>
      </c>
    </row>
    <row r="601" spans="2:2" x14ac:dyDescent="0.25">
      <c r="B601">
        <v>0.11890234706377624</v>
      </c>
    </row>
    <row r="602" spans="2:2" x14ac:dyDescent="0.25">
      <c r="B602">
        <v>3.1361668102516393E-2</v>
      </c>
    </row>
    <row r="603" spans="2:2" x14ac:dyDescent="0.25">
      <c r="B603">
        <v>0.15</v>
      </c>
    </row>
    <row r="604" spans="2:2" x14ac:dyDescent="0.25">
      <c r="B604">
        <v>4.6011913781060482E-2</v>
      </c>
    </row>
    <row r="605" spans="2:2" x14ac:dyDescent="0.25">
      <c r="B605">
        <v>9.9865312146430393E-2</v>
      </c>
    </row>
    <row r="606" spans="2:2" x14ac:dyDescent="0.25">
      <c r="B606">
        <v>0.15</v>
      </c>
    </row>
    <row r="607" spans="2:2" x14ac:dyDescent="0.25">
      <c r="B607">
        <v>7.7357769006458382E-2</v>
      </c>
    </row>
    <row r="608" spans="2:2" x14ac:dyDescent="0.25">
      <c r="B608">
        <v>7.7113427355755618E-2</v>
      </c>
    </row>
    <row r="609" spans="2:2" x14ac:dyDescent="0.25">
      <c r="B609">
        <v>9.2946814136256994E-2</v>
      </c>
    </row>
    <row r="610" spans="2:2" x14ac:dyDescent="0.25">
      <c r="B610">
        <v>0.10549734120755536</v>
      </c>
    </row>
    <row r="611" spans="2:2" x14ac:dyDescent="0.25">
      <c r="B611">
        <v>0.12580407726368059</v>
      </c>
    </row>
    <row r="612" spans="2:2" x14ac:dyDescent="0.25">
      <c r="B612">
        <v>7.9882129965295479E-2</v>
      </c>
    </row>
    <row r="613" spans="2:2" x14ac:dyDescent="0.25">
      <c r="B613">
        <v>8.5952279962190653E-2</v>
      </c>
    </row>
    <row r="614" spans="2:2" x14ac:dyDescent="0.25">
      <c r="B614">
        <v>5.7872742385889568E-2</v>
      </c>
    </row>
    <row r="615" spans="2:2" x14ac:dyDescent="0.25">
      <c r="B615">
        <v>6.0174929520755441E-2</v>
      </c>
    </row>
    <row r="616" spans="2:2" x14ac:dyDescent="0.25">
      <c r="B616">
        <v>0.1334842790694088</v>
      </c>
    </row>
    <row r="617" spans="2:2" x14ac:dyDescent="0.25">
      <c r="B617">
        <v>0.11247303181452792</v>
      </c>
    </row>
    <row r="618" spans="2:2" x14ac:dyDescent="0.25">
      <c r="B618">
        <v>0.15</v>
      </c>
    </row>
    <row r="619" spans="2:2" x14ac:dyDescent="0.25">
      <c r="B619">
        <v>9.4594800645643878E-2</v>
      </c>
    </row>
    <row r="620" spans="2:2" x14ac:dyDescent="0.25">
      <c r="B620">
        <v>0.12629566453358096</v>
      </c>
    </row>
    <row r="621" spans="2:2" x14ac:dyDescent="0.25">
      <c r="B621">
        <v>0.10407734831516434</v>
      </c>
    </row>
    <row r="622" spans="2:2" x14ac:dyDescent="0.25">
      <c r="B622">
        <v>0.12814415873036172</v>
      </c>
    </row>
    <row r="623" spans="2:2" x14ac:dyDescent="0.25">
      <c r="B623">
        <v>2.4207034726834553E-2</v>
      </c>
    </row>
    <row r="624" spans="2:2" x14ac:dyDescent="0.25">
      <c r="B624">
        <v>0.11860267291553575</v>
      </c>
    </row>
    <row r="625" spans="2:2" x14ac:dyDescent="0.25">
      <c r="B625">
        <v>2.3312198578582799E-2</v>
      </c>
    </row>
    <row r="626" spans="2:2" x14ac:dyDescent="0.25">
      <c r="B626">
        <v>4.9133847564701912E-2</v>
      </c>
    </row>
    <row r="627" spans="2:2" x14ac:dyDescent="0.25">
      <c r="B627">
        <v>4.4777814947563735E-2</v>
      </c>
    </row>
    <row r="628" spans="2:2" x14ac:dyDescent="0.25">
      <c r="B628">
        <v>0.10881424176530596</v>
      </c>
    </row>
    <row r="629" spans="2:2" x14ac:dyDescent="0.25">
      <c r="B629">
        <v>6.2420566475052466E-2</v>
      </c>
    </row>
    <row r="630" spans="2:2" x14ac:dyDescent="0.25">
      <c r="B630">
        <v>8.3165946863392765E-2</v>
      </c>
    </row>
    <row r="631" spans="2:2" x14ac:dyDescent="0.25">
      <c r="B631">
        <v>8.8844040120483567E-2</v>
      </c>
    </row>
    <row r="632" spans="2:2" x14ac:dyDescent="0.25">
      <c r="B632">
        <v>0.13352868024528355</v>
      </c>
    </row>
    <row r="633" spans="2:2" x14ac:dyDescent="0.25">
      <c r="B633">
        <v>0.14569744333056733</v>
      </c>
    </row>
    <row r="634" spans="2:2" x14ac:dyDescent="0.25">
      <c r="B634">
        <v>6.7759517617390796E-2</v>
      </c>
    </row>
    <row r="635" spans="2:2" x14ac:dyDescent="0.25">
      <c r="B635">
        <v>4.5299423890248762E-2</v>
      </c>
    </row>
    <row r="636" spans="2:2" x14ac:dyDescent="0.25">
      <c r="B636">
        <v>0.11362862829895187</v>
      </c>
    </row>
    <row r="637" spans="2:2" x14ac:dyDescent="0.25">
      <c r="B637">
        <v>0.11648395399756149</v>
      </c>
    </row>
    <row r="638" spans="2:2" x14ac:dyDescent="0.25">
      <c r="B638">
        <v>6.1433900188733834E-2</v>
      </c>
    </row>
    <row r="639" spans="2:2" x14ac:dyDescent="0.25">
      <c r="B639">
        <v>0.12931226341001201</v>
      </c>
    </row>
    <row r="640" spans="2:2" x14ac:dyDescent="0.25">
      <c r="B640">
        <v>8.4040622897701922E-2</v>
      </c>
    </row>
    <row r="641" spans="2:2" x14ac:dyDescent="0.25">
      <c r="B641">
        <v>8.6351413531203791E-2</v>
      </c>
    </row>
    <row r="642" spans="2:2" x14ac:dyDescent="0.25">
      <c r="B642">
        <v>2.3570527151774406E-2</v>
      </c>
    </row>
    <row r="643" spans="2:2" x14ac:dyDescent="0.25">
      <c r="B643">
        <v>-3.3883207259904319E-2</v>
      </c>
    </row>
    <row r="644" spans="2:2" x14ac:dyDescent="0.25">
      <c r="B644">
        <v>2.0584115619315252E-3</v>
      </c>
    </row>
    <row r="645" spans="2:2" x14ac:dyDescent="0.25">
      <c r="B645">
        <v>-6.8138479951746767E-3</v>
      </c>
    </row>
    <row r="646" spans="2:2" x14ac:dyDescent="0.25">
      <c r="B646">
        <v>0.11085203624577702</v>
      </c>
    </row>
    <row r="647" spans="2:2" x14ac:dyDescent="0.25">
      <c r="B647">
        <v>5.1285590061774369E-2</v>
      </c>
    </row>
    <row r="648" spans="2:2" x14ac:dyDescent="0.25">
      <c r="B648">
        <v>1.4538571789148552E-2</v>
      </c>
    </row>
    <row r="649" spans="2:2" x14ac:dyDescent="0.25">
      <c r="B649">
        <v>4.734795416706114E-2</v>
      </c>
    </row>
    <row r="650" spans="2:2" x14ac:dyDescent="0.25">
      <c r="B650">
        <v>0.10097759071908377</v>
      </c>
    </row>
    <row r="651" spans="2:2" x14ac:dyDescent="0.25">
      <c r="B651">
        <v>-1.5265203373822242E-2</v>
      </c>
    </row>
    <row r="652" spans="2:2" x14ac:dyDescent="0.25">
      <c r="B652">
        <v>3.8481803240938722E-2</v>
      </c>
    </row>
    <row r="653" spans="2:2" x14ac:dyDescent="0.25">
      <c r="B653">
        <v>0.13539331740123908</v>
      </c>
    </row>
    <row r="654" spans="2:2" x14ac:dyDescent="0.25">
      <c r="B654">
        <v>5.6536048262725305E-2</v>
      </c>
    </row>
    <row r="655" spans="2:2" x14ac:dyDescent="0.25">
      <c r="B655">
        <v>-5.3553649685026128E-3</v>
      </c>
    </row>
    <row r="656" spans="2:2" x14ac:dyDescent="0.25">
      <c r="B656">
        <v>8.3205780375113128E-2</v>
      </c>
    </row>
    <row r="657" spans="2:2" x14ac:dyDescent="0.25">
      <c r="B657">
        <v>0.1323768981856337</v>
      </c>
    </row>
    <row r="658" spans="2:2" x14ac:dyDescent="0.25">
      <c r="B658">
        <v>0.11700713156224132</v>
      </c>
    </row>
    <row r="659" spans="2:2" x14ac:dyDescent="0.25">
      <c r="B659">
        <v>0.1183470605589</v>
      </c>
    </row>
    <row r="660" spans="2:2" x14ac:dyDescent="0.25">
      <c r="B660">
        <v>0.13354737922372256</v>
      </c>
    </row>
    <row r="661" spans="2:2" x14ac:dyDescent="0.25">
      <c r="B661">
        <v>0.14633389839215885</v>
      </c>
    </row>
    <row r="662" spans="2:2" x14ac:dyDescent="0.25">
      <c r="B662">
        <v>9.997775808024785E-2</v>
      </c>
    </row>
    <row r="663" spans="2:2" x14ac:dyDescent="0.25">
      <c r="B663">
        <v>6.042314217011216E-2</v>
      </c>
    </row>
    <row r="664" spans="2:2" x14ac:dyDescent="0.25">
      <c r="B664">
        <v>2.3451468286936089E-2</v>
      </c>
    </row>
    <row r="665" spans="2:2" x14ac:dyDescent="0.25">
      <c r="B665">
        <v>-2.2375453572878345E-2</v>
      </c>
    </row>
    <row r="666" spans="2:2" x14ac:dyDescent="0.25">
      <c r="B666">
        <v>0.11889252306991326</v>
      </c>
    </row>
    <row r="667" spans="2:2" x14ac:dyDescent="0.25">
      <c r="B667">
        <v>0.14851696133126358</v>
      </c>
    </row>
    <row r="668" spans="2:2" x14ac:dyDescent="0.25">
      <c r="B668">
        <v>0.14110588756548881</v>
      </c>
    </row>
    <row r="669" spans="2:2" x14ac:dyDescent="0.25">
      <c r="B669">
        <v>0.15</v>
      </c>
    </row>
    <row r="670" spans="2:2" x14ac:dyDescent="0.25">
      <c r="B670">
        <v>2.3936344628360515E-2</v>
      </c>
    </row>
    <row r="671" spans="2:2" x14ac:dyDescent="0.25">
      <c r="B671">
        <v>7.2438627862773025E-2</v>
      </c>
    </row>
    <row r="672" spans="2:2" x14ac:dyDescent="0.25">
      <c r="B672">
        <v>3.5552064846721382E-2</v>
      </c>
    </row>
    <row r="673" spans="2:2" x14ac:dyDescent="0.25">
      <c r="B673">
        <v>8.3993110943677604E-2</v>
      </c>
    </row>
    <row r="674" spans="2:2" x14ac:dyDescent="0.25">
      <c r="B674">
        <v>4.810987835781088E-2</v>
      </c>
    </row>
    <row r="675" spans="2:2" x14ac:dyDescent="0.25">
      <c r="B675">
        <v>7.8994023177781342E-2</v>
      </c>
    </row>
    <row r="676" spans="2:2" x14ac:dyDescent="0.25">
      <c r="B676">
        <v>5.8715177190486072E-2</v>
      </c>
    </row>
    <row r="677" spans="2:2" x14ac:dyDescent="0.25">
      <c r="B677">
        <v>0.15</v>
      </c>
    </row>
    <row r="678" spans="2:2" x14ac:dyDescent="0.25">
      <c r="B678">
        <v>2.6596325827234285E-2</v>
      </c>
    </row>
    <row r="679" spans="2:2" x14ac:dyDescent="0.25">
      <c r="B679">
        <v>0.11195040567667491</v>
      </c>
    </row>
    <row r="680" spans="2:2" x14ac:dyDescent="0.25">
      <c r="B680">
        <v>0.10879411809280562</v>
      </c>
    </row>
    <row r="681" spans="2:2" x14ac:dyDescent="0.25">
      <c r="B681">
        <v>0.11136807062468658</v>
      </c>
    </row>
    <row r="682" spans="2:2" x14ac:dyDescent="0.25">
      <c r="B682">
        <v>0.10377407942191394</v>
      </c>
    </row>
    <row r="683" spans="2:2" x14ac:dyDescent="0.25">
      <c r="B683">
        <v>0.15</v>
      </c>
    </row>
    <row r="684" spans="2:2" x14ac:dyDescent="0.25">
      <c r="B684">
        <v>6.2646163600683646E-3</v>
      </c>
    </row>
    <row r="685" spans="2:2" x14ac:dyDescent="0.25">
      <c r="B685">
        <v>4.3727761096016393E-2</v>
      </c>
    </row>
    <row r="686" spans="2:2" x14ac:dyDescent="0.25">
      <c r="B686">
        <v>-1.1645285250057549E-2</v>
      </c>
    </row>
    <row r="687" spans="2:2" x14ac:dyDescent="0.25">
      <c r="B687">
        <v>0.11501641809473298</v>
      </c>
    </row>
    <row r="688" spans="2:2" x14ac:dyDescent="0.25">
      <c r="B688">
        <v>0.11787032384476216</v>
      </c>
    </row>
    <row r="689" spans="2:2" x14ac:dyDescent="0.25">
      <c r="B689">
        <v>0.11952487100095238</v>
      </c>
    </row>
    <row r="690" spans="2:2" x14ac:dyDescent="0.25">
      <c r="B690">
        <v>0.15</v>
      </c>
    </row>
    <row r="691" spans="2:2" x14ac:dyDescent="0.25">
      <c r="B691">
        <v>0.15</v>
      </c>
    </row>
    <row r="692" spans="2:2" x14ac:dyDescent="0.25">
      <c r="B692">
        <v>7.6159628972056748E-3</v>
      </c>
    </row>
    <row r="693" spans="2:2" x14ac:dyDescent="0.25">
      <c r="B693">
        <v>8.7721748081404663E-2</v>
      </c>
    </row>
    <row r="694" spans="2:2" x14ac:dyDescent="0.25">
      <c r="B694">
        <v>5.9429297401536463E-3</v>
      </c>
    </row>
    <row r="695" spans="2:2" x14ac:dyDescent="0.25">
      <c r="B695">
        <v>7.8073734195281963E-2</v>
      </c>
    </row>
    <row r="696" spans="2:2" x14ac:dyDescent="0.25">
      <c r="B696">
        <v>5.388812220994707E-2</v>
      </c>
    </row>
    <row r="697" spans="2:2" x14ac:dyDescent="0.25">
      <c r="B697">
        <v>7.8835157648598761E-2</v>
      </c>
    </row>
    <row r="698" spans="2:2" x14ac:dyDescent="0.25">
      <c r="B698">
        <v>6.6392254835267658E-2</v>
      </c>
    </row>
    <row r="699" spans="2:2" x14ac:dyDescent="0.25">
      <c r="B699">
        <v>9.522469753747953E-2</v>
      </c>
    </row>
    <row r="700" spans="2:2" x14ac:dyDescent="0.25">
      <c r="B700">
        <v>0.12248917449100802</v>
      </c>
    </row>
    <row r="701" spans="2:2" x14ac:dyDescent="0.25">
      <c r="B701">
        <v>0.1393541247397958</v>
      </c>
    </row>
    <row r="702" spans="2:2" x14ac:dyDescent="0.25">
      <c r="B702">
        <v>4.3309616947322563E-2</v>
      </c>
    </row>
    <row r="703" spans="2:2" x14ac:dyDescent="0.25">
      <c r="B703">
        <v>9.9502575049128697E-2</v>
      </c>
    </row>
    <row r="704" spans="2:2" x14ac:dyDescent="0.25">
      <c r="B704">
        <v>-1.740718662598667E-2</v>
      </c>
    </row>
    <row r="705" spans="2:2" x14ac:dyDescent="0.25">
      <c r="B705">
        <v>9.5490223686445053E-2</v>
      </c>
    </row>
    <row r="706" spans="2:2" x14ac:dyDescent="0.25">
      <c r="B706">
        <v>5.8094697096342213E-2</v>
      </c>
    </row>
    <row r="707" spans="2:2" x14ac:dyDescent="0.25">
      <c r="B707">
        <v>0.14733726130952934</v>
      </c>
    </row>
    <row r="708" spans="2:2" x14ac:dyDescent="0.25">
      <c r="B708">
        <v>0.15</v>
      </c>
    </row>
    <row r="709" spans="2:2" x14ac:dyDescent="0.25">
      <c r="B709">
        <v>0.14965729086885157</v>
      </c>
    </row>
    <row r="710" spans="2:2" x14ac:dyDescent="0.25">
      <c r="B710">
        <v>0.11279326068943854</v>
      </c>
    </row>
    <row r="711" spans="2:2" x14ac:dyDescent="0.25">
      <c r="B711">
        <v>8.9715059860842356E-2</v>
      </c>
    </row>
    <row r="712" spans="2:2" x14ac:dyDescent="0.25">
      <c r="B712">
        <v>0.10296145325139816</v>
      </c>
    </row>
    <row r="713" spans="2:2" x14ac:dyDescent="0.25">
      <c r="B713">
        <v>6.3762138581284877E-2</v>
      </c>
    </row>
    <row r="714" spans="2:2" x14ac:dyDescent="0.25">
      <c r="B714">
        <v>9.0595998364938479E-2</v>
      </c>
    </row>
    <row r="715" spans="2:2" x14ac:dyDescent="0.25">
      <c r="B715">
        <v>3.1977650395382737E-2</v>
      </c>
    </row>
    <row r="716" spans="2:2" x14ac:dyDescent="0.25">
      <c r="B716">
        <v>5.8186359790447569E-2</v>
      </c>
    </row>
    <row r="717" spans="2:2" x14ac:dyDescent="0.25">
      <c r="B717">
        <v>0.12530927130069602</v>
      </c>
    </row>
    <row r="718" spans="2:2" x14ac:dyDescent="0.25">
      <c r="B718">
        <v>5.7434134112400045E-2</v>
      </c>
    </row>
    <row r="719" spans="2:2" x14ac:dyDescent="0.25">
      <c r="B719">
        <v>5.2271469855765751E-2</v>
      </c>
    </row>
    <row r="720" spans="2:2" x14ac:dyDescent="0.25">
      <c r="B720">
        <v>0.11751039232102671</v>
      </c>
    </row>
    <row r="721" spans="2:2" x14ac:dyDescent="0.25">
      <c r="B721">
        <v>7.6126084182418938E-2</v>
      </c>
    </row>
    <row r="722" spans="2:2" x14ac:dyDescent="0.25">
      <c r="B722">
        <v>4.8720186982039587E-3</v>
      </c>
    </row>
    <row r="723" spans="2:2" x14ac:dyDescent="0.25">
      <c r="B723">
        <v>0.10421543421389183</v>
      </c>
    </row>
    <row r="724" spans="2:2" x14ac:dyDescent="0.25">
      <c r="B724">
        <v>8.0520670276995596E-2</v>
      </c>
    </row>
    <row r="725" spans="2:2" x14ac:dyDescent="0.25">
      <c r="B725">
        <v>8.2218424238880011E-2</v>
      </c>
    </row>
    <row r="726" spans="2:2" x14ac:dyDescent="0.25">
      <c r="B726">
        <v>0.13792189376230349</v>
      </c>
    </row>
    <row r="727" spans="2:2" x14ac:dyDescent="0.25">
      <c r="B727">
        <v>5.6685544738046573E-2</v>
      </c>
    </row>
    <row r="728" spans="2:2" x14ac:dyDescent="0.25">
      <c r="B728">
        <v>0.11501929007130604</v>
      </c>
    </row>
    <row r="729" spans="2:2" x14ac:dyDescent="0.25">
      <c r="B729">
        <v>-1.4515220061701167E-2</v>
      </c>
    </row>
    <row r="730" spans="2:2" x14ac:dyDescent="0.25">
      <c r="B730">
        <v>7.6806516259276217E-2</v>
      </c>
    </row>
    <row r="731" spans="2:2" x14ac:dyDescent="0.25">
      <c r="B731">
        <v>4.3667154006676284E-2</v>
      </c>
    </row>
    <row r="732" spans="2:2" x14ac:dyDescent="0.25">
      <c r="B732">
        <v>9.7889647591687737E-2</v>
      </c>
    </row>
    <row r="733" spans="2:2" x14ac:dyDescent="0.25">
      <c r="B733">
        <v>4.52953917008736E-2</v>
      </c>
    </row>
    <row r="734" spans="2:2" x14ac:dyDescent="0.25">
      <c r="B734">
        <v>8.4006132013641821E-2</v>
      </c>
    </row>
    <row r="735" spans="2:2" x14ac:dyDescent="0.25">
      <c r="B735">
        <v>0.15</v>
      </c>
    </row>
    <row r="736" spans="2:2" x14ac:dyDescent="0.25">
      <c r="B736">
        <v>6.3734463958171422E-2</v>
      </c>
    </row>
    <row r="737" spans="2:2" x14ac:dyDescent="0.25">
      <c r="B737">
        <v>1.9919008557010259E-2</v>
      </c>
    </row>
    <row r="738" spans="2:2" x14ac:dyDescent="0.25">
      <c r="B738">
        <v>8.9242781735349164E-2</v>
      </c>
    </row>
    <row r="739" spans="2:2" x14ac:dyDescent="0.25">
      <c r="B739">
        <v>0.15</v>
      </c>
    </row>
    <row r="740" spans="2:2" x14ac:dyDescent="0.25">
      <c r="B740">
        <v>0.15</v>
      </c>
    </row>
    <row r="741" spans="2:2" x14ac:dyDescent="0.25">
      <c r="B741">
        <v>0.10596642973223423</v>
      </c>
    </row>
    <row r="742" spans="2:2" x14ac:dyDescent="0.25">
      <c r="B742">
        <v>1.1418802437169043E-2</v>
      </c>
    </row>
    <row r="743" spans="2:2" x14ac:dyDescent="0.25">
      <c r="B743">
        <v>5.8425884269314013E-2</v>
      </c>
    </row>
    <row r="744" spans="2:2" x14ac:dyDescent="0.25">
      <c r="B744">
        <v>7.0141624807531666E-2</v>
      </c>
    </row>
    <row r="745" spans="2:2" x14ac:dyDescent="0.25">
      <c r="B745">
        <v>8.0280170142619095E-2</v>
      </c>
    </row>
    <row r="746" spans="2:2" x14ac:dyDescent="0.25">
      <c r="B746">
        <v>0.10020550870603852</v>
      </c>
    </row>
    <row r="747" spans="2:2" x14ac:dyDescent="0.25">
      <c r="B747">
        <v>5.6211226707267657E-2</v>
      </c>
    </row>
    <row r="748" spans="2:2" x14ac:dyDescent="0.25">
      <c r="B748">
        <v>9.3459766711551359E-2</v>
      </c>
    </row>
    <row r="749" spans="2:2" x14ac:dyDescent="0.25">
      <c r="B749">
        <v>8.6952065970488129E-2</v>
      </c>
    </row>
    <row r="750" spans="2:2" x14ac:dyDescent="0.25">
      <c r="B750">
        <v>7.3749725096340951E-2</v>
      </c>
    </row>
    <row r="751" spans="2:2" x14ac:dyDescent="0.25">
      <c r="B751">
        <v>7.7269632979964753E-2</v>
      </c>
    </row>
    <row r="752" spans="2:2" x14ac:dyDescent="0.25">
      <c r="B752">
        <v>7.2972147147731842E-2</v>
      </c>
    </row>
    <row r="753" spans="2:2" x14ac:dyDescent="0.25">
      <c r="B753">
        <v>6.3719968799026402E-2</v>
      </c>
    </row>
    <row r="754" spans="2:2" x14ac:dyDescent="0.25">
      <c r="B754">
        <v>3.543985738522766E-2</v>
      </c>
    </row>
    <row r="755" spans="2:2" x14ac:dyDescent="0.25">
      <c r="B755">
        <v>9.3952285947081077E-2</v>
      </c>
    </row>
    <row r="756" spans="2:2" x14ac:dyDescent="0.25">
      <c r="B756">
        <v>0.11372691639211863</v>
      </c>
    </row>
    <row r="757" spans="2:2" x14ac:dyDescent="0.25">
      <c r="B757">
        <v>-3.1545522365323736E-2</v>
      </c>
    </row>
    <row r="758" spans="2:2" x14ac:dyDescent="0.25">
      <c r="B758">
        <v>3.8734674211418352E-3</v>
      </c>
    </row>
    <row r="759" spans="2:2" x14ac:dyDescent="0.25">
      <c r="B759">
        <v>0.14052317650210652</v>
      </c>
    </row>
    <row r="760" spans="2:2" x14ac:dyDescent="0.25">
      <c r="B760">
        <v>8.9853807618610809E-2</v>
      </c>
    </row>
    <row r="761" spans="2:2" x14ac:dyDescent="0.25">
      <c r="B761">
        <v>3.8511300393658243E-2</v>
      </c>
    </row>
    <row r="762" spans="2:2" x14ac:dyDescent="0.25">
      <c r="B762">
        <v>9.7889031022745099E-3</v>
      </c>
    </row>
    <row r="763" spans="2:2" x14ac:dyDescent="0.25">
      <c r="B763">
        <v>0.10855476479589854</v>
      </c>
    </row>
    <row r="764" spans="2:2" x14ac:dyDescent="0.25">
      <c r="B764">
        <v>0.12682512880362373</v>
      </c>
    </row>
    <row r="765" spans="2:2" x14ac:dyDescent="0.25">
      <c r="B765">
        <v>0.15</v>
      </c>
    </row>
    <row r="766" spans="2:2" x14ac:dyDescent="0.25">
      <c r="B766">
        <v>0.15</v>
      </c>
    </row>
    <row r="767" spans="2:2" x14ac:dyDescent="0.25">
      <c r="B767">
        <v>1.728245492241634E-2</v>
      </c>
    </row>
    <row r="768" spans="2:2" x14ac:dyDescent="0.25">
      <c r="B768">
        <v>5.1345572100814516E-2</v>
      </c>
    </row>
    <row r="769" spans="2:2" x14ac:dyDescent="0.25">
      <c r="B769">
        <v>8.3006852998229949E-2</v>
      </c>
    </row>
    <row r="770" spans="2:2" x14ac:dyDescent="0.25">
      <c r="B770">
        <v>0.15</v>
      </c>
    </row>
    <row r="771" spans="2:2" x14ac:dyDescent="0.25">
      <c r="B771">
        <v>3.9299266546099415E-2</v>
      </c>
    </row>
    <row r="772" spans="2:2" x14ac:dyDescent="0.25">
      <c r="B772">
        <v>9.3071012437344863E-2</v>
      </c>
    </row>
    <row r="773" spans="2:2" x14ac:dyDescent="0.25">
      <c r="B773">
        <v>7.9386272210100375E-2</v>
      </c>
    </row>
    <row r="774" spans="2:2" x14ac:dyDescent="0.25">
      <c r="B774">
        <v>0.15</v>
      </c>
    </row>
    <row r="775" spans="2:2" x14ac:dyDescent="0.25">
      <c r="B775">
        <v>0.15</v>
      </c>
    </row>
    <row r="776" spans="2:2" x14ac:dyDescent="0.25">
      <c r="B776">
        <v>0.1106267217123903</v>
      </c>
    </row>
    <row r="777" spans="2:2" x14ac:dyDescent="0.25">
      <c r="B777">
        <v>7.6007136157014765E-2</v>
      </c>
    </row>
    <row r="778" spans="2:2" x14ac:dyDescent="0.25">
      <c r="B778">
        <v>0.12068983462068818</v>
      </c>
    </row>
    <row r="779" spans="2:2" x14ac:dyDescent="0.25">
      <c r="B779">
        <v>1.4684950946114161E-3</v>
      </c>
    </row>
    <row r="780" spans="2:2" x14ac:dyDescent="0.25">
      <c r="B780">
        <v>1.7848601229172242E-2</v>
      </c>
    </row>
    <row r="781" spans="2:2" x14ac:dyDescent="0.25">
      <c r="B781">
        <v>0.1204900121480305</v>
      </c>
    </row>
    <row r="782" spans="2:2" x14ac:dyDescent="0.25">
      <c r="B782">
        <v>7.7069841994715171E-2</v>
      </c>
    </row>
    <row r="783" spans="2:2" x14ac:dyDescent="0.25">
      <c r="B783">
        <v>2.9589691573660426E-3</v>
      </c>
    </row>
    <row r="784" spans="2:2" x14ac:dyDescent="0.25">
      <c r="B784">
        <v>0.10434843163184701</v>
      </c>
    </row>
    <row r="785" spans="2:2" x14ac:dyDescent="0.25">
      <c r="B785">
        <v>2.3958999594356767E-2</v>
      </c>
    </row>
    <row r="786" spans="2:2" x14ac:dyDescent="0.25">
      <c r="B786">
        <v>8.6875345867204953E-2</v>
      </c>
    </row>
    <row r="787" spans="2:2" x14ac:dyDescent="0.25">
      <c r="B787">
        <v>-1.7228938710710864E-2</v>
      </c>
    </row>
    <row r="788" spans="2:2" x14ac:dyDescent="0.25">
      <c r="B788">
        <v>0.1074339041484093</v>
      </c>
    </row>
    <row r="789" spans="2:2" x14ac:dyDescent="0.25">
      <c r="B789">
        <v>0.12864150628681556</v>
      </c>
    </row>
    <row r="790" spans="2:2" x14ac:dyDescent="0.25">
      <c r="B790">
        <v>0.14040872130105048</v>
      </c>
    </row>
    <row r="791" spans="2:2" x14ac:dyDescent="0.25">
      <c r="B791">
        <v>9.2915341764592985E-2</v>
      </c>
    </row>
    <row r="792" spans="2:2" x14ac:dyDescent="0.25">
      <c r="B792">
        <v>9.6324531853455367E-2</v>
      </c>
    </row>
    <row r="793" spans="2:2" x14ac:dyDescent="0.25">
      <c r="B793">
        <v>0.15</v>
      </c>
    </row>
    <row r="794" spans="2:2" x14ac:dyDescent="0.25">
      <c r="B794">
        <v>0.15</v>
      </c>
    </row>
    <row r="795" spans="2:2" x14ac:dyDescent="0.25">
      <c r="B795">
        <v>4.2129936398895701E-2</v>
      </c>
    </row>
    <row r="796" spans="2:2" x14ac:dyDescent="0.25">
      <c r="B796">
        <v>6.763992244304956E-2</v>
      </c>
    </row>
    <row r="797" spans="2:2" x14ac:dyDescent="0.25">
      <c r="B797">
        <v>4.1612903398432738E-2</v>
      </c>
    </row>
    <row r="798" spans="2:2" x14ac:dyDescent="0.25">
      <c r="B798">
        <v>0.14919493153848998</v>
      </c>
    </row>
    <row r="799" spans="2:2" x14ac:dyDescent="0.25">
      <c r="B799">
        <v>2.6663582761135701E-2</v>
      </c>
    </row>
    <row r="800" spans="2:2" x14ac:dyDescent="0.25">
      <c r="B800">
        <v>0.15</v>
      </c>
    </row>
    <row r="801" spans="2:2" x14ac:dyDescent="0.25">
      <c r="B801">
        <v>3.9874465777911053E-2</v>
      </c>
    </row>
    <row r="802" spans="2:2" x14ac:dyDescent="0.25">
      <c r="B802">
        <v>3.149873616062529E-2</v>
      </c>
    </row>
    <row r="803" spans="2:2" x14ac:dyDescent="0.25">
      <c r="B803">
        <v>5.7216370093725932E-2</v>
      </c>
    </row>
    <row r="804" spans="2:2" x14ac:dyDescent="0.25">
      <c r="B804">
        <v>0.10535331534259559</v>
      </c>
    </row>
    <row r="805" spans="2:2" x14ac:dyDescent="0.25">
      <c r="B805">
        <v>0.14796340159238963</v>
      </c>
    </row>
    <row r="806" spans="2:2" x14ac:dyDescent="0.25">
      <c r="B806">
        <v>7.5620925768693947E-2</v>
      </c>
    </row>
    <row r="807" spans="2:2" x14ac:dyDescent="0.25">
      <c r="B807">
        <v>6.6757420841059095E-2</v>
      </c>
    </row>
    <row r="808" spans="2:2" x14ac:dyDescent="0.25">
      <c r="B808">
        <v>5.2192818108851444E-2</v>
      </c>
    </row>
    <row r="809" spans="2:2" x14ac:dyDescent="0.25">
      <c r="B809">
        <v>3.8494675395161271E-2</v>
      </c>
    </row>
    <row r="810" spans="2:2" x14ac:dyDescent="0.25">
      <c r="B810">
        <v>0.15</v>
      </c>
    </row>
    <row r="811" spans="2:2" x14ac:dyDescent="0.25">
      <c r="B811">
        <v>6.6287656424113744E-2</v>
      </c>
    </row>
    <row r="812" spans="2:2" x14ac:dyDescent="0.25">
      <c r="B812">
        <v>8.8365857934012165E-2</v>
      </c>
    </row>
    <row r="813" spans="2:2" x14ac:dyDescent="0.25">
      <c r="B813">
        <v>0.10853576592347698</v>
      </c>
    </row>
    <row r="814" spans="2:2" x14ac:dyDescent="0.25">
      <c r="B814">
        <v>2.584350117773887E-2</v>
      </c>
    </row>
    <row r="815" spans="2:2" x14ac:dyDescent="0.25">
      <c r="B815">
        <v>0.13414769074870075</v>
      </c>
    </row>
    <row r="816" spans="2:2" x14ac:dyDescent="0.25">
      <c r="B816">
        <v>0.10936506160389999</v>
      </c>
    </row>
    <row r="817" spans="2:2" x14ac:dyDescent="0.25">
      <c r="B817">
        <v>9.1115125380637513E-2</v>
      </c>
    </row>
    <row r="818" spans="2:2" x14ac:dyDescent="0.25">
      <c r="B818">
        <v>9.7662654921162467E-2</v>
      </c>
    </row>
    <row r="819" spans="2:2" x14ac:dyDescent="0.25">
      <c r="B819">
        <v>4.7675026680288377E-2</v>
      </c>
    </row>
    <row r="820" spans="2:2" x14ac:dyDescent="0.25">
      <c r="B820">
        <v>5.0563570639948235E-2</v>
      </c>
    </row>
    <row r="821" spans="2:2" x14ac:dyDescent="0.25">
      <c r="B821">
        <v>7.2920817229476464E-2</v>
      </c>
    </row>
    <row r="822" spans="2:2" x14ac:dyDescent="0.25">
      <c r="B822">
        <v>5.5895693018631329E-2</v>
      </c>
    </row>
    <row r="823" spans="2:2" x14ac:dyDescent="0.25">
      <c r="B823">
        <v>3.2088763413659169E-2</v>
      </c>
    </row>
    <row r="824" spans="2:2" x14ac:dyDescent="0.25">
      <c r="B824">
        <v>6.2498144171286546E-2</v>
      </c>
    </row>
    <row r="825" spans="2:2" x14ac:dyDescent="0.25">
      <c r="B825">
        <v>6.3696119408218316E-2</v>
      </c>
    </row>
    <row r="826" spans="2:2" x14ac:dyDescent="0.25">
      <c r="B826">
        <v>9.5003472041375742E-3</v>
      </c>
    </row>
    <row r="827" spans="2:2" x14ac:dyDescent="0.25">
      <c r="B827">
        <v>0.11990377498874459</v>
      </c>
    </row>
    <row r="828" spans="2:2" x14ac:dyDescent="0.25">
      <c r="B828">
        <v>4.4831865161885379E-2</v>
      </c>
    </row>
    <row r="829" spans="2:2" x14ac:dyDescent="0.25">
      <c r="B829">
        <v>1.066072609562152E-2</v>
      </c>
    </row>
    <row r="830" spans="2:2" x14ac:dyDescent="0.25">
      <c r="B830">
        <v>1.5271344689609417E-2</v>
      </c>
    </row>
    <row r="831" spans="2:2" x14ac:dyDescent="0.25">
      <c r="B831">
        <v>0.12731631542740438</v>
      </c>
    </row>
    <row r="832" spans="2:2" x14ac:dyDescent="0.25">
      <c r="B832">
        <v>-7.4536035889914837E-3</v>
      </c>
    </row>
    <row r="833" spans="2:2" x14ac:dyDescent="0.25">
      <c r="B833">
        <v>0.11520014528810973</v>
      </c>
    </row>
    <row r="834" spans="2:2" x14ac:dyDescent="0.25">
      <c r="B834">
        <v>8.136076420919458E-3</v>
      </c>
    </row>
    <row r="835" spans="2:2" x14ac:dyDescent="0.25">
      <c r="B835">
        <v>0.14607517691812189</v>
      </c>
    </row>
    <row r="836" spans="2:2" x14ac:dyDescent="0.25">
      <c r="B836">
        <v>5.3228876508127319E-2</v>
      </c>
    </row>
    <row r="837" spans="2:2" x14ac:dyDescent="0.25">
      <c r="B837">
        <v>4.5730318909207826E-2</v>
      </c>
    </row>
    <row r="838" spans="2:2" x14ac:dyDescent="0.25">
      <c r="B838">
        <v>0.11140195897079509</v>
      </c>
    </row>
    <row r="839" spans="2:2" x14ac:dyDescent="0.25">
      <c r="B839">
        <v>4.8883642184377601E-2</v>
      </c>
    </row>
    <row r="840" spans="2:2" x14ac:dyDescent="0.25">
      <c r="B840">
        <v>5.9397930240137307E-2</v>
      </c>
    </row>
    <row r="841" spans="2:2" x14ac:dyDescent="0.25">
      <c r="B841">
        <v>8.3355991611733973E-2</v>
      </c>
    </row>
    <row r="842" spans="2:2" x14ac:dyDescent="0.25">
      <c r="B842">
        <v>5.6423148014887667E-2</v>
      </c>
    </row>
    <row r="843" spans="2:2" x14ac:dyDescent="0.25">
      <c r="B843">
        <v>0.12603087039549168</v>
      </c>
    </row>
    <row r="844" spans="2:2" x14ac:dyDescent="0.25">
      <c r="B844">
        <v>0.15</v>
      </c>
    </row>
    <row r="845" spans="2:2" x14ac:dyDescent="0.25">
      <c r="B845">
        <v>7.9619222830731695E-2</v>
      </c>
    </row>
    <row r="846" spans="2:2" x14ac:dyDescent="0.25">
      <c r="B846">
        <v>7.3507990563181053E-2</v>
      </c>
    </row>
    <row r="847" spans="2:2" x14ac:dyDescent="0.25">
      <c r="B847">
        <v>4.6412253191309705E-3</v>
      </c>
    </row>
    <row r="848" spans="2:2" x14ac:dyDescent="0.25">
      <c r="B848">
        <v>0.14855524652550656</v>
      </c>
    </row>
    <row r="849" spans="2:2" x14ac:dyDescent="0.25">
      <c r="B849">
        <v>1.2492716896399289E-2</v>
      </c>
    </row>
    <row r="850" spans="2:2" x14ac:dyDescent="0.25">
      <c r="B850">
        <v>1.5450482978732333E-2</v>
      </c>
    </row>
    <row r="851" spans="2:2" x14ac:dyDescent="0.25">
      <c r="B851">
        <v>0.13369594987779174</v>
      </c>
    </row>
    <row r="852" spans="2:2" x14ac:dyDescent="0.25">
      <c r="B852">
        <v>6.1427675684286906E-2</v>
      </c>
    </row>
    <row r="853" spans="2:2" x14ac:dyDescent="0.25">
      <c r="B853">
        <v>8.9601069359199439E-2</v>
      </c>
    </row>
    <row r="854" spans="2:2" x14ac:dyDescent="0.25">
      <c r="B854">
        <v>0.15</v>
      </c>
    </row>
    <row r="855" spans="2:2" x14ac:dyDescent="0.25">
      <c r="B855">
        <v>9.8588377453828008E-2</v>
      </c>
    </row>
    <row r="856" spans="2:2" x14ac:dyDescent="0.25">
      <c r="B856">
        <v>0.14130596777189769</v>
      </c>
    </row>
    <row r="857" spans="2:2" x14ac:dyDescent="0.25">
      <c r="B857">
        <v>6.015510929710316E-2</v>
      </c>
    </row>
    <row r="858" spans="2:2" x14ac:dyDescent="0.25">
      <c r="B858">
        <v>4.5880137509859122E-2</v>
      </c>
    </row>
    <row r="859" spans="2:2" x14ac:dyDescent="0.25">
      <c r="B859">
        <v>3.8010497967181756E-2</v>
      </c>
    </row>
    <row r="860" spans="2:2" x14ac:dyDescent="0.25">
      <c r="B860">
        <v>9.5692598733079684E-2</v>
      </c>
    </row>
    <row r="861" spans="2:2" x14ac:dyDescent="0.25">
      <c r="B861">
        <v>2.1201692548214246E-2</v>
      </c>
    </row>
    <row r="862" spans="2:2" x14ac:dyDescent="0.25">
      <c r="B862">
        <v>8.6805976014078065E-2</v>
      </c>
    </row>
    <row r="863" spans="2:2" x14ac:dyDescent="0.25">
      <c r="B863">
        <v>3.5672697625320118E-2</v>
      </c>
    </row>
    <row r="864" spans="2:2" x14ac:dyDescent="0.25">
      <c r="B864">
        <v>0.11595202970938015</v>
      </c>
    </row>
    <row r="865" spans="2:2" x14ac:dyDescent="0.25">
      <c r="B865">
        <v>0.12316318709314958</v>
      </c>
    </row>
    <row r="866" spans="2:2" x14ac:dyDescent="0.25">
      <c r="B866">
        <v>0.10021227604563415</v>
      </c>
    </row>
    <row r="867" spans="2:2" x14ac:dyDescent="0.25">
      <c r="B867">
        <v>9.7583629745994216E-2</v>
      </c>
    </row>
    <row r="868" spans="2:2" x14ac:dyDescent="0.25">
      <c r="B868">
        <v>-6.1968713180623053E-3</v>
      </c>
    </row>
    <row r="869" spans="2:2" x14ac:dyDescent="0.25">
      <c r="B869">
        <v>6.8637708478208215E-2</v>
      </c>
    </row>
    <row r="870" spans="2:2" x14ac:dyDescent="0.25">
      <c r="B870">
        <v>6.6387236926984325E-2</v>
      </c>
    </row>
    <row r="871" spans="2:2" x14ac:dyDescent="0.25">
      <c r="B871">
        <v>9.6128790153307414E-2</v>
      </c>
    </row>
    <row r="872" spans="2:2" x14ac:dyDescent="0.25">
      <c r="B872">
        <v>5.8608082005988618E-2</v>
      </c>
    </row>
    <row r="873" spans="2:2" x14ac:dyDescent="0.25">
      <c r="B873">
        <v>6.4852626188255158E-2</v>
      </c>
    </row>
    <row r="874" spans="2:2" x14ac:dyDescent="0.25">
      <c r="B874">
        <v>0.15</v>
      </c>
    </row>
    <row r="875" spans="2:2" x14ac:dyDescent="0.25">
      <c r="B875">
        <v>4.3881614210203812E-2</v>
      </c>
    </row>
    <row r="876" spans="2:2" x14ac:dyDescent="0.25">
      <c r="B876">
        <v>0.15</v>
      </c>
    </row>
    <row r="877" spans="2:2" x14ac:dyDescent="0.25">
      <c r="B877">
        <v>0.15</v>
      </c>
    </row>
    <row r="878" spans="2:2" x14ac:dyDescent="0.25">
      <c r="B878">
        <v>0.10581980643736018</v>
      </c>
    </row>
    <row r="879" spans="2:2" x14ac:dyDescent="0.25">
      <c r="B879">
        <v>4.6051891021597E-2</v>
      </c>
    </row>
    <row r="880" spans="2:2" x14ac:dyDescent="0.25">
      <c r="B880">
        <v>0.11031093707730232</v>
      </c>
    </row>
    <row r="881" spans="2:2" x14ac:dyDescent="0.25">
      <c r="B881">
        <v>9.8372611883123282E-2</v>
      </c>
    </row>
    <row r="882" spans="2:2" x14ac:dyDescent="0.25">
      <c r="B882">
        <v>9.2740559585104201E-2</v>
      </c>
    </row>
    <row r="883" spans="2:2" x14ac:dyDescent="0.25">
      <c r="B883">
        <v>7.8975404353259754E-2</v>
      </c>
    </row>
    <row r="884" spans="2:2" x14ac:dyDescent="0.25">
      <c r="B884">
        <v>3.2161549882156693E-2</v>
      </c>
    </row>
    <row r="885" spans="2:2" x14ac:dyDescent="0.25">
      <c r="B885">
        <v>7.5270762113214096E-2</v>
      </c>
    </row>
    <row r="886" spans="2:2" x14ac:dyDescent="0.25">
      <c r="B886">
        <v>1.9658882022561247E-2</v>
      </c>
    </row>
    <row r="887" spans="2:2" x14ac:dyDescent="0.25">
      <c r="B887">
        <v>6.0888883049422519E-2</v>
      </c>
    </row>
    <row r="888" spans="2:2" x14ac:dyDescent="0.25">
      <c r="B888">
        <v>6.5090867042825587E-2</v>
      </c>
    </row>
    <row r="889" spans="2:2" x14ac:dyDescent="0.25">
      <c r="B889">
        <v>-6.6381961870499023E-3</v>
      </c>
    </row>
    <row r="890" spans="2:2" x14ac:dyDescent="0.25">
      <c r="B890">
        <v>9.8624253265876691E-2</v>
      </c>
    </row>
    <row r="891" spans="2:2" x14ac:dyDescent="0.25">
      <c r="B891">
        <v>0.11055036076414557</v>
      </c>
    </row>
    <row r="892" spans="2:2" x14ac:dyDescent="0.25">
      <c r="B892">
        <v>9.8788983456816068E-2</v>
      </c>
    </row>
    <row r="893" spans="2:2" x14ac:dyDescent="0.25">
      <c r="B893">
        <v>0.15</v>
      </c>
    </row>
    <row r="894" spans="2:2" x14ac:dyDescent="0.25">
      <c r="B894">
        <v>5.0208221880753967E-3</v>
      </c>
    </row>
    <row r="895" spans="2:2" x14ac:dyDescent="0.25">
      <c r="B895">
        <v>2.6053901687161096E-2</v>
      </c>
    </row>
    <row r="896" spans="2:2" x14ac:dyDescent="0.25">
      <c r="B896">
        <v>0.10570036106811344</v>
      </c>
    </row>
    <row r="897" spans="2:2" x14ac:dyDescent="0.25">
      <c r="B897">
        <v>8.726974494150655E-2</v>
      </c>
    </row>
    <row r="898" spans="2:2" x14ac:dyDescent="0.25">
      <c r="B898">
        <v>4.6092884327381151E-2</v>
      </c>
    </row>
    <row r="899" spans="2:2" x14ac:dyDescent="0.25">
      <c r="B899">
        <v>4.4535184225806157E-2</v>
      </c>
    </row>
    <row r="900" spans="2:2" x14ac:dyDescent="0.25">
      <c r="B900">
        <v>0.1278579656066878</v>
      </c>
    </row>
    <row r="901" spans="2:2" x14ac:dyDescent="0.25">
      <c r="B901">
        <v>4.6107610874404431E-2</v>
      </c>
    </row>
    <row r="902" spans="2:2" x14ac:dyDescent="0.25">
      <c r="B902">
        <v>4.4210917801250901E-2</v>
      </c>
    </row>
    <row r="903" spans="2:2" x14ac:dyDescent="0.25">
      <c r="B903">
        <v>0.12173150948622116</v>
      </c>
    </row>
    <row r="904" spans="2:2" x14ac:dyDescent="0.25">
      <c r="B904">
        <v>8.5609330610366907E-2</v>
      </c>
    </row>
    <row r="905" spans="2:2" x14ac:dyDescent="0.25">
      <c r="B905">
        <v>0.15</v>
      </c>
    </row>
    <row r="906" spans="2:2" x14ac:dyDescent="0.25">
      <c r="B906">
        <v>7.8535469410674824E-2</v>
      </c>
    </row>
    <row r="907" spans="2:2" x14ac:dyDescent="0.25">
      <c r="B907">
        <v>3.2935576279218379E-2</v>
      </c>
    </row>
    <row r="908" spans="2:2" x14ac:dyDescent="0.25">
      <c r="B908">
        <v>0.1084982925658573</v>
      </c>
    </row>
    <row r="909" spans="2:2" x14ac:dyDescent="0.25">
      <c r="B909">
        <v>8.1254623759318759E-2</v>
      </c>
    </row>
    <row r="910" spans="2:2" x14ac:dyDescent="0.25">
      <c r="B910">
        <v>0.12213417304021323</v>
      </c>
    </row>
    <row r="911" spans="2:2" x14ac:dyDescent="0.25">
      <c r="B911">
        <v>0.15</v>
      </c>
    </row>
    <row r="912" spans="2:2" x14ac:dyDescent="0.25">
      <c r="B912">
        <v>6.3768221828041968E-2</v>
      </c>
    </row>
    <row r="913" spans="2:2" x14ac:dyDescent="0.25">
      <c r="B913">
        <v>7.1434444552193513E-2</v>
      </c>
    </row>
    <row r="914" spans="2:2" x14ac:dyDescent="0.25">
      <c r="B914">
        <v>-6.7928584999103481E-3</v>
      </c>
    </row>
    <row r="915" spans="2:2" x14ac:dyDescent="0.25">
      <c r="B915">
        <v>0.10521480480521433</v>
      </c>
    </row>
    <row r="916" spans="2:2" x14ac:dyDescent="0.25">
      <c r="B916">
        <v>3.7608361324875106E-2</v>
      </c>
    </row>
    <row r="917" spans="2:2" x14ac:dyDescent="0.25">
      <c r="B917">
        <v>0.15</v>
      </c>
    </row>
    <row r="918" spans="2:2" x14ac:dyDescent="0.25">
      <c r="B918">
        <v>7.1765475170214185E-2</v>
      </c>
    </row>
    <row r="919" spans="2:2" x14ac:dyDescent="0.25">
      <c r="B919">
        <v>0.15</v>
      </c>
    </row>
    <row r="920" spans="2:2" x14ac:dyDescent="0.25">
      <c r="B920">
        <v>5.549099913486432E-2</v>
      </c>
    </row>
    <row r="921" spans="2:2" x14ac:dyDescent="0.25">
      <c r="B921">
        <v>2.6557362727659822E-2</v>
      </c>
    </row>
    <row r="922" spans="2:2" x14ac:dyDescent="0.25">
      <c r="B922">
        <v>8.6712541059446938E-2</v>
      </c>
    </row>
    <row r="923" spans="2:2" x14ac:dyDescent="0.25">
      <c r="B923">
        <v>7.6981908978606239E-2</v>
      </c>
    </row>
    <row r="924" spans="2:2" x14ac:dyDescent="0.25">
      <c r="B924">
        <v>7.6111335593396223E-2</v>
      </c>
    </row>
    <row r="925" spans="2:2" x14ac:dyDescent="0.25">
      <c r="B925">
        <v>0.10695237355534153</v>
      </c>
    </row>
    <row r="926" spans="2:2" x14ac:dyDescent="0.25">
      <c r="B926">
        <v>9.0447900098587011E-2</v>
      </c>
    </row>
    <row r="927" spans="2:2" x14ac:dyDescent="0.25">
      <c r="B927">
        <v>4.2472083942801636E-2</v>
      </c>
    </row>
    <row r="928" spans="2:2" x14ac:dyDescent="0.25">
      <c r="B928">
        <v>5.7548372657126229E-2</v>
      </c>
    </row>
    <row r="929" spans="2:2" x14ac:dyDescent="0.25">
      <c r="B929">
        <v>8.7360254205534352E-2</v>
      </c>
    </row>
    <row r="930" spans="2:2" x14ac:dyDescent="0.25">
      <c r="B930">
        <v>3.8267766976955997E-2</v>
      </c>
    </row>
    <row r="931" spans="2:2" x14ac:dyDescent="0.25">
      <c r="B931">
        <v>0.15</v>
      </c>
    </row>
    <row r="932" spans="2:2" x14ac:dyDescent="0.25">
      <c r="B932">
        <v>5.6126237575308935E-2</v>
      </c>
    </row>
    <row r="933" spans="2:2" x14ac:dyDescent="0.25">
      <c r="B933">
        <v>7.3925995605042941E-2</v>
      </c>
    </row>
    <row r="934" spans="2:2" x14ac:dyDescent="0.25">
      <c r="B934">
        <v>0.1157883720004315</v>
      </c>
    </row>
    <row r="935" spans="2:2" x14ac:dyDescent="0.25">
      <c r="B935">
        <v>4.7400676049775659E-2</v>
      </c>
    </row>
    <row r="936" spans="2:2" x14ac:dyDescent="0.25">
      <c r="B936">
        <v>0.11989155853106423</v>
      </c>
    </row>
    <row r="937" spans="2:2" x14ac:dyDescent="0.25">
      <c r="B937">
        <v>6.6360535949224461E-2</v>
      </c>
    </row>
    <row r="938" spans="2:2" x14ac:dyDescent="0.25">
      <c r="B938">
        <v>7.3807342979139601E-2</v>
      </c>
    </row>
    <row r="939" spans="2:2" x14ac:dyDescent="0.25">
      <c r="B939">
        <v>0.11737747012068415</v>
      </c>
    </row>
    <row r="940" spans="2:2" x14ac:dyDescent="0.25">
      <c r="B940">
        <v>0.14346468021184311</v>
      </c>
    </row>
    <row r="941" spans="2:2" x14ac:dyDescent="0.25">
      <c r="B941">
        <v>0.15</v>
      </c>
    </row>
    <row r="942" spans="2:2" x14ac:dyDescent="0.25">
      <c r="B942">
        <v>5.1538962224270228E-2</v>
      </c>
    </row>
    <row r="943" spans="2:2" x14ac:dyDescent="0.25">
      <c r="B943">
        <v>8.025540946869783E-2</v>
      </c>
    </row>
    <row r="944" spans="2:2" x14ac:dyDescent="0.25">
      <c r="B944">
        <v>6.4683846413315815E-2</v>
      </c>
    </row>
    <row r="945" spans="2:2" x14ac:dyDescent="0.25">
      <c r="B945">
        <v>7.1190053338648945E-2</v>
      </c>
    </row>
    <row r="946" spans="2:2" x14ac:dyDescent="0.25">
      <c r="B946">
        <v>6.272741574445076E-2</v>
      </c>
    </row>
    <row r="947" spans="2:2" x14ac:dyDescent="0.25">
      <c r="B947">
        <v>3.5263354073409928E-2</v>
      </c>
    </row>
    <row r="948" spans="2:2" x14ac:dyDescent="0.25">
      <c r="B948">
        <v>6.5948889456869525E-2</v>
      </c>
    </row>
    <row r="949" spans="2:2" x14ac:dyDescent="0.25">
      <c r="B949">
        <v>0.15</v>
      </c>
    </row>
    <row r="950" spans="2:2" x14ac:dyDescent="0.25">
      <c r="B950">
        <v>-1.7255266568464045E-2</v>
      </c>
    </row>
    <row r="951" spans="2:2" x14ac:dyDescent="0.25">
      <c r="B951">
        <v>3.3759679028217721E-2</v>
      </c>
    </row>
    <row r="952" spans="2:2" x14ac:dyDescent="0.25">
      <c r="B952">
        <v>6.0902919444280848E-2</v>
      </c>
    </row>
    <row r="953" spans="2:2" x14ac:dyDescent="0.25">
      <c r="B953">
        <v>0.15</v>
      </c>
    </row>
    <row r="954" spans="2:2" x14ac:dyDescent="0.25">
      <c r="B954">
        <v>3.2396760115202469E-2</v>
      </c>
    </row>
    <row r="955" spans="2:2" x14ac:dyDescent="0.25">
      <c r="B955">
        <v>0.10543070572671796</v>
      </c>
    </row>
    <row r="956" spans="2:2" x14ac:dyDescent="0.25">
      <c r="B956">
        <v>3.7336897088320525E-2</v>
      </c>
    </row>
    <row r="957" spans="2:2" x14ac:dyDescent="0.25">
      <c r="B957">
        <v>9.711569444761349E-2</v>
      </c>
    </row>
    <row r="958" spans="2:2" x14ac:dyDescent="0.25">
      <c r="B958">
        <v>0.1012579126531469</v>
      </c>
    </row>
    <row r="959" spans="2:2" x14ac:dyDescent="0.25">
      <c r="B959">
        <v>9.2118286648835812E-2</v>
      </c>
    </row>
    <row r="960" spans="2:2" x14ac:dyDescent="0.25">
      <c r="B960">
        <v>7.0836652314040557E-2</v>
      </c>
    </row>
    <row r="961" spans="2:2" x14ac:dyDescent="0.25">
      <c r="B961">
        <v>2.7576790167528592E-2</v>
      </c>
    </row>
    <row r="962" spans="2:2" x14ac:dyDescent="0.25">
      <c r="B962">
        <v>-9.2112914661791195E-3</v>
      </c>
    </row>
    <row r="963" spans="2:2" x14ac:dyDescent="0.25">
      <c r="B963">
        <v>-1.1175260999252909E-2</v>
      </c>
    </row>
    <row r="964" spans="2:2" x14ac:dyDescent="0.25">
      <c r="B964">
        <v>0.11412482201941027</v>
      </c>
    </row>
    <row r="965" spans="2:2" x14ac:dyDescent="0.25">
      <c r="B965">
        <v>6.1786912199692637E-2</v>
      </c>
    </row>
    <row r="966" spans="2:2" x14ac:dyDescent="0.25">
      <c r="B966">
        <v>3.9669972166196318E-2</v>
      </c>
    </row>
    <row r="967" spans="2:2" x14ac:dyDescent="0.25">
      <c r="B967">
        <v>0.12399264918828634</v>
      </c>
    </row>
    <row r="968" spans="2:2" x14ac:dyDescent="0.25">
      <c r="B968">
        <v>0.15</v>
      </c>
    </row>
    <row r="969" spans="2:2" x14ac:dyDescent="0.25">
      <c r="B969">
        <v>0.11226540849636005</v>
      </c>
    </row>
    <row r="970" spans="2:2" x14ac:dyDescent="0.25">
      <c r="B970">
        <v>-1.3405734923848944E-3</v>
      </c>
    </row>
    <row r="971" spans="2:2" x14ac:dyDescent="0.25">
      <c r="B971">
        <v>7.8795339748052515E-2</v>
      </c>
    </row>
    <row r="972" spans="2:2" x14ac:dyDescent="0.25">
      <c r="B972">
        <v>0.15</v>
      </c>
    </row>
    <row r="973" spans="2:2" x14ac:dyDescent="0.25">
      <c r="B973">
        <v>0.1108071359664385</v>
      </c>
    </row>
    <row r="974" spans="2:2" x14ac:dyDescent="0.25">
      <c r="B974">
        <v>8.8975407782104055E-2</v>
      </c>
    </row>
    <row r="975" spans="2:2" x14ac:dyDescent="0.25">
      <c r="B975">
        <v>2.1114349618654327E-2</v>
      </c>
    </row>
    <row r="976" spans="2:2" x14ac:dyDescent="0.25">
      <c r="B976">
        <v>9.6109544827025134E-2</v>
      </c>
    </row>
    <row r="977" spans="2:2" x14ac:dyDescent="0.25">
      <c r="B977">
        <v>0.15</v>
      </c>
    </row>
    <row r="978" spans="2:2" x14ac:dyDescent="0.25">
      <c r="B978">
        <v>8.331359150717442E-2</v>
      </c>
    </row>
    <row r="979" spans="2:2" x14ac:dyDescent="0.25">
      <c r="B979">
        <v>9.7400638037871953E-2</v>
      </c>
    </row>
    <row r="980" spans="2:2" x14ac:dyDescent="0.25">
      <c r="B980">
        <v>0.10621351849684432</v>
      </c>
    </row>
    <row r="981" spans="2:2" x14ac:dyDescent="0.25">
      <c r="B981">
        <v>6.9661811896041981E-2</v>
      </c>
    </row>
    <row r="982" spans="2:2" x14ac:dyDescent="0.25">
      <c r="B982">
        <v>9.5576721745685794E-2</v>
      </c>
    </row>
    <row r="983" spans="2:2" x14ac:dyDescent="0.25">
      <c r="B983">
        <v>0.15</v>
      </c>
    </row>
    <row r="984" spans="2:2" x14ac:dyDescent="0.25">
      <c r="B984">
        <v>4.280744900186137E-2</v>
      </c>
    </row>
    <row r="985" spans="2:2" x14ac:dyDescent="0.25">
      <c r="B985">
        <v>3.3035509072948013E-2</v>
      </c>
    </row>
    <row r="986" spans="2:2" x14ac:dyDescent="0.25">
      <c r="B986">
        <v>5.8373161039844634E-2</v>
      </c>
    </row>
    <row r="987" spans="2:2" x14ac:dyDescent="0.25">
      <c r="B987">
        <v>0.11465375331952642</v>
      </c>
    </row>
    <row r="988" spans="2:2" x14ac:dyDescent="0.25">
      <c r="B988">
        <v>8.7085961677756313E-2</v>
      </c>
    </row>
    <row r="989" spans="2:2" x14ac:dyDescent="0.25">
      <c r="B989">
        <v>8.3671549125767991E-2</v>
      </c>
    </row>
    <row r="990" spans="2:2" x14ac:dyDescent="0.25">
      <c r="B990">
        <v>5.5587540683530959E-2</v>
      </c>
    </row>
    <row r="991" spans="2:2" x14ac:dyDescent="0.25">
      <c r="B991">
        <v>0.15</v>
      </c>
    </row>
    <row r="992" spans="2:2" x14ac:dyDescent="0.25">
      <c r="B992">
        <v>0.10468486785520199</v>
      </c>
    </row>
    <row r="993" spans="2:2" x14ac:dyDescent="0.25">
      <c r="B993">
        <v>9.0380411948145695E-2</v>
      </c>
    </row>
    <row r="994" spans="2:2" x14ac:dyDescent="0.25">
      <c r="B994">
        <v>-1.9347507697802274E-2</v>
      </c>
    </row>
    <row r="995" spans="2:2" x14ac:dyDescent="0.25">
      <c r="B995">
        <v>0.11532432824668092</v>
      </c>
    </row>
    <row r="996" spans="2:2" x14ac:dyDescent="0.25">
      <c r="B996">
        <v>0.14302672512668416</v>
      </c>
    </row>
    <row r="997" spans="2:2" x14ac:dyDescent="0.25">
      <c r="B997">
        <v>8.1141980463223157E-2</v>
      </c>
    </row>
    <row r="998" spans="2:2" x14ac:dyDescent="0.25">
      <c r="B998">
        <v>6.2721769817073947E-2</v>
      </c>
    </row>
    <row r="999" spans="2:2" x14ac:dyDescent="0.25">
      <c r="B999">
        <v>7.4491901779625724E-2</v>
      </c>
    </row>
    <row r="1000" spans="2:2" x14ac:dyDescent="0.25">
      <c r="B1000">
        <v>4.3006340089160738E-2</v>
      </c>
    </row>
    <row r="1001" spans="2:2" x14ac:dyDescent="0.25">
      <c r="B1001">
        <v>0.11423986503489404</v>
      </c>
    </row>
    <row r="1002" spans="2:2" x14ac:dyDescent="0.25">
      <c r="B1002">
        <v>0.15</v>
      </c>
    </row>
    <row r="1003" spans="2:2" x14ac:dyDescent="0.25">
      <c r="B1003">
        <v>3.0448931746028668E-2</v>
      </c>
    </row>
    <row r="1004" spans="2:2" x14ac:dyDescent="0.25">
      <c r="B1004">
        <v>0.12151299391205375</v>
      </c>
    </row>
    <row r="1005" spans="2:2" x14ac:dyDescent="0.25">
      <c r="B1005">
        <v>5.2226107359979179E-2</v>
      </c>
    </row>
    <row r="1006" spans="2:2" x14ac:dyDescent="0.25">
      <c r="B1006">
        <v>4.8248965600910236E-2</v>
      </c>
    </row>
    <row r="1007" spans="2:2" x14ac:dyDescent="0.25">
      <c r="B1007">
        <v>4.0655035004727294E-2</v>
      </c>
    </row>
    <row r="1008" spans="2:2" x14ac:dyDescent="0.25">
      <c r="B1008">
        <v>4.9519343997355664E-2</v>
      </c>
    </row>
    <row r="1009" spans="2:2" x14ac:dyDescent="0.25">
      <c r="B1009">
        <v>0.11396965441475383</v>
      </c>
    </row>
    <row r="1010" spans="2:2" x14ac:dyDescent="0.25">
      <c r="B1010">
        <v>0.11042120049113759</v>
      </c>
    </row>
    <row r="1011" spans="2:2" x14ac:dyDescent="0.25">
      <c r="B1011">
        <v>8.9852955135747953E-2</v>
      </c>
    </row>
    <row r="1012" spans="2:2" x14ac:dyDescent="0.25">
      <c r="B1012">
        <v>5.6617443693953766E-2</v>
      </c>
    </row>
    <row r="1013" spans="2:2" x14ac:dyDescent="0.25">
      <c r="B1013">
        <v>0.14272112539447426</v>
      </c>
    </row>
    <row r="1014" spans="2:2" x14ac:dyDescent="0.25">
      <c r="B1014">
        <v>0.15</v>
      </c>
    </row>
    <row r="1015" spans="2:2" x14ac:dyDescent="0.25">
      <c r="B1015">
        <v>0.13075471988731741</v>
      </c>
    </row>
    <row r="1016" spans="2:2" x14ac:dyDescent="0.25">
      <c r="B1016">
        <v>0.10211256993632184</v>
      </c>
    </row>
    <row r="1017" spans="2:2" x14ac:dyDescent="0.25">
      <c r="B1017">
        <v>0.13065462368495351</v>
      </c>
    </row>
    <row r="1018" spans="2:2" x14ac:dyDescent="0.25">
      <c r="B1018">
        <v>4.4830922326623557E-2</v>
      </c>
    </row>
    <row r="1019" spans="2:2" x14ac:dyDescent="0.25">
      <c r="B1019">
        <v>0.11200356955741241</v>
      </c>
    </row>
    <row r="1020" spans="2:2" x14ac:dyDescent="0.25">
      <c r="B1020">
        <v>5.3766577894139293E-2</v>
      </c>
    </row>
    <row r="1021" spans="2:2" x14ac:dyDescent="0.25">
      <c r="B1021">
        <v>9.8118440390833062E-2</v>
      </c>
    </row>
    <row r="1022" spans="2:2" x14ac:dyDescent="0.25">
      <c r="B1022">
        <v>6.6781901880989147E-2</v>
      </c>
    </row>
    <row r="1023" spans="2:2" x14ac:dyDescent="0.25">
      <c r="B1023">
        <v>0.11960812648284534</v>
      </c>
    </row>
    <row r="1024" spans="2:2" x14ac:dyDescent="0.25">
      <c r="B1024">
        <v>0.12307167219948116</v>
      </c>
    </row>
    <row r="1025" spans="2:2" x14ac:dyDescent="0.25">
      <c r="B1025">
        <v>0.13914026904970461</v>
      </c>
    </row>
    <row r="1026" spans="2:2" x14ac:dyDescent="0.25">
      <c r="B1026">
        <v>0.15</v>
      </c>
    </row>
    <row r="1027" spans="2:2" x14ac:dyDescent="0.25">
      <c r="B1027">
        <v>1.9466764198789066E-2</v>
      </c>
    </row>
    <row r="1028" spans="2:2" x14ac:dyDescent="0.25">
      <c r="B1028">
        <v>0.13785418237498193</v>
      </c>
    </row>
    <row r="1029" spans="2:2" x14ac:dyDescent="0.25">
      <c r="B1029">
        <v>0.10461747972185953</v>
      </c>
    </row>
    <row r="1030" spans="2:2" x14ac:dyDescent="0.25">
      <c r="B1030">
        <v>0.103119622823017</v>
      </c>
    </row>
    <row r="1031" spans="2:2" x14ac:dyDescent="0.25">
      <c r="B1031">
        <v>7.879478920070665E-2</v>
      </c>
    </row>
    <row r="1032" spans="2:2" x14ac:dyDescent="0.25">
      <c r="B1032">
        <v>1.1764442650785953E-2</v>
      </c>
    </row>
    <row r="1033" spans="2:2" x14ac:dyDescent="0.25">
      <c r="B1033">
        <v>5.9484495685020178E-2</v>
      </c>
    </row>
    <row r="1034" spans="2:2" x14ac:dyDescent="0.25">
      <c r="B1034">
        <v>-7.6843489476787347E-3</v>
      </c>
    </row>
    <row r="1035" spans="2:2" x14ac:dyDescent="0.25">
      <c r="B1035">
        <v>3.0913654716449496E-2</v>
      </c>
    </row>
    <row r="1036" spans="2:2" x14ac:dyDescent="0.25">
      <c r="B1036">
        <v>5.3200585606303169E-2</v>
      </c>
    </row>
    <row r="1037" spans="2:2" x14ac:dyDescent="0.25">
      <c r="B1037">
        <v>9.0737117299361181E-2</v>
      </c>
    </row>
    <row r="1038" spans="2:2" x14ac:dyDescent="0.25">
      <c r="B1038">
        <v>2.4299397024824046E-2</v>
      </c>
    </row>
    <row r="1039" spans="2:2" x14ac:dyDescent="0.25">
      <c r="B1039">
        <v>0.13720050137289377</v>
      </c>
    </row>
    <row r="1040" spans="2:2" x14ac:dyDescent="0.25">
      <c r="B1040">
        <v>0.13362248709103824</v>
      </c>
    </row>
    <row r="1041" spans="2:2" x14ac:dyDescent="0.25">
      <c r="B1041">
        <v>-1.6181551310191236E-2</v>
      </c>
    </row>
    <row r="1042" spans="2:2" x14ac:dyDescent="0.25">
      <c r="B1042">
        <v>4.4343459157859505E-2</v>
      </c>
    </row>
    <row r="1043" spans="2:2" x14ac:dyDescent="0.25">
      <c r="B1043">
        <v>0.10611443787104588</v>
      </c>
    </row>
    <row r="1044" spans="2:2" x14ac:dyDescent="0.25">
      <c r="B1044">
        <v>0.11567312048212233</v>
      </c>
    </row>
    <row r="1045" spans="2:2" x14ac:dyDescent="0.25">
      <c r="B1045">
        <v>0.14832045124299553</v>
      </c>
    </row>
    <row r="1046" spans="2:2" x14ac:dyDescent="0.25">
      <c r="B1046">
        <v>5.9811453771962744E-2</v>
      </c>
    </row>
    <row r="1047" spans="2:2" x14ac:dyDescent="0.25">
      <c r="B1047">
        <v>0.13792936227981292</v>
      </c>
    </row>
    <row r="1048" spans="2:2" x14ac:dyDescent="0.25">
      <c r="B1048">
        <v>5.1772571459835215E-3</v>
      </c>
    </row>
    <row r="1049" spans="2:2" x14ac:dyDescent="0.25">
      <c r="B1049">
        <v>0.11737061214481091</v>
      </c>
    </row>
    <row r="1050" spans="2:2" x14ac:dyDescent="0.25">
      <c r="B1050">
        <v>0.15</v>
      </c>
    </row>
    <row r="1051" spans="2:2" x14ac:dyDescent="0.25">
      <c r="B1051">
        <v>0.13745446524107718</v>
      </c>
    </row>
    <row r="1052" spans="2:2" x14ac:dyDescent="0.25">
      <c r="B1052">
        <v>9.1712477048262769E-2</v>
      </c>
    </row>
    <row r="1053" spans="2:2" x14ac:dyDescent="0.25">
      <c r="B1053">
        <v>0.13948597015307496</v>
      </c>
    </row>
    <row r="1054" spans="2:2" x14ac:dyDescent="0.25">
      <c r="B1054">
        <v>4.8942864103700232E-2</v>
      </c>
    </row>
    <row r="1055" spans="2:2" x14ac:dyDescent="0.25">
      <c r="B1055">
        <v>5.7606392536510689E-2</v>
      </c>
    </row>
    <row r="1056" spans="2:2" x14ac:dyDescent="0.25">
      <c r="B1056">
        <v>0.10806467976368228</v>
      </c>
    </row>
    <row r="1057" spans="2:2" x14ac:dyDescent="0.25">
      <c r="B1057">
        <v>0.13272692852309215</v>
      </c>
    </row>
    <row r="1058" spans="2:2" x14ac:dyDescent="0.25">
      <c r="B1058">
        <v>6.9543070619958264E-2</v>
      </c>
    </row>
    <row r="1059" spans="2:2" x14ac:dyDescent="0.25">
      <c r="B1059">
        <v>6.1201523568500719E-2</v>
      </c>
    </row>
    <row r="1060" spans="2:2" x14ac:dyDescent="0.25">
      <c r="B1060">
        <v>6.9179285315747102E-2</v>
      </c>
    </row>
    <row r="1061" spans="2:2" x14ac:dyDescent="0.25">
      <c r="B1061">
        <v>0.15</v>
      </c>
    </row>
    <row r="1062" spans="2:2" x14ac:dyDescent="0.25">
      <c r="B1062">
        <v>9.6014990892319838E-2</v>
      </c>
    </row>
    <row r="1063" spans="2:2" x14ac:dyDescent="0.25">
      <c r="B1063">
        <v>-1.1095871573567312E-2</v>
      </c>
    </row>
    <row r="1064" spans="2:2" x14ac:dyDescent="0.25">
      <c r="B1064">
        <v>0.13633010276987265</v>
      </c>
    </row>
    <row r="1065" spans="2:2" x14ac:dyDescent="0.25">
      <c r="B1065">
        <v>0.10701666378825397</v>
      </c>
    </row>
    <row r="1066" spans="2:2" x14ac:dyDescent="0.25">
      <c r="B1066">
        <v>0.12856845221365681</v>
      </c>
    </row>
    <row r="1067" spans="2:2" x14ac:dyDescent="0.25">
      <c r="B1067">
        <v>4.8233387085022852E-2</v>
      </c>
    </row>
    <row r="1068" spans="2:2" x14ac:dyDescent="0.25">
      <c r="B1068">
        <v>0.15</v>
      </c>
    </row>
    <row r="1069" spans="2:2" x14ac:dyDescent="0.25">
      <c r="B1069">
        <v>-1.8396153333306992E-2</v>
      </c>
    </row>
    <row r="1070" spans="2:2" x14ac:dyDescent="0.25">
      <c r="B1070">
        <v>7.2977387375404656E-2</v>
      </c>
    </row>
    <row r="1071" spans="2:2" x14ac:dyDescent="0.25">
      <c r="B1071">
        <v>8.5855143454633728E-2</v>
      </c>
    </row>
    <row r="1072" spans="2:2" x14ac:dyDescent="0.25">
      <c r="B1072">
        <v>4.6636122902397895E-2</v>
      </c>
    </row>
    <row r="1073" spans="2:2" x14ac:dyDescent="0.25">
      <c r="B1073">
        <v>0.10815331160667101</v>
      </c>
    </row>
    <row r="1074" spans="2:2" x14ac:dyDescent="0.25">
      <c r="B1074">
        <v>3.7473129249680742E-2</v>
      </c>
    </row>
    <row r="1075" spans="2:2" x14ac:dyDescent="0.25">
      <c r="B1075">
        <v>0.1231641664169723</v>
      </c>
    </row>
    <row r="1076" spans="2:2" x14ac:dyDescent="0.25">
      <c r="B1076">
        <v>0.15</v>
      </c>
    </row>
    <row r="1077" spans="2:2" x14ac:dyDescent="0.25">
      <c r="B1077">
        <v>9.913247724719168E-2</v>
      </c>
    </row>
    <row r="1078" spans="2:2" x14ac:dyDescent="0.25">
      <c r="B1078">
        <v>6.3267420044417794E-2</v>
      </c>
    </row>
    <row r="1079" spans="2:2" x14ac:dyDescent="0.25">
      <c r="B1079">
        <v>6.634802997088568E-2</v>
      </c>
    </row>
    <row r="1080" spans="2:2" x14ac:dyDescent="0.25">
      <c r="B1080">
        <v>0.10205955153638024</v>
      </c>
    </row>
    <row r="1081" spans="2:2" x14ac:dyDescent="0.25">
      <c r="B1081">
        <v>0.12488726073581601</v>
      </c>
    </row>
    <row r="1082" spans="2:2" x14ac:dyDescent="0.25">
      <c r="B1082">
        <v>6.6727525817539157E-2</v>
      </c>
    </row>
    <row r="1083" spans="2:2" x14ac:dyDescent="0.25">
      <c r="B1083">
        <v>5.5676229824592027E-2</v>
      </c>
    </row>
    <row r="1084" spans="2:2" x14ac:dyDescent="0.25">
      <c r="B1084">
        <v>0.14051057579221815</v>
      </c>
    </row>
    <row r="1085" spans="2:2" x14ac:dyDescent="0.25">
      <c r="B1085">
        <v>0.15</v>
      </c>
    </row>
    <row r="1086" spans="2:2" x14ac:dyDescent="0.25">
      <c r="B1086">
        <v>0.15</v>
      </c>
    </row>
    <row r="1087" spans="2:2" x14ac:dyDescent="0.25">
      <c r="B1087">
        <v>1.6061190985186047E-2</v>
      </c>
    </row>
    <row r="1088" spans="2:2" x14ac:dyDescent="0.25">
      <c r="B1088">
        <v>3.1741245393958145E-2</v>
      </c>
    </row>
    <row r="1089" spans="2:2" x14ac:dyDescent="0.25">
      <c r="B1089">
        <v>4.2305055303638844E-2</v>
      </c>
    </row>
    <row r="1090" spans="2:2" x14ac:dyDescent="0.25">
      <c r="B1090">
        <v>0.1085803288811962</v>
      </c>
    </row>
    <row r="1091" spans="2:2" x14ac:dyDescent="0.25">
      <c r="B1091">
        <v>4.4278846461256099E-2</v>
      </c>
    </row>
    <row r="1092" spans="2:2" x14ac:dyDescent="0.25">
      <c r="B1092">
        <v>0.12071453301678248</v>
      </c>
    </row>
    <row r="1093" spans="2:2" x14ac:dyDescent="0.25">
      <c r="B1093">
        <v>0.13184779569989288</v>
      </c>
    </row>
    <row r="1094" spans="2:2" x14ac:dyDescent="0.25">
      <c r="B1094">
        <v>-1.8301664605016393E-2</v>
      </c>
    </row>
    <row r="1095" spans="2:2" x14ac:dyDescent="0.25">
      <c r="B1095">
        <v>6.3225108603601449E-2</v>
      </c>
    </row>
    <row r="1096" spans="2:2" x14ac:dyDescent="0.25">
      <c r="B1096">
        <v>7.0770206903839866E-2</v>
      </c>
    </row>
    <row r="1097" spans="2:2" x14ac:dyDescent="0.25">
      <c r="B1097">
        <v>-1.1466100731661377E-2</v>
      </c>
    </row>
    <row r="1098" spans="2:2" x14ac:dyDescent="0.25">
      <c r="B1098">
        <v>5.8440913522916679E-2</v>
      </c>
    </row>
    <row r="1099" spans="2:2" x14ac:dyDescent="0.25">
      <c r="B1099">
        <v>5.7504741944873497E-2</v>
      </c>
    </row>
    <row r="1100" spans="2:2" x14ac:dyDescent="0.25">
      <c r="B1100">
        <v>0.1354243280555221</v>
      </c>
    </row>
    <row r="1101" spans="2:2" x14ac:dyDescent="0.25">
      <c r="B1101">
        <v>4.8443701890421312E-2</v>
      </c>
    </row>
    <row r="1102" spans="2:2" x14ac:dyDescent="0.25">
      <c r="B1102">
        <v>6.9559467647978324E-2</v>
      </c>
    </row>
    <row r="1103" spans="2:2" x14ac:dyDescent="0.25">
      <c r="B1103">
        <v>0.15</v>
      </c>
    </row>
    <row r="1104" spans="2:2" x14ac:dyDescent="0.25">
      <c r="B1104">
        <v>9.1455456061023926E-2</v>
      </c>
    </row>
    <row r="1105" spans="2:2" x14ac:dyDescent="0.25">
      <c r="B1105">
        <v>7.2492699955447923E-2</v>
      </c>
    </row>
    <row r="1106" spans="2:2" x14ac:dyDescent="0.25">
      <c r="B1106">
        <v>1.536305961471908E-2</v>
      </c>
    </row>
    <row r="1107" spans="2:2" x14ac:dyDescent="0.25">
      <c r="B1107">
        <v>0.14548025157091468</v>
      </c>
    </row>
    <row r="1108" spans="2:2" x14ac:dyDescent="0.25">
      <c r="B1108">
        <v>8.6808803133223242E-2</v>
      </c>
    </row>
    <row r="1109" spans="2:2" x14ac:dyDescent="0.25">
      <c r="B1109">
        <v>0.1471331818034167</v>
      </c>
    </row>
    <row r="1110" spans="2:2" x14ac:dyDescent="0.25">
      <c r="B1110">
        <v>0.15</v>
      </c>
    </row>
    <row r="1111" spans="2:2" x14ac:dyDescent="0.25">
      <c r="B1111">
        <v>8.1136219239985541E-2</v>
      </c>
    </row>
    <row r="1112" spans="2:2" x14ac:dyDescent="0.25">
      <c r="B1112">
        <v>3.0642901040198386E-2</v>
      </c>
    </row>
    <row r="1113" spans="2:2" x14ac:dyDescent="0.25">
      <c r="B1113">
        <v>1.5148339170211564E-2</v>
      </c>
    </row>
    <row r="1114" spans="2:2" x14ac:dyDescent="0.25">
      <c r="B1114">
        <v>7.3642874244694845E-3</v>
      </c>
    </row>
    <row r="1115" spans="2:2" x14ac:dyDescent="0.25">
      <c r="B1115">
        <v>9.0894106001425501E-2</v>
      </c>
    </row>
    <row r="1116" spans="2:2" x14ac:dyDescent="0.25">
      <c r="B1116">
        <v>0.15</v>
      </c>
    </row>
    <row r="1117" spans="2:2" x14ac:dyDescent="0.25">
      <c r="B1117">
        <v>0.15</v>
      </c>
    </row>
    <row r="1118" spans="2:2" x14ac:dyDescent="0.25">
      <c r="B1118">
        <v>0.1011975089192423</v>
      </c>
    </row>
    <row r="1119" spans="2:2" x14ac:dyDescent="0.25">
      <c r="B1119">
        <v>5.2330774151736106E-2</v>
      </c>
    </row>
    <row r="1120" spans="2:2" x14ac:dyDescent="0.25">
      <c r="B1120">
        <v>1.531977915114438E-2</v>
      </c>
    </row>
    <row r="1121" spans="2:2" x14ac:dyDescent="0.25">
      <c r="B1121">
        <v>2.8708339971781446E-2</v>
      </c>
    </row>
    <row r="1122" spans="2:2" x14ac:dyDescent="0.25">
      <c r="B1122">
        <v>0.11477231946434349</v>
      </c>
    </row>
    <row r="1123" spans="2:2" x14ac:dyDescent="0.25">
      <c r="B1123">
        <v>6.6264946067834438E-2</v>
      </c>
    </row>
    <row r="1124" spans="2:2" x14ac:dyDescent="0.25">
      <c r="B1124">
        <v>0.12660142060971882</v>
      </c>
    </row>
    <row r="1125" spans="2:2" x14ac:dyDescent="0.25">
      <c r="B1125">
        <v>8.8167460596821179E-2</v>
      </c>
    </row>
    <row r="1126" spans="2:2" x14ac:dyDescent="0.25">
      <c r="B1126">
        <v>7.8149893846072016E-2</v>
      </c>
    </row>
    <row r="1127" spans="2:2" x14ac:dyDescent="0.25">
      <c r="B1127">
        <v>0.15</v>
      </c>
    </row>
    <row r="1128" spans="2:2" x14ac:dyDescent="0.25">
      <c r="B1128">
        <v>2.449959668616189E-2</v>
      </c>
    </row>
    <row r="1129" spans="2:2" x14ac:dyDescent="0.25">
      <c r="B1129">
        <v>7.2341842492064309E-2</v>
      </c>
    </row>
    <row r="1130" spans="2:2" x14ac:dyDescent="0.25">
      <c r="B1130">
        <v>4.0153966897932367E-2</v>
      </c>
    </row>
    <row r="1131" spans="2:2" x14ac:dyDescent="0.25">
      <c r="B1131">
        <v>0.1458256446714771</v>
      </c>
    </row>
    <row r="1132" spans="2:2" x14ac:dyDescent="0.25">
      <c r="B1132">
        <v>7.2406933742126534E-2</v>
      </c>
    </row>
    <row r="1133" spans="2:2" x14ac:dyDescent="0.25">
      <c r="B1133">
        <v>2.2590764142323153E-2</v>
      </c>
    </row>
    <row r="1134" spans="2:2" x14ac:dyDescent="0.25">
      <c r="B1134">
        <v>0.11131110494889246</v>
      </c>
    </row>
    <row r="1135" spans="2:2" x14ac:dyDescent="0.25">
      <c r="B1135">
        <v>0.11405432439310263</v>
      </c>
    </row>
    <row r="1136" spans="2:2" x14ac:dyDescent="0.25">
      <c r="B1136">
        <v>5.8603983678265775E-2</v>
      </c>
    </row>
    <row r="1137" spans="2:2" x14ac:dyDescent="0.25">
      <c r="B1137">
        <v>0.11943218301691871</v>
      </c>
    </row>
    <row r="1138" spans="2:2" x14ac:dyDescent="0.25">
      <c r="B1138">
        <v>1.7397871721907904E-2</v>
      </c>
    </row>
    <row r="1139" spans="2:2" x14ac:dyDescent="0.25">
      <c r="B1139">
        <v>9.0818183211076597E-3</v>
      </c>
    </row>
    <row r="1140" spans="2:2" x14ac:dyDescent="0.25">
      <c r="B1140">
        <v>0.12517945474719425</v>
      </c>
    </row>
    <row r="1141" spans="2:2" x14ac:dyDescent="0.25">
      <c r="B1141">
        <v>8.5650244574553919E-2</v>
      </c>
    </row>
    <row r="1142" spans="2:2" x14ac:dyDescent="0.25">
      <c r="B1142">
        <v>7.2537052421901005E-2</v>
      </c>
    </row>
    <row r="1143" spans="2:2" x14ac:dyDescent="0.25">
      <c r="B1143">
        <v>0.13069281285131085</v>
      </c>
    </row>
    <row r="1144" spans="2:2" x14ac:dyDescent="0.25">
      <c r="B1144">
        <v>-5.6254084464942428E-3</v>
      </c>
    </row>
    <row r="1145" spans="2:2" x14ac:dyDescent="0.25">
      <c r="B1145">
        <v>8.2648557788605012E-2</v>
      </c>
    </row>
    <row r="1146" spans="2:2" x14ac:dyDescent="0.25">
      <c r="B1146">
        <v>3.7856150035038033E-2</v>
      </c>
    </row>
    <row r="1147" spans="2:2" x14ac:dyDescent="0.25">
      <c r="B1147">
        <v>0.11135482945193009</v>
      </c>
    </row>
    <row r="1148" spans="2:2" x14ac:dyDescent="0.25">
      <c r="B1148">
        <v>2.4057216247123758E-2</v>
      </c>
    </row>
    <row r="1149" spans="2:2" x14ac:dyDescent="0.25">
      <c r="B1149">
        <v>0.10450925694015106</v>
      </c>
    </row>
    <row r="1150" spans="2:2" x14ac:dyDescent="0.25">
      <c r="B1150">
        <v>0.11850237908739415</v>
      </c>
    </row>
    <row r="1151" spans="2:2" x14ac:dyDescent="0.25">
      <c r="B1151">
        <v>4.5479164554816313E-2</v>
      </c>
    </row>
    <row r="1152" spans="2:2" x14ac:dyDescent="0.25">
      <c r="B1152">
        <v>0.15</v>
      </c>
    </row>
    <row r="1153" spans="2:2" x14ac:dyDescent="0.25">
      <c r="B1153">
        <v>0.11045602777870428</v>
      </c>
    </row>
    <row r="1154" spans="2:2" x14ac:dyDescent="0.25">
      <c r="B1154">
        <v>0.15</v>
      </c>
    </row>
    <row r="1155" spans="2:2" x14ac:dyDescent="0.25">
      <c r="B1155">
        <v>7.3831288750157542E-2</v>
      </c>
    </row>
    <row r="1156" spans="2:2" x14ac:dyDescent="0.25">
      <c r="B1156">
        <v>6.8850437027762154E-2</v>
      </c>
    </row>
    <row r="1157" spans="2:2" x14ac:dyDescent="0.25">
      <c r="B1157">
        <v>0.15</v>
      </c>
    </row>
    <row r="1158" spans="2:2" x14ac:dyDescent="0.25">
      <c r="B1158">
        <v>6.792037616322745E-2</v>
      </c>
    </row>
    <row r="1159" spans="2:2" x14ac:dyDescent="0.25">
      <c r="B1159">
        <v>7.1481380406396969E-2</v>
      </c>
    </row>
    <row r="1160" spans="2:2" x14ac:dyDescent="0.25">
      <c r="B1160">
        <v>4.265239481125116E-3</v>
      </c>
    </row>
    <row r="1161" spans="2:2" x14ac:dyDescent="0.25">
      <c r="B1161">
        <v>7.0443637790631994E-2</v>
      </c>
    </row>
    <row r="1162" spans="2:2" x14ac:dyDescent="0.25">
      <c r="B1162">
        <v>0.12692840876408995</v>
      </c>
    </row>
    <row r="1163" spans="2:2" x14ac:dyDescent="0.25">
      <c r="B1163">
        <v>3.6692167537204098E-2</v>
      </c>
    </row>
    <row r="1164" spans="2:2" x14ac:dyDescent="0.25">
      <c r="B1164">
        <v>9.2463420675405403E-2</v>
      </c>
    </row>
    <row r="1165" spans="2:2" x14ac:dyDescent="0.25">
      <c r="B1165">
        <v>4.261986079951148E-2</v>
      </c>
    </row>
    <row r="1166" spans="2:2" x14ac:dyDescent="0.25">
      <c r="B1166">
        <v>0.12811013156163498</v>
      </c>
    </row>
    <row r="1167" spans="2:2" x14ac:dyDescent="0.25">
      <c r="B1167">
        <v>3.8111218744160166E-2</v>
      </c>
    </row>
    <row r="1168" spans="2:2" x14ac:dyDescent="0.25">
      <c r="B1168">
        <v>0.15</v>
      </c>
    </row>
    <row r="1169" spans="2:2" x14ac:dyDescent="0.25">
      <c r="B1169">
        <v>9.4455703615789838E-2</v>
      </c>
    </row>
    <row r="1170" spans="2:2" x14ac:dyDescent="0.25">
      <c r="B1170">
        <v>0.11093968786617517</v>
      </c>
    </row>
  </sheetData>
  <mergeCells count="38">
    <mergeCell ref="Z113:AA113"/>
    <mergeCell ref="V127:Y127"/>
    <mergeCell ref="T100:U104"/>
    <mergeCell ref="U43:V43"/>
    <mergeCell ref="AC93:AC94"/>
    <mergeCell ref="U89:V89"/>
    <mergeCell ref="AC111:AC112"/>
    <mergeCell ref="W100:X101"/>
    <mergeCell ref="W103:X104"/>
    <mergeCell ref="AA100:AC104"/>
    <mergeCell ref="Z91:AA91"/>
    <mergeCell ref="Z95:AA95"/>
    <mergeCell ref="Z109:AA109"/>
    <mergeCell ref="I86:N88"/>
    <mergeCell ref="M89:M104"/>
    <mergeCell ref="M107:M122"/>
    <mergeCell ref="R127:U127"/>
    <mergeCell ref="C64:D64"/>
    <mergeCell ref="E64:F64"/>
    <mergeCell ref="P64:Q64"/>
    <mergeCell ref="R64:S64"/>
    <mergeCell ref="A63:G63"/>
    <mergeCell ref="N63:T63"/>
    <mergeCell ref="I63:L65"/>
    <mergeCell ref="A4:K4"/>
    <mergeCell ref="N4:X4"/>
    <mergeCell ref="H37:I37"/>
    <mergeCell ref="I3:P3"/>
    <mergeCell ref="A27:F27"/>
    <mergeCell ref="N27:S27"/>
    <mergeCell ref="H25:L27"/>
    <mergeCell ref="H36:I36"/>
    <mergeCell ref="H34:I34"/>
    <mergeCell ref="H35:I35"/>
    <mergeCell ref="H30:I30"/>
    <mergeCell ref="H31:I31"/>
    <mergeCell ref="H32:I32"/>
    <mergeCell ref="H33:I33"/>
  </mergeCells>
  <conditionalFormatting sqref="A129:Q143">
    <cfRule type="colorScale" priority="2">
      <colorScale>
        <cfvo type="min"/>
        <cfvo type="percentile" val="50"/>
        <cfvo type="max"/>
        <color theme="0"/>
        <color theme="2"/>
        <color rgb="FF0070C0"/>
      </colorScale>
    </cfRule>
  </conditionalFormatting>
  <conditionalFormatting sqref="C144:Q158">
    <cfRule type="colorScale" priority="1">
      <colorScale>
        <cfvo type="min"/>
        <cfvo type="percentile" val="50"/>
        <cfvo type="max"/>
        <color theme="0"/>
        <color theme="2"/>
        <color rgb="FFC0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ing">
                <anchor moveWithCells="1" sizeWithCells="1">
                  <from>
                    <xdr:col>6</xdr:col>
                    <xdr:colOff>28575</xdr:colOff>
                    <xdr:row>0</xdr:row>
                    <xdr:rowOff>171450</xdr:rowOff>
                  </from>
                  <to>
                    <xdr:col>7</xdr:col>
                    <xdr:colOff>514350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argeSim">
                <anchor moveWithCells="1" sizeWithCells="1">
                  <from>
                    <xdr:col>7</xdr:col>
                    <xdr:colOff>257175</xdr:colOff>
                    <xdr:row>88</xdr:row>
                    <xdr:rowOff>276225</xdr:rowOff>
                  </from>
                  <to>
                    <xdr:col>9</xdr:col>
                    <xdr:colOff>180975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olverButton">
                <anchor moveWithCells="1" sizeWithCells="1">
                  <from>
                    <xdr:col>8</xdr:col>
                    <xdr:colOff>152400</xdr:colOff>
                    <xdr:row>0</xdr:row>
                    <xdr:rowOff>152400</xdr:rowOff>
                  </from>
                  <to>
                    <xdr:col>10</xdr:col>
                    <xdr:colOff>57150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8F0F3-2A88-40E8-8AEC-8E5271FBC089}">
  <sheetPr codeName="Sheet4"/>
  <dimension ref="A1:T64"/>
  <sheetViews>
    <sheetView topLeftCell="A37" workbookViewId="0">
      <selection activeCell="E4" sqref="E4"/>
    </sheetView>
  </sheetViews>
  <sheetFormatPr defaultRowHeight="15" x14ac:dyDescent="0.25"/>
  <cols>
    <col min="7" max="7" width="12" bestFit="1" customWidth="1"/>
    <col min="10" max="12" width="5.7109375" customWidth="1"/>
    <col min="13" max="13" width="10.140625" customWidth="1"/>
    <col min="14" max="14" width="5.7109375" customWidth="1"/>
    <col min="15" max="15" width="6.7109375" customWidth="1"/>
    <col min="16" max="40" width="5.7109375" customWidth="1"/>
  </cols>
  <sheetData>
    <row r="1" spans="1:20" x14ac:dyDescent="0.25">
      <c r="B1" t="s">
        <v>3</v>
      </c>
      <c r="C1" t="s">
        <v>5</v>
      </c>
      <c r="D1" t="s">
        <v>6</v>
      </c>
      <c r="E1" t="s">
        <v>50</v>
      </c>
      <c r="F1" t="s">
        <v>51</v>
      </c>
      <c r="G1" t="s">
        <v>52</v>
      </c>
      <c r="N1" t="s">
        <v>49</v>
      </c>
    </row>
    <row r="2" spans="1:20" x14ac:dyDescent="0.25">
      <c r="A2" t="str">
        <f>Eastern_Conference[[#This Row],[Teams]]</f>
        <v>Philadelphia 76ers </v>
      </c>
      <c r="B2" s="2">
        <f>Eastern_Conference[[#This Row],[WIN PCT]]</f>
        <v>0.66700000000000004</v>
      </c>
      <c r="C2" s="2">
        <f>Eastern_Conference[[#This Row],[PPG]]</f>
        <v>114.7</v>
      </c>
      <c r="D2" s="2">
        <f>Eastern_Conference[[#This Row],[PAPG]]</f>
        <v>111.2</v>
      </c>
      <c r="E2" s="3">
        <f t="shared" ref="E2:E31" si="0">C2-D2</f>
        <v>3.5</v>
      </c>
      <c r="F2">
        <f t="shared" ref="F2:F31" si="1">(C2^$J$2)/((C2^$J$2)+(D2^$J$2))</f>
        <v>0.62441404029454339</v>
      </c>
      <c r="G2" s="4">
        <f>B2-F2</f>
        <v>4.2585959705456644E-2</v>
      </c>
      <c r="H2">
        <f>VLOOKUP(A2,Eastern_Conference[],8,FALSE)</f>
        <v>3.21</v>
      </c>
      <c r="I2" t="s">
        <v>49</v>
      </c>
      <c r="J2">
        <f>AVERAGE(C2:D31)/'Historical Luck'!$C$37</f>
        <v>16.403103448461867</v>
      </c>
      <c r="L2" t="s">
        <v>122</v>
      </c>
      <c r="N2">
        <v>12.486536282583339</v>
      </c>
    </row>
    <row r="3" spans="1:20" x14ac:dyDescent="0.25">
      <c r="A3" t="str">
        <f>Eastern_Conference[[#This Row],[Teams]]</f>
        <v>Brooklyn Nets </v>
      </c>
      <c r="B3" s="2">
        <f>Eastern_Conference[[#This Row],[WIN PCT]]</f>
        <v>0.64900000000000002</v>
      </c>
      <c r="C3" s="2">
        <f>Eastern_Conference[[#This Row],[PPG]]</f>
        <v>121.1</v>
      </c>
      <c r="D3" s="2">
        <f>Eastern_Conference[[#This Row],[PAPG]]</f>
        <v>116.1</v>
      </c>
      <c r="E3" s="3">
        <f t="shared" si="0"/>
        <v>5</v>
      </c>
      <c r="F3">
        <f t="shared" si="1"/>
        <v>0.66633008623887702</v>
      </c>
      <c r="G3" s="4">
        <f t="shared" ref="G3:G31" si="2">B3-F3</f>
        <v>-1.7330086238876996E-2</v>
      </c>
      <c r="H3">
        <f>VLOOKUP(A3,Eastern_Conference[],8,FALSE)</f>
        <v>4.6500000000000004</v>
      </c>
      <c r="J3">
        <f>SUM(G2:G31)</f>
        <v>7.9880725867470248E-3</v>
      </c>
      <c r="L3">
        <f>RSQ(F2:F31,B2:B31)</f>
        <v>0.81666929126591015</v>
      </c>
      <c r="N3">
        <v>10.741113493286518</v>
      </c>
      <c r="R3" s="112"/>
      <c r="S3" s="112"/>
      <c r="T3" s="112"/>
    </row>
    <row r="4" spans="1:20" x14ac:dyDescent="0.25">
      <c r="A4" t="str">
        <f>Eastern_Conference[[#This Row],[Teams]]</f>
        <v>Milwaukee Bucks </v>
      </c>
      <c r="B4" s="2">
        <f>Eastern_Conference[[#This Row],[WIN PCT]]</f>
        <v>0.61099999999999999</v>
      </c>
      <c r="C4" s="2">
        <f>Eastern_Conference[[#This Row],[PPG]]</f>
        <v>118.8</v>
      </c>
      <c r="D4" s="2">
        <f>Eastern_Conference[[#This Row],[PAPG]]</f>
        <v>112.5</v>
      </c>
      <c r="E4" s="3">
        <f t="shared" si="0"/>
        <v>6.2999999999999972</v>
      </c>
      <c r="F4">
        <f t="shared" si="1"/>
        <v>0.70966865533751955</v>
      </c>
      <c r="G4" s="4">
        <f t="shared" si="2"/>
        <v>-9.8668655337519562E-2</v>
      </c>
      <c r="H4">
        <f>VLOOKUP(A4,Eastern_Conference[],8,FALSE)</f>
        <v>6.07</v>
      </c>
      <c r="J4" s="4">
        <f>AVERAGE(G2:G31)</f>
        <v>2.6626908622490083E-4</v>
      </c>
      <c r="N4">
        <v>8.9260007835861508</v>
      </c>
    </row>
    <row r="5" spans="1:20" x14ac:dyDescent="0.25">
      <c r="A5" t="str">
        <f>Eastern_Conference[[#This Row],[Teams]]</f>
        <v>Boston Celtics </v>
      </c>
      <c r="B5" s="2">
        <f>Eastern_Conference[[#This Row],[WIN PCT]]</f>
        <v>0.52800000000000002</v>
      </c>
      <c r="C5" s="2">
        <f>Eastern_Conference[[#This Row],[PPG]]</f>
        <v>111.7</v>
      </c>
      <c r="D5" s="2">
        <f>Eastern_Conference[[#This Row],[PAPG]]</f>
        <v>110.8</v>
      </c>
      <c r="E5" s="3">
        <f t="shared" si="0"/>
        <v>0.90000000000000568</v>
      </c>
      <c r="F5">
        <f t="shared" si="1"/>
        <v>0.53312640013331192</v>
      </c>
      <c r="G5" s="4">
        <f t="shared" si="2"/>
        <v>-5.1264001333118925E-3</v>
      </c>
      <c r="H5">
        <f>VLOOKUP(A5,Eastern_Conference[],8,FALSE)</f>
        <v>1.33</v>
      </c>
      <c r="J5" t="s">
        <v>49</v>
      </c>
      <c r="K5">
        <f>J3</f>
        <v>7.9880725867470248E-3</v>
      </c>
    </row>
    <row r="6" spans="1:20" x14ac:dyDescent="0.25">
      <c r="A6" t="str">
        <f>Eastern_Conference[[#This Row],[Teams]]</f>
        <v>New York Knicks </v>
      </c>
      <c r="B6" s="2">
        <f>Eastern_Conference[[#This Row],[WIN PCT]]</f>
        <v>0.51400000000000001</v>
      </c>
      <c r="C6" s="2">
        <f>Eastern_Conference[[#This Row],[PPG]]</f>
        <v>104.9</v>
      </c>
      <c r="D6" s="2">
        <f>Eastern_Conference[[#This Row],[PAPG]]</f>
        <v>104.4</v>
      </c>
      <c r="E6" s="3">
        <f t="shared" si="0"/>
        <v>0.5</v>
      </c>
      <c r="F6">
        <f t="shared" si="1"/>
        <v>0.51958282851140414</v>
      </c>
      <c r="G6" s="4">
        <f t="shared" si="2"/>
        <v>-5.5828285114041254E-3</v>
      </c>
      <c r="H6">
        <f>VLOOKUP(A6,Eastern_Conference[],8,FALSE)</f>
        <v>-0.45</v>
      </c>
      <c r="J6">
        <v>1</v>
      </c>
      <c r="K6">
        <f t="dataTable" ref="K6:K21" dt2D="0" dtr="0" r1="J2"/>
        <v>-1.2319116772140648E-2</v>
      </c>
    </row>
    <row r="7" spans="1:20" x14ac:dyDescent="0.25">
      <c r="A7" t="str">
        <f>Eastern_Conference[[#This Row],[Teams]]</f>
        <v>Miami Heat </v>
      </c>
      <c r="B7" s="2">
        <f>Eastern_Conference[[#This Row],[WIN PCT]]</f>
        <v>0.5</v>
      </c>
      <c r="C7" s="2">
        <f>Eastern_Conference[[#This Row],[PPG]]</f>
        <v>106.8</v>
      </c>
      <c r="D7" s="2">
        <f>Eastern_Conference[[#This Row],[PAPG]]</f>
        <v>108.4</v>
      </c>
      <c r="E7" s="3">
        <f t="shared" si="0"/>
        <v>-1.6000000000000085</v>
      </c>
      <c r="F7">
        <f t="shared" si="1"/>
        <v>0.43932134056828853</v>
      </c>
      <c r="G7" s="4">
        <f t="shared" si="2"/>
        <v>6.0678659431711468E-2</v>
      </c>
      <c r="H7">
        <f>VLOOKUP(A7,Eastern_Conference[],8,FALSE)</f>
        <v>-1.05</v>
      </c>
      <c r="J7">
        <v>2</v>
      </c>
      <c r="K7">
        <v>-9.6720846455009002E-3</v>
      </c>
      <c r="O7" s="81"/>
    </row>
    <row r="8" spans="1:20" x14ac:dyDescent="0.25">
      <c r="A8" t="str">
        <f>Eastern_Conference[[#This Row],[Teams]]</f>
        <v>Charlotte Hornets </v>
      </c>
      <c r="B8" s="2">
        <f>Eastern_Conference[[#This Row],[WIN PCT]]</f>
        <v>0.48599999999999999</v>
      </c>
      <c r="C8" s="2">
        <f>Eastern_Conference[[#This Row],[PPG]]</f>
        <v>112.7</v>
      </c>
      <c r="D8" s="2">
        <f>Eastern_Conference[[#This Row],[PAPG]]</f>
        <v>113.2</v>
      </c>
      <c r="E8" s="3">
        <f t="shared" si="0"/>
        <v>-0.5</v>
      </c>
      <c r="F8">
        <f t="shared" si="1"/>
        <v>0.48185488398163456</v>
      </c>
      <c r="G8" s="4">
        <f t="shared" si="2"/>
        <v>4.1451160183654245E-3</v>
      </c>
      <c r="H8">
        <f>VLOOKUP(A8,Eastern_Conference[],8,FALSE)</f>
        <v>-0.7</v>
      </c>
      <c r="J8">
        <v>3</v>
      </c>
      <c r="K8">
        <v>-7.0922964860289373E-3</v>
      </c>
    </row>
    <row r="9" spans="1:20" x14ac:dyDescent="0.25">
      <c r="A9" t="str">
        <f>Eastern_Conference[[#This Row],[Teams]]</f>
        <v>Toronto Raptors </v>
      </c>
      <c r="B9" s="2">
        <f>Eastern_Conference[[#This Row],[WIN PCT]]</f>
        <v>0.47199999999999998</v>
      </c>
      <c r="C9" s="2">
        <f>Eastern_Conference[[#This Row],[PPG]]</f>
        <v>113</v>
      </c>
      <c r="D9" s="2">
        <f>Eastern_Conference[[#This Row],[PAPG]]</f>
        <v>111.6</v>
      </c>
      <c r="E9" s="3">
        <f t="shared" si="0"/>
        <v>1.4000000000000057</v>
      </c>
      <c r="F9">
        <f t="shared" si="1"/>
        <v>0.55094601107712182</v>
      </c>
      <c r="G9" s="4">
        <f t="shared" si="2"/>
        <v>-7.8946011077121847E-2</v>
      </c>
      <c r="H9">
        <f>VLOOKUP(A9,Eastern_Conference[],8,FALSE)</f>
        <v>1</v>
      </c>
      <c r="J9">
        <v>4</v>
      </c>
      <c r="K9">
        <v>-4.6122408209745003E-3</v>
      </c>
    </row>
    <row r="10" spans="1:20" x14ac:dyDescent="0.25">
      <c r="A10" t="str">
        <f>Eastern_Conference[[#This Row],[Teams]]</f>
        <v>Chicago Bulls </v>
      </c>
      <c r="B10" s="2">
        <f>Eastern_Conference[[#This Row],[WIN PCT]]</f>
        <v>0.47099999999999997</v>
      </c>
      <c r="C10" s="2">
        <f>Eastern_Conference[[#This Row],[PPG]]</f>
        <v>115</v>
      </c>
      <c r="D10" s="2">
        <f>Eastern_Conference[[#This Row],[PAPG]]</f>
        <v>115.2</v>
      </c>
      <c r="E10" s="3">
        <f t="shared" si="0"/>
        <v>-0.20000000000000284</v>
      </c>
      <c r="F10">
        <f t="shared" si="1"/>
        <v>0.4928748926165491</v>
      </c>
      <c r="G10" s="4">
        <f t="shared" si="2"/>
        <v>-2.1874892616549124E-2</v>
      </c>
      <c r="H10">
        <f>VLOOKUP(A10,Eastern_Conference[],8,FALSE)</f>
        <v>-0.95</v>
      </c>
      <c r="J10">
        <v>5</v>
      </c>
      <c r="K10">
        <v>-2.2630794543565536E-3</v>
      </c>
    </row>
    <row r="11" spans="1:20" x14ac:dyDescent="0.25">
      <c r="A11" t="str">
        <f>Eastern_Conference[[#This Row],[Teams]]</f>
        <v>Indiana Pacers </v>
      </c>
      <c r="B11" s="2">
        <f>Eastern_Conference[[#This Row],[WIN PCT]]</f>
        <v>0.45700000000000002</v>
      </c>
      <c r="C11" s="2">
        <f>Eastern_Conference[[#This Row],[PPG]]</f>
        <v>112.8</v>
      </c>
      <c r="D11" s="2">
        <f>Eastern_Conference[[#This Row],[PAPG]]</f>
        <v>112.5</v>
      </c>
      <c r="E11" s="3">
        <f t="shared" si="0"/>
        <v>0.29999999999999716</v>
      </c>
      <c r="F11">
        <f t="shared" si="1"/>
        <v>0.51091911133120493</v>
      </c>
      <c r="G11" s="4">
        <f t="shared" si="2"/>
        <v>-5.3919111331204916E-2</v>
      </c>
      <c r="H11">
        <f>VLOOKUP(A11,Eastern_Conference[],8,FALSE)</f>
        <v>0.35</v>
      </c>
      <c r="J11">
        <v>6</v>
      </c>
      <c r="K11">
        <v>-7.4259336523718744E-5</v>
      </c>
    </row>
    <row r="12" spans="1:20" x14ac:dyDescent="0.25">
      <c r="A12" t="str">
        <f>Eastern_Conference[[#This Row],[Teams]]</f>
        <v>Atlanta Hawks </v>
      </c>
      <c r="B12" s="2">
        <f>Eastern_Conference[[#This Row],[WIN PCT]]</f>
        <v>0.44400000000000001</v>
      </c>
      <c r="C12" s="2">
        <f>Eastern_Conference[[#This Row],[PPG]]</f>
        <v>112.6</v>
      </c>
      <c r="D12" s="2">
        <f>Eastern_Conference[[#This Row],[PAPG]]</f>
        <v>112.2</v>
      </c>
      <c r="E12" s="3">
        <f t="shared" si="0"/>
        <v>0.39999999999999147</v>
      </c>
      <c r="F12">
        <f t="shared" si="1"/>
        <v>0.51458938122407183</v>
      </c>
      <c r="G12" s="4">
        <f t="shared" si="2"/>
        <v>-7.0589381224071823E-2</v>
      </c>
      <c r="H12">
        <f>VLOOKUP(A12,Eastern_Conference[],8,FALSE)</f>
        <v>0.51</v>
      </c>
      <c r="J12">
        <v>7</v>
      </c>
      <c r="K12">
        <v>1.9268322642512214E-3</v>
      </c>
    </row>
    <row r="13" spans="1:20" x14ac:dyDescent="0.25">
      <c r="A13" t="str">
        <f>Eastern_Conference[[#This Row],[Teams]]</f>
        <v>Washington Wizards </v>
      </c>
      <c r="B13" s="2">
        <f>Eastern_Conference[[#This Row],[WIN PCT]]</f>
        <v>0.4</v>
      </c>
      <c r="C13" s="2">
        <f>Eastern_Conference[[#This Row],[PPG]]</f>
        <v>114.7</v>
      </c>
      <c r="D13" s="2">
        <f>Eastern_Conference[[#This Row],[PAPG]]</f>
        <v>119.4</v>
      </c>
      <c r="E13" s="3">
        <f t="shared" si="0"/>
        <v>-4.7000000000000028</v>
      </c>
      <c r="F13">
        <f t="shared" si="1"/>
        <v>0.34102380384710623</v>
      </c>
      <c r="G13" s="4">
        <f t="shared" si="2"/>
        <v>5.8976196152893789E-2</v>
      </c>
      <c r="H13">
        <f>VLOOKUP(A13,Eastern_Conference[],8,FALSE)</f>
        <v>-4.6500000000000004</v>
      </c>
      <c r="J13">
        <v>8</v>
      </c>
      <c r="K13">
        <v>3.715162064238331E-3</v>
      </c>
    </row>
    <row r="14" spans="1:20" x14ac:dyDescent="0.25">
      <c r="A14" t="str">
        <f>Eastern_Conference[[#This Row],[Teams]]</f>
        <v>Cleveland Cavaliers </v>
      </c>
      <c r="B14" s="2">
        <f>Eastern_Conference[[#This Row],[WIN PCT]]</f>
        <v>0.38900000000000001</v>
      </c>
      <c r="C14" s="2">
        <f>Eastern_Conference[[#This Row],[PPG]]</f>
        <v>104.6</v>
      </c>
      <c r="D14" s="2">
        <f>Eastern_Conference[[#This Row],[PAPG]]</f>
        <v>112.1</v>
      </c>
      <c r="E14" s="3">
        <f t="shared" si="0"/>
        <v>-7.5</v>
      </c>
      <c r="F14">
        <f t="shared" si="1"/>
        <v>0.24307788167224093</v>
      </c>
      <c r="G14" s="4">
        <f t="shared" si="2"/>
        <v>0.14592211832775909</v>
      </c>
      <c r="H14">
        <f>VLOOKUP(A14,Eastern_Conference[],8,FALSE)</f>
        <v>-6.84</v>
      </c>
      <c r="J14">
        <v>9</v>
      </c>
      <c r="K14">
        <v>5.2682893613549275E-3</v>
      </c>
    </row>
    <row r="15" spans="1:20" x14ac:dyDescent="0.25">
      <c r="A15" t="str">
        <f>Eastern_Conference[[#This Row],[Teams]]</f>
        <v>Orlando Magic </v>
      </c>
      <c r="B15" s="2">
        <f>Eastern_Conference[[#This Row],[WIN PCT]]</f>
        <v>0.36099999999999999</v>
      </c>
      <c r="C15" s="2">
        <f>Eastern_Conference[[#This Row],[PPG]]</f>
        <v>105.6</v>
      </c>
      <c r="D15" s="2">
        <f>Eastern_Conference[[#This Row],[PAPG]]</f>
        <v>112.2</v>
      </c>
      <c r="E15" s="3">
        <f t="shared" si="0"/>
        <v>-6.6000000000000085</v>
      </c>
      <c r="F15">
        <f t="shared" si="1"/>
        <v>0.27003757520772437</v>
      </c>
      <c r="G15" s="4">
        <f t="shared" si="2"/>
        <v>9.096242479227562E-2</v>
      </c>
      <c r="H15">
        <f>VLOOKUP(A15,Eastern_Conference[],8,FALSE)</f>
        <v>-7.22</v>
      </c>
      <c r="J15">
        <v>10</v>
      </c>
      <c r="K15">
        <v>6.5665458888953809E-3</v>
      </c>
    </row>
    <row r="16" spans="1:20" x14ac:dyDescent="0.25">
      <c r="A16" t="str">
        <f>Eastern_Conference[[#This Row],[Teams]]</f>
        <v>Detroit Pistons </v>
      </c>
      <c r="B16" s="2">
        <f>Eastern_Conference[[#This Row],[WIN PCT]]</f>
        <v>0.27800000000000002</v>
      </c>
      <c r="C16" s="2">
        <f>Eastern_Conference[[#This Row],[PPG]]</f>
        <v>108</v>
      </c>
      <c r="D16" s="2">
        <f>Eastern_Conference[[#This Row],[PAPG]]</f>
        <v>111.9</v>
      </c>
      <c r="E16" s="3">
        <f t="shared" si="0"/>
        <v>-3.9000000000000057</v>
      </c>
      <c r="F16">
        <f t="shared" si="1"/>
        <v>0.35849780709715673</v>
      </c>
      <c r="G16" s="4">
        <f t="shared" si="2"/>
        <v>-8.0497807097156704E-2</v>
      </c>
      <c r="H16">
        <f>VLOOKUP(A16,Eastern_Conference[],8,FALSE)</f>
        <v>-3.15</v>
      </c>
      <c r="J16">
        <v>11</v>
      </c>
      <c r="K16">
        <v>7.5931560058018488E-3</v>
      </c>
    </row>
    <row r="17" spans="1:15" x14ac:dyDescent="0.25">
      <c r="A17" t="str">
        <f>West!B2</f>
        <v>Utah Jazz </v>
      </c>
      <c r="B17" s="2">
        <f>West!E2</f>
        <v>0.75</v>
      </c>
      <c r="C17" s="2">
        <f>West!G2</f>
        <v>116.6</v>
      </c>
      <c r="D17" s="2">
        <f>West!H2</f>
        <v>107.8</v>
      </c>
      <c r="E17" s="3">
        <f t="shared" si="0"/>
        <v>8.7999999999999972</v>
      </c>
      <c r="F17">
        <f t="shared" si="1"/>
        <v>0.78366915778063162</v>
      </c>
      <c r="G17" s="4">
        <f t="shared" si="2"/>
        <v>-3.366915778063162E-2</v>
      </c>
      <c r="H17">
        <f>VLOOKUP(A17,Western_Conference[],8,FALSE)</f>
        <v>9.49</v>
      </c>
      <c r="J17">
        <v>12</v>
      </c>
      <c r="K17">
        <v>8.3342982896618123E-3</v>
      </c>
    </row>
    <row r="18" spans="1:15" x14ac:dyDescent="0.25">
      <c r="A18" t="str">
        <f>West!B3</f>
        <v>Phoenix Suns </v>
      </c>
      <c r="B18" s="2">
        <f>West!E3</f>
        <v>0.68600000000000005</v>
      </c>
      <c r="C18" s="2">
        <f>West!G3</f>
        <v>113.6</v>
      </c>
      <c r="D18" s="2">
        <f>West!H3</f>
        <v>107.1</v>
      </c>
      <c r="E18" s="3">
        <f t="shared" si="0"/>
        <v>6.5</v>
      </c>
      <c r="F18">
        <f t="shared" si="1"/>
        <v>0.72441723754756948</v>
      </c>
      <c r="G18" s="4">
        <f t="shared" si="2"/>
        <v>-3.8417237547569427E-2</v>
      </c>
      <c r="H18">
        <f>VLOOKUP(A18,Western_Conference[],8,FALSE)</f>
        <v>6.51</v>
      </c>
      <c r="J18">
        <v>13</v>
      </c>
      <c r="K18">
        <v>8.7791113641834673E-3</v>
      </c>
    </row>
    <row r="19" spans="1:15" x14ac:dyDescent="0.25">
      <c r="A19" t="str">
        <f>West!B4</f>
        <v>Los Angeles Lakers </v>
      </c>
      <c r="B19" s="2">
        <f>West!E4</f>
        <v>0.64900000000000002</v>
      </c>
      <c r="C19" s="2">
        <f>West!G4</f>
        <v>111.4</v>
      </c>
      <c r="D19" s="2">
        <f>West!H4</f>
        <v>106.3</v>
      </c>
      <c r="E19" s="3">
        <f t="shared" si="0"/>
        <v>5.1000000000000085</v>
      </c>
      <c r="F19">
        <f t="shared" si="1"/>
        <v>0.68323591514862614</v>
      </c>
      <c r="G19" s="4">
        <f t="shared" si="2"/>
        <v>-3.4235915148626117E-2</v>
      </c>
      <c r="H19">
        <f>VLOOKUP(A19,Western_Conference[],8,FALSE)</f>
        <v>4.47</v>
      </c>
      <c r="J19">
        <v>14</v>
      </c>
      <c r="K19">
        <v>8.9196482725975024E-3</v>
      </c>
    </row>
    <row r="20" spans="1:15" x14ac:dyDescent="0.25">
      <c r="A20" t="str">
        <f>West!B5</f>
        <v>Los Angeles Clippers </v>
      </c>
      <c r="B20" s="2">
        <f>West!E5</f>
        <v>0.63200000000000001</v>
      </c>
      <c r="C20" s="2">
        <f>West!G5</f>
        <v>114.8</v>
      </c>
      <c r="D20" s="2">
        <f>West!H5</f>
        <v>109.4</v>
      </c>
      <c r="E20" s="3">
        <f t="shared" si="0"/>
        <v>5.3999999999999915</v>
      </c>
      <c r="F20">
        <f t="shared" si="1"/>
        <v>0.68789816150180372</v>
      </c>
      <c r="G20" s="4">
        <f t="shared" si="2"/>
        <v>-5.5898161501803711E-2</v>
      </c>
      <c r="H20">
        <f>VLOOKUP(A20,Western_Conference[],8,FALSE)</f>
        <v>5.14</v>
      </c>
      <c r="J20">
        <v>15</v>
      </c>
      <c r="K20">
        <v>8.7507848621827533E-3</v>
      </c>
    </row>
    <row r="21" spans="1:15" x14ac:dyDescent="0.25">
      <c r="A21" t="str">
        <f>West!B6</f>
        <v>Portland Trail Blazers </v>
      </c>
      <c r="B21" s="2">
        <f>West!E6</f>
        <v>0.6</v>
      </c>
      <c r="C21" s="2">
        <f>West!G6</f>
        <v>114.5</v>
      </c>
      <c r="D21" s="2">
        <f>West!H6</f>
        <v>114.9</v>
      </c>
      <c r="E21" s="3">
        <f t="shared" si="0"/>
        <v>-0.40000000000000568</v>
      </c>
      <c r="F21">
        <f t="shared" si="1"/>
        <v>0.48570300905485891</v>
      </c>
      <c r="G21" s="4">
        <f t="shared" si="2"/>
        <v>0.11429699094514106</v>
      </c>
      <c r="H21">
        <f>VLOOKUP(A21,Western_Conference[],8,FALSE)</f>
        <v>-1</v>
      </c>
      <c r="J21">
        <v>16</v>
      </c>
      <c r="K21">
        <v>8.2700884579292588E-3</v>
      </c>
    </row>
    <row r="22" spans="1:15" x14ac:dyDescent="0.25">
      <c r="A22" t="str">
        <f>West!B7</f>
        <v>Denver Nuggets </v>
      </c>
      <c r="B22" s="2">
        <f>West!E7</f>
        <v>0.58299999999999996</v>
      </c>
      <c r="C22" s="2">
        <f>West!G7</f>
        <v>115.9</v>
      </c>
      <c r="D22" s="2">
        <f>West!H7</f>
        <v>110.6</v>
      </c>
      <c r="E22" s="3">
        <f t="shared" si="0"/>
        <v>5.3000000000000114</v>
      </c>
      <c r="F22">
        <f t="shared" si="1"/>
        <v>0.68304282954162754</v>
      </c>
      <c r="G22" s="4">
        <f t="shared" si="2"/>
        <v>-0.10004282954162758</v>
      </c>
      <c r="H22">
        <f>VLOOKUP(A22,Western_Conference[],8,FALSE)</f>
        <v>5.22</v>
      </c>
    </row>
    <row r="23" spans="1:15" x14ac:dyDescent="0.25">
      <c r="A23" t="str">
        <f>West!B8</f>
        <v>San Antonio Spurs </v>
      </c>
      <c r="B23" s="2">
        <f>West!E8</f>
        <v>0.54500000000000004</v>
      </c>
      <c r="C23" s="2">
        <f>West!G8</f>
        <v>110.8</v>
      </c>
      <c r="D23" s="2">
        <f>West!H8</f>
        <v>111.1</v>
      </c>
      <c r="E23" s="3">
        <f t="shared" si="0"/>
        <v>-0.29999999999999716</v>
      </c>
      <c r="F23">
        <f t="shared" si="1"/>
        <v>0.48891363789731063</v>
      </c>
      <c r="G23" s="4">
        <f t="shared" si="2"/>
        <v>5.6086362102689413E-2</v>
      </c>
      <c r="H23">
        <f>VLOOKUP(A23,Western_Conference[],8,FALSE)</f>
        <v>-0.86</v>
      </c>
    </row>
    <row r="24" spans="1:15" x14ac:dyDescent="0.25">
      <c r="A24" t="str">
        <f>West!B9</f>
        <v>Dallas Mavericks </v>
      </c>
      <c r="B24" s="2">
        <f>West!E9</f>
        <v>0.54300000000000004</v>
      </c>
      <c r="C24" s="2">
        <f>West!G9</f>
        <v>111.9</v>
      </c>
      <c r="D24" s="2">
        <f>West!H9</f>
        <v>112.1</v>
      </c>
      <c r="E24" s="3">
        <f t="shared" si="0"/>
        <v>-0.19999999999998863</v>
      </c>
      <c r="F24">
        <f t="shared" si="1"/>
        <v>0.49267770753769835</v>
      </c>
      <c r="G24" s="4">
        <f t="shared" si="2"/>
        <v>5.0322292462301688E-2</v>
      </c>
      <c r="H24">
        <f>VLOOKUP(A24,Western_Conference[],8,FALSE)</f>
        <v>0.7</v>
      </c>
    </row>
    <row r="25" spans="1:15" x14ac:dyDescent="0.25">
      <c r="A25" t="str">
        <f>West!B10</f>
        <v>Memphis Grizzlies </v>
      </c>
      <c r="B25" s="2">
        <f>West!E10</f>
        <v>0.51500000000000001</v>
      </c>
      <c r="C25" s="2">
        <f>West!G10</f>
        <v>112.1</v>
      </c>
      <c r="D25" s="2">
        <f>West!H10</f>
        <v>110.8</v>
      </c>
      <c r="E25" s="3">
        <f t="shared" si="0"/>
        <v>1.2999999999999972</v>
      </c>
      <c r="F25">
        <f t="shared" si="1"/>
        <v>0.54768833203754486</v>
      </c>
      <c r="G25" s="4">
        <f t="shared" si="2"/>
        <v>-3.2688332037544843E-2</v>
      </c>
      <c r="H25">
        <f>VLOOKUP(A25,Western_Conference[],8,FALSE)</f>
        <v>1.2</v>
      </c>
    </row>
    <row r="26" spans="1:15" x14ac:dyDescent="0.25">
      <c r="A26" t="str">
        <f>West!B11</f>
        <v>Golden State Warriors </v>
      </c>
      <c r="B26" s="2">
        <f>West!E11</f>
        <v>0.51400000000000001</v>
      </c>
      <c r="C26" s="2">
        <f>West!G11</f>
        <v>113.4</v>
      </c>
      <c r="D26" s="2">
        <f>West!H11</f>
        <v>112.9</v>
      </c>
      <c r="E26" s="3">
        <f t="shared" si="0"/>
        <v>0.5</v>
      </c>
      <c r="F26">
        <f t="shared" si="1"/>
        <v>0.51811307133098117</v>
      </c>
      <c r="G26" s="4">
        <f t="shared" si="2"/>
        <v>-4.1130713309811551E-3</v>
      </c>
      <c r="H26">
        <f>VLOOKUP(A26,Western_Conference[],8,FALSE)</f>
        <v>0.68</v>
      </c>
    </row>
    <row r="27" spans="1:15" x14ac:dyDescent="0.25">
      <c r="A27" t="str">
        <f>West!B12</f>
        <v>Oklahoma City Thunder </v>
      </c>
      <c r="B27" s="2">
        <f>West!E12</f>
        <v>0.41699999999999998</v>
      </c>
      <c r="C27" s="2">
        <f>West!G12</f>
        <v>105.9</v>
      </c>
      <c r="D27" s="2">
        <f>West!H12</f>
        <v>111.4</v>
      </c>
      <c r="E27" s="3">
        <f t="shared" si="0"/>
        <v>-5.5</v>
      </c>
      <c r="F27">
        <f t="shared" si="1"/>
        <v>0.30353446165278763</v>
      </c>
      <c r="G27" s="4">
        <f t="shared" si="2"/>
        <v>0.11346553834721235</v>
      </c>
      <c r="H27">
        <f>VLOOKUP(A27,Western_Conference[],8,FALSE)</f>
        <v>-4.9800000000000004</v>
      </c>
    </row>
    <row r="28" spans="1:15" x14ac:dyDescent="0.25">
      <c r="A28" t="str">
        <f>West!B13</f>
        <v>New Orleans Pelicans </v>
      </c>
      <c r="B28" s="2">
        <f>West!E13</f>
        <v>0.41699999999999998</v>
      </c>
      <c r="C28" s="2">
        <f>West!G13</f>
        <v>115.5</v>
      </c>
      <c r="D28" s="2">
        <f>West!H13</f>
        <v>115.9</v>
      </c>
      <c r="E28" s="3">
        <f t="shared" si="0"/>
        <v>-0.40000000000000568</v>
      </c>
      <c r="F28">
        <f t="shared" si="1"/>
        <v>0.48582651230473217</v>
      </c>
      <c r="G28" s="4">
        <f t="shared" si="2"/>
        <v>-6.882651230473219E-2</v>
      </c>
      <c r="H28">
        <f>VLOOKUP(A28,Western_Conference[],8,FALSE)</f>
        <v>0.09</v>
      </c>
    </row>
    <row r="29" spans="1:15" x14ac:dyDescent="0.25">
      <c r="A29" t="str">
        <f>West!B14</f>
        <v>Sacramento Kings </v>
      </c>
      <c r="B29" s="2">
        <f>West!E14</f>
        <v>0.38900000000000001</v>
      </c>
      <c r="C29" s="2">
        <f>West!G14</f>
        <v>114.7</v>
      </c>
      <c r="D29" s="2">
        <f>West!H14</f>
        <v>120.4</v>
      </c>
      <c r="E29" s="3">
        <f t="shared" si="0"/>
        <v>-5.7000000000000028</v>
      </c>
      <c r="F29">
        <f t="shared" si="1"/>
        <v>0.31097983665812401</v>
      </c>
      <c r="G29" s="4">
        <f t="shared" si="2"/>
        <v>7.8020163341876003E-2</v>
      </c>
      <c r="H29">
        <f>VLOOKUP(A29,Western_Conference[],8,FALSE)</f>
        <v>-4.68</v>
      </c>
    </row>
    <row r="30" spans="1:15" x14ac:dyDescent="0.25">
      <c r="A30" t="str">
        <f>West!B15</f>
        <v>Houston Rockets </v>
      </c>
      <c r="B30" s="2">
        <f>West!E15</f>
        <v>0.32400000000000001</v>
      </c>
      <c r="C30" s="2">
        <f>West!G15</f>
        <v>107.6</v>
      </c>
      <c r="D30" s="2">
        <f>West!H15</f>
        <v>112.8</v>
      </c>
      <c r="E30" s="3">
        <f t="shared" si="0"/>
        <v>-5.2000000000000028</v>
      </c>
      <c r="F30">
        <f t="shared" si="1"/>
        <v>0.31558080809193417</v>
      </c>
      <c r="G30" s="4">
        <f t="shared" si="2"/>
        <v>8.4191919080658373E-3</v>
      </c>
      <c r="H30">
        <f>VLOOKUP(A30,Western_Conference[],8,FALSE)</f>
        <v>-6.07</v>
      </c>
    </row>
    <row r="31" spans="1:15" ht="15.75" thickBot="1" x14ac:dyDescent="0.3">
      <c r="A31" t="str">
        <f>West!B16</f>
        <v>Minnesota Timberwolves </v>
      </c>
      <c r="B31" s="2">
        <f>West!E16</f>
        <v>0.19400000000000001</v>
      </c>
      <c r="C31" s="2">
        <f>West!G16</f>
        <v>107.9</v>
      </c>
      <c r="D31" s="2">
        <f>West!H16</f>
        <v>117</v>
      </c>
      <c r="E31" s="3">
        <f t="shared" si="0"/>
        <v>-9.0999999999999943</v>
      </c>
      <c r="F31">
        <f t="shared" si="1"/>
        <v>0.20946655018826774</v>
      </c>
      <c r="G31" s="4">
        <f t="shared" si="2"/>
        <v>-1.546655018826773E-2</v>
      </c>
      <c r="H31">
        <f>VLOOKUP(A31,Western_Conference[],8,FALSE)</f>
        <v>-8.75</v>
      </c>
      <c r="J31">
        <f>AVERAGE(J33:J62)</f>
        <v>8.7256666666666653</v>
      </c>
      <c r="K31">
        <f>AVERAGE(K33:K62)</f>
        <v>0.4992337309137751</v>
      </c>
      <c r="L31">
        <f>J31/K31</f>
        <v>17.478119218217877</v>
      </c>
      <c r="O31" t="s">
        <v>220</v>
      </c>
    </row>
    <row r="32" spans="1:15" ht="15.75" thickBot="1" x14ac:dyDescent="0.3">
      <c r="M32" t="s">
        <v>121</v>
      </c>
      <c r="O32" s="113">
        <v>1.0210460070456657</v>
      </c>
    </row>
    <row r="33" spans="8:14" x14ac:dyDescent="0.25">
      <c r="H33">
        <f>MIN(H2:H31)</f>
        <v>-8.75</v>
      </c>
      <c r="I33" t="str">
        <f>A2</f>
        <v>Philadelphia 76ers </v>
      </c>
      <c r="J33">
        <f>H2-$H$33</f>
        <v>11.96</v>
      </c>
      <c r="K33">
        <f>F2</f>
        <v>0.62441404029454339</v>
      </c>
      <c r="M33" s="4">
        <f t="shared" ref="M33:M62" si="3">((GammaFactor*K33)^$O$32+J33^$O$32)/(((GammaFactor*K33)^$O$32+J33^$O$32)+(GammaFactor*$K$48)^$O$32+$J$48^$O$32)</f>
        <v>0.41556538283043792</v>
      </c>
      <c r="N33">
        <f>K33-$K$48</f>
        <v>-0.15925511748608823</v>
      </c>
    </row>
    <row r="34" spans="8:14" x14ac:dyDescent="0.25">
      <c r="I34" t="str">
        <f t="shared" ref="I34:I62" si="4">A3</f>
        <v>Brooklyn Nets </v>
      </c>
      <c r="J34">
        <f t="shared" ref="J34:J62" si="5">H3-$H$33</f>
        <v>13.4</v>
      </c>
      <c r="K34">
        <f t="shared" ref="K34:K62" si="6">F3</f>
        <v>0.66633008623887702</v>
      </c>
      <c r="M34" s="4">
        <f t="shared" si="3"/>
        <v>0.43823564377177665</v>
      </c>
      <c r="N34">
        <f t="shared" ref="N34:N62" si="7">K34-$K$48</f>
        <v>-0.1173390715417546</v>
      </c>
    </row>
    <row r="35" spans="8:14" x14ac:dyDescent="0.25">
      <c r="I35" t="str">
        <f t="shared" si="4"/>
        <v>Milwaukee Bucks </v>
      </c>
      <c r="J35">
        <f t="shared" si="5"/>
        <v>14.82</v>
      </c>
      <c r="K35">
        <f t="shared" si="6"/>
        <v>0.70966865533751955</v>
      </c>
      <c r="M35" s="4">
        <f t="shared" si="3"/>
        <v>0.45929671732690591</v>
      </c>
      <c r="N35">
        <f t="shared" si="7"/>
        <v>-7.4000502443112071E-2</v>
      </c>
    </row>
    <row r="36" spans="8:14" x14ac:dyDescent="0.25">
      <c r="I36" t="str">
        <f t="shared" si="4"/>
        <v>Boston Celtics </v>
      </c>
      <c r="J36">
        <f t="shared" si="5"/>
        <v>10.08</v>
      </c>
      <c r="K36">
        <f t="shared" si="6"/>
        <v>0.53312640013331192</v>
      </c>
      <c r="M36" s="4">
        <f t="shared" si="3"/>
        <v>0.37536003970764392</v>
      </c>
      <c r="N36">
        <f t="shared" si="7"/>
        <v>-0.2505427576473197</v>
      </c>
    </row>
    <row r="37" spans="8:14" x14ac:dyDescent="0.25">
      <c r="I37" t="str">
        <f t="shared" si="4"/>
        <v>New York Knicks </v>
      </c>
      <c r="J37">
        <f t="shared" si="5"/>
        <v>8.3000000000000007</v>
      </c>
      <c r="K37">
        <f t="shared" si="6"/>
        <v>0.51958282851140414</v>
      </c>
      <c r="M37" s="4">
        <f t="shared" si="3"/>
        <v>0.34946978160652348</v>
      </c>
      <c r="N37">
        <f t="shared" si="7"/>
        <v>-0.26408632926922748</v>
      </c>
    </row>
    <row r="38" spans="8:14" x14ac:dyDescent="0.25">
      <c r="I38" t="str">
        <f t="shared" si="4"/>
        <v>Miami Heat </v>
      </c>
      <c r="J38">
        <f t="shared" si="5"/>
        <v>7.7</v>
      </c>
      <c r="K38">
        <f t="shared" si="6"/>
        <v>0.43932134056828853</v>
      </c>
      <c r="M38" s="4">
        <f t="shared" si="3"/>
        <v>0.32160743514691731</v>
      </c>
      <c r="N38">
        <f t="shared" si="7"/>
        <v>-0.34434781721234309</v>
      </c>
    </row>
    <row r="39" spans="8:14" x14ac:dyDescent="0.25">
      <c r="I39" t="str">
        <f t="shared" si="4"/>
        <v>Charlotte Hornets </v>
      </c>
      <c r="J39">
        <f t="shared" si="5"/>
        <v>8.0500000000000007</v>
      </c>
      <c r="K39">
        <f t="shared" si="6"/>
        <v>0.48185488398163456</v>
      </c>
      <c r="M39" s="4">
        <f t="shared" si="3"/>
        <v>0.33709706928980288</v>
      </c>
      <c r="N39">
        <f t="shared" si="7"/>
        <v>-0.30181427379899706</v>
      </c>
    </row>
    <row r="40" spans="8:14" x14ac:dyDescent="0.25">
      <c r="I40" t="str">
        <f t="shared" si="4"/>
        <v>Toronto Raptors </v>
      </c>
      <c r="J40">
        <f t="shared" si="5"/>
        <v>9.75</v>
      </c>
      <c r="K40">
        <f t="shared" si="6"/>
        <v>0.55094601107712182</v>
      </c>
      <c r="M40" s="4">
        <f t="shared" si="3"/>
        <v>0.3751272758062722</v>
      </c>
      <c r="N40">
        <f t="shared" si="7"/>
        <v>-0.2327231467035098</v>
      </c>
    </row>
    <row r="41" spans="8:14" x14ac:dyDescent="0.25">
      <c r="I41" t="str">
        <f t="shared" si="4"/>
        <v>Chicago Bulls </v>
      </c>
      <c r="J41">
        <f t="shared" si="5"/>
        <v>7.8</v>
      </c>
      <c r="K41">
        <f t="shared" si="6"/>
        <v>0.4928748926165491</v>
      </c>
      <c r="M41" s="4">
        <f t="shared" si="3"/>
        <v>0.33630586080641706</v>
      </c>
      <c r="N41">
        <f t="shared" si="7"/>
        <v>-0.29079426516408252</v>
      </c>
    </row>
    <row r="42" spans="8:14" x14ac:dyDescent="0.25">
      <c r="I42" t="str">
        <f t="shared" si="4"/>
        <v>Indiana Pacers </v>
      </c>
      <c r="J42">
        <f t="shared" si="5"/>
        <v>9.1</v>
      </c>
      <c r="K42">
        <f t="shared" si="6"/>
        <v>0.51091911133120493</v>
      </c>
      <c r="M42" s="4">
        <f t="shared" si="3"/>
        <v>0.35801609363232323</v>
      </c>
      <c r="N42">
        <f t="shared" si="7"/>
        <v>-0.27275004644942669</v>
      </c>
    </row>
    <row r="43" spans="8:14" x14ac:dyDescent="0.25">
      <c r="I43" t="str">
        <f t="shared" si="4"/>
        <v>Atlanta Hawks </v>
      </c>
      <c r="J43">
        <f t="shared" si="5"/>
        <v>9.26</v>
      </c>
      <c r="K43">
        <f t="shared" si="6"/>
        <v>0.51458938122407183</v>
      </c>
      <c r="M43" s="4">
        <f t="shared" si="3"/>
        <v>0.36092111252344466</v>
      </c>
      <c r="N43">
        <f t="shared" si="7"/>
        <v>-0.26907977655655979</v>
      </c>
    </row>
    <row r="44" spans="8:14" x14ac:dyDescent="0.25">
      <c r="I44" t="str">
        <f t="shared" si="4"/>
        <v>Washington Wizards </v>
      </c>
      <c r="J44">
        <f t="shared" si="5"/>
        <v>4.0999999999999996</v>
      </c>
      <c r="K44">
        <f t="shared" si="6"/>
        <v>0.34102380384710623</v>
      </c>
      <c r="M44" s="4">
        <f t="shared" si="3"/>
        <v>0.23517540411319607</v>
      </c>
      <c r="N44">
        <f t="shared" si="7"/>
        <v>-0.44264535393352539</v>
      </c>
    </row>
    <row r="45" spans="8:14" x14ac:dyDescent="0.25">
      <c r="I45" t="str">
        <f t="shared" si="4"/>
        <v>Cleveland Cavaliers </v>
      </c>
      <c r="J45">
        <f t="shared" si="5"/>
        <v>1.9100000000000001</v>
      </c>
      <c r="K45">
        <f t="shared" si="6"/>
        <v>0.24307788167224093</v>
      </c>
      <c r="M45" s="4">
        <f t="shared" si="3"/>
        <v>0.15720159387857788</v>
      </c>
      <c r="N45">
        <f t="shared" si="7"/>
        <v>-0.54059127610839064</v>
      </c>
    </row>
    <row r="46" spans="8:14" x14ac:dyDescent="0.25">
      <c r="I46" t="str">
        <f t="shared" si="4"/>
        <v>Orlando Magic </v>
      </c>
      <c r="J46">
        <f t="shared" si="5"/>
        <v>1.5300000000000002</v>
      </c>
      <c r="K46">
        <f t="shared" si="6"/>
        <v>0.27003757520772437</v>
      </c>
      <c r="M46" s="4">
        <f t="shared" si="3"/>
        <v>0.15937999844186176</v>
      </c>
      <c r="N46">
        <f t="shared" si="7"/>
        <v>-0.5136315825729072</v>
      </c>
    </row>
    <row r="47" spans="8:14" x14ac:dyDescent="0.25">
      <c r="I47" t="str">
        <f t="shared" si="4"/>
        <v>Detroit Pistons </v>
      </c>
      <c r="J47">
        <f t="shared" si="5"/>
        <v>5.6</v>
      </c>
      <c r="K47">
        <f t="shared" si="6"/>
        <v>0.35849780709715673</v>
      </c>
      <c r="M47" s="4">
        <f t="shared" si="3"/>
        <v>0.26676011349683232</v>
      </c>
      <c r="N47">
        <f t="shared" si="7"/>
        <v>-0.42517135068347489</v>
      </c>
    </row>
    <row r="48" spans="8:14" x14ac:dyDescent="0.25">
      <c r="I48" t="str">
        <f t="shared" si="4"/>
        <v>Utah Jazz </v>
      </c>
      <c r="J48">
        <f t="shared" si="5"/>
        <v>18.240000000000002</v>
      </c>
      <c r="K48">
        <f t="shared" si="6"/>
        <v>0.78366915778063162</v>
      </c>
      <c r="M48" s="4">
        <f t="shared" si="3"/>
        <v>0.5</v>
      </c>
      <c r="N48">
        <f t="shared" si="7"/>
        <v>0</v>
      </c>
    </row>
    <row r="49" spans="9:14" x14ac:dyDescent="0.25">
      <c r="I49" t="str">
        <f t="shared" si="4"/>
        <v>Phoenix Suns </v>
      </c>
      <c r="J49">
        <f t="shared" si="5"/>
        <v>15.26</v>
      </c>
      <c r="K49">
        <f t="shared" si="6"/>
        <v>0.72441723754756948</v>
      </c>
      <c r="M49" s="4">
        <f t="shared" si="3"/>
        <v>0.4657226391095049</v>
      </c>
      <c r="N49">
        <f t="shared" si="7"/>
        <v>-5.9251920233062139E-2</v>
      </c>
    </row>
    <row r="50" spans="9:14" x14ac:dyDescent="0.25">
      <c r="I50" t="str">
        <f t="shared" si="4"/>
        <v>Los Angeles Lakers </v>
      </c>
      <c r="J50">
        <f t="shared" si="5"/>
        <v>13.219999999999999</v>
      </c>
      <c r="K50">
        <f t="shared" si="6"/>
        <v>0.68323591514862614</v>
      </c>
      <c r="M50" s="4">
        <f t="shared" si="3"/>
        <v>0.43938615143595133</v>
      </c>
      <c r="N50">
        <f t="shared" si="7"/>
        <v>-0.10043324263200548</v>
      </c>
    </row>
    <row r="51" spans="9:14" x14ac:dyDescent="0.25">
      <c r="I51" t="str">
        <f t="shared" si="4"/>
        <v>Los Angeles Clippers </v>
      </c>
      <c r="J51">
        <f t="shared" si="5"/>
        <v>13.89</v>
      </c>
      <c r="K51">
        <f t="shared" si="6"/>
        <v>0.68789816150180372</v>
      </c>
      <c r="M51" s="4">
        <f t="shared" si="3"/>
        <v>0.44680773434652971</v>
      </c>
      <c r="N51">
        <f t="shared" si="7"/>
        <v>-9.5770996278827902E-2</v>
      </c>
    </row>
    <row r="52" spans="9:14" x14ac:dyDescent="0.25">
      <c r="I52" t="str">
        <f t="shared" si="4"/>
        <v>Portland Trail Blazers </v>
      </c>
      <c r="J52">
        <f t="shared" si="5"/>
        <v>7.75</v>
      </c>
      <c r="K52">
        <f t="shared" si="6"/>
        <v>0.48570300905485891</v>
      </c>
      <c r="M52" s="4">
        <f t="shared" si="3"/>
        <v>0.33386163956956372</v>
      </c>
      <c r="N52">
        <f t="shared" si="7"/>
        <v>-0.29796614872577271</v>
      </c>
    </row>
    <row r="53" spans="9:14" x14ac:dyDescent="0.25">
      <c r="I53" t="str">
        <f t="shared" si="4"/>
        <v>Denver Nuggets </v>
      </c>
      <c r="J53">
        <f t="shared" si="5"/>
        <v>13.969999999999999</v>
      </c>
      <c r="K53">
        <f t="shared" si="6"/>
        <v>0.68304282954162754</v>
      </c>
      <c r="M53" s="4">
        <f t="shared" si="3"/>
        <v>0.44676293041361975</v>
      </c>
      <c r="N53">
        <f t="shared" si="7"/>
        <v>-0.10062632823900408</v>
      </c>
    </row>
    <row r="54" spans="9:14" x14ac:dyDescent="0.25">
      <c r="I54" t="str">
        <f t="shared" si="4"/>
        <v>San Antonio Spurs </v>
      </c>
      <c r="J54">
        <f t="shared" si="5"/>
        <v>7.89</v>
      </c>
      <c r="K54">
        <f t="shared" si="6"/>
        <v>0.48891363789731063</v>
      </c>
      <c r="M54" s="4">
        <f t="shared" si="3"/>
        <v>0.33659194490146155</v>
      </c>
      <c r="N54">
        <f t="shared" si="7"/>
        <v>-0.29475551988332099</v>
      </c>
    </row>
    <row r="55" spans="9:14" x14ac:dyDescent="0.25">
      <c r="I55" t="str">
        <f t="shared" si="4"/>
        <v>Dallas Mavericks </v>
      </c>
      <c r="J55">
        <f t="shared" si="5"/>
        <v>9.4499999999999993</v>
      </c>
      <c r="K55">
        <f t="shared" si="6"/>
        <v>0.49267770753769835</v>
      </c>
      <c r="M55" s="4">
        <f t="shared" si="3"/>
        <v>0.35842672644265317</v>
      </c>
      <c r="N55">
        <f t="shared" si="7"/>
        <v>-0.29099145024293327</v>
      </c>
    </row>
    <row r="56" spans="9:14" x14ac:dyDescent="0.25">
      <c r="I56" t="str">
        <f t="shared" si="4"/>
        <v>Memphis Grizzlies </v>
      </c>
      <c r="J56">
        <f t="shared" si="5"/>
        <v>9.9499999999999993</v>
      </c>
      <c r="K56">
        <f t="shared" si="6"/>
        <v>0.54768833203754486</v>
      </c>
      <c r="M56" s="4">
        <f t="shared" si="3"/>
        <v>0.37689011475061412</v>
      </c>
      <c r="N56">
        <f t="shared" si="7"/>
        <v>-0.23598082574308676</v>
      </c>
    </row>
    <row r="57" spans="9:14" x14ac:dyDescent="0.25">
      <c r="I57" t="str">
        <f t="shared" si="4"/>
        <v>Golden State Warriors </v>
      </c>
      <c r="J57">
        <f t="shared" si="5"/>
        <v>9.43</v>
      </c>
      <c r="K57">
        <f t="shared" si="6"/>
        <v>0.51811307133098117</v>
      </c>
      <c r="M57" s="4">
        <f t="shared" si="3"/>
        <v>0.36389600566573327</v>
      </c>
      <c r="N57">
        <f t="shared" si="7"/>
        <v>-0.26555608644965045</v>
      </c>
    </row>
    <row r="58" spans="9:14" x14ac:dyDescent="0.25">
      <c r="I58" t="str">
        <f t="shared" si="4"/>
        <v>Oklahoma City Thunder </v>
      </c>
      <c r="J58">
        <f t="shared" si="5"/>
        <v>3.7699999999999996</v>
      </c>
      <c r="K58">
        <f t="shared" si="6"/>
        <v>0.30353446165278763</v>
      </c>
      <c r="M58" s="4">
        <f t="shared" si="3"/>
        <v>0.21676647921398795</v>
      </c>
      <c r="N58">
        <f t="shared" si="7"/>
        <v>-0.48013469612784399</v>
      </c>
    </row>
    <row r="59" spans="9:14" x14ac:dyDescent="0.25">
      <c r="I59" t="str">
        <f t="shared" si="4"/>
        <v>New Orleans Pelicans </v>
      </c>
      <c r="J59">
        <f t="shared" si="5"/>
        <v>8.84</v>
      </c>
      <c r="K59">
        <f t="shared" si="6"/>
        <v>0.48582651230473217</v>
      </c>
      <c r="M59" s="4">
        <f t="shared" si="3"/>
        <v>0.34879746862706662</v>
      </c>
      <c r="N59">
        <f t="shared" si="7"/>
        <v>-0.29784264547589945</v>
      </c>
    </row>
    <row r="60" spans="9:14" x14ac:dyDescent="0.25">
      <c r="I60" t="str">
        <f t="shared" si="4"/>
        <v>Sacramento Kings </v>
      </c>
      <c r="J60">
        <f t="shared" si="5"/>
        <v>4.07</v>
      </c>
      <c r="K60">
        <f t="shared" si="6"/>
        <v>0.31097983665812401</v>
      </c>
      <c r="M60" s="4">
        <f t="shared" si="3"/>
        <v>0.22488630043079261</v>
      </c>
      <c r="N60">
        <f t="shared" si="7"/>
        <v>-0.47268932112250761</v>
      </c>
    </row>
    <row r="61" spans="9:14" x14ac:dyDescent="0.25">
      <c r="I61" t="str">
        <f t="shared" si="4"/>
        <v>Houston Rockets </v>
      </c>
      <c r="J61">
        <f t="shared" si="5"/>
        <v>2.6799999999999997</v>
      </c>
      <c r="K61">
        <f t="shared" si="6"/>
        <v>0.31558080809193417</v>
      </c>
      <c r="M61" s="4">
        <f t="shared" si="3"/>
        <v>0.1997779704049677</v>
      </c>
      <c r="N61">
        <f t="shared" si="7"/>
        <v>-0.46808834968869745</v>
      </c>
    </row>
    <row r="62" spans="9:14" x14ac:dyDescent="0.25">
      <c r="I62" t="str">
        <f t="shared" si="4"/>
        <v>Minnesota Timberwolves </v>
      </c>
      <c r="J62">
        <f t="shared" si="5"/>
        <v>0</v>
      </c>
      <c r="K62">
        <f t="shared" si="6"/>
        <v>0.20946655018826774</v>
      </c>
      <c r="M62" s="4">
        <f t="shared" si="3"/>
        <v>9.9999999569622466E-2</v>
      </c>
      <c r="N62">
        <f t="shared" si="7"/>
        <v>-0.57420260759236386</v>
      </c>
    </row>
    <row r="64" spans="9:14" x14ac:dyDescent="0.25">
      <c r="M64" s="4">
        <f>MIN(M33:M62)</f>
        <v>9.9999999569622466E-2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7C467-5137-4A4C-BC11-65AC8CE30071}">
  <sheetPr codeName="Sheet1"/>
  <dimension ref="A1:BA242"/>
  <sheetViews>
    <sheetView topLeftCell="A18" workbookViewId="0">
      <selection activeCell="F34" sqref="F34"/>
    </sheetView>
  </sheetViews>
  <sheetFormatPr defaultRowHeight="15" x14ac:dyDescent="0.25"/>
  <cols>
    <col min="2" max="2" width="24.28515625" bestFit="1" customWidth="1"/>
    <col min="3" max="3" width="7.5703125" customWidth="1"/>
    <col min="4" max="5" width="5.7109375" customWidth="1"/>
    <col min="6" max="6" width="6.5703125" customWidth="1"/>
    <col min="7" max="12" width="5.7109375" customWidth="1"/>
    <col min="13" max="13" width="8" customWidth="1"/>
    <col min="14" max="32" width="5.7109375" customWidth="1"/>
  </cols>
  <sheetData>
    <row r="1" spans="1:32" x14ac:dyDescent="0.25">
      <c r="A1" t="s">
        <v>114</v>
      </c>
      <c r="C1" t="s">
        <v>113</v>
      </c>
    </row>
    <row r="2" spans="1:32" x14ac:dyDescent="0.25">
      <c r="C2" t="s">
        <v>8</v>
      </c>
      <c r="D2" t="s">
        <v>11</v>
      </c>
      <c r="E2" t="s">
        <v>10</v>
      </c>
      <c r="F2" t="s">
        <v>14</v>
      </c>
      <c r="G2" t="s">
        <v>12</v>
      </c>
      <c r="H2" t="s">
        <v>15</v>
      </c>
      <c r="I2" t="s">
        <v>16</v>
      </c>
      <c r="J2" t="s">
        <v>18</v>
      </c>
      <c r="K2" t="s">
        <v>20</v>
      </c>
      <c r="L2" t="s">
        <v>22</v>
      </c>
      <c r="M2" t="s">
        <v>23</v>
      </c>
      <c r="N2" t="s">
        <v>24</v>
      </c>
      <c r="O2" t="s">
        <v>26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34</v>
      </c>
      <c r="V2" t="s">
        <v>35</v>
      </c>
      <c r="W2" t="s">
        <v>36</v>
      </c>
      <c r="X2" t="s">
        <v>37</v>
      </c>
      <c r="Y2" t="s">
        <v>39</v>
      </c>
      <c r="Z2" t="s">
        <v>40</v>
      </c>
      <c r="AA2" t="s">
        <v>41</v>
      </c>
      <c r="AB2" t="s">
        <v>44</v>
      </c>
      <c r="AC2" t="s">
        <v>43</v>
      </c>
      <c r="AD2" t="s">
        <v>46</v>
      </c>
      <c r="AE2" t="s">
        <v>47</v>
      </c>
      <c r="AF2" t="s">
        <v>48</v>
      </c>
    </row>
    <row r="3" spans="1:32" x14ac:dyDescent="0.25">
      <c r="A3" t="s">
        <v>112</v>
      </c>
      <c r="B3" t="s">
        <v>8</v>
      </c>
      <c r="C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Prediction'!$I$33:$K$62,3,FALSE)*GammaFactor)^GammaPower)+((VLOOKUP(C$2,'Gamma Prediction'!$I$33:$K$62,2,FALSE)^GammaPower+(VLOOKUP(C$2,'Gamma Prediction'!$I$33:$K$62,3,FALSE)*GammaFactor)^GammaPower)))</f>
        <v>0.5</v>
      </c>
      <c r="D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Prediction'!$I$33:$K$62,3,FALSE)*GammaFactor)^GammaPower)+((VLOOKUP(D$2,'Gamma Prediction'!$I$33:$K$62,2,FALSE)^GammaPower+(VLOOKUP(D$2,'Gamma Prediction'!$I$33:$K$62,3,FALSE)*GammaFactor)^GammaPower)))</f>
        <v>0.47684675781711439</v>
      </c>
      <c r="E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Prediction'!$I$33:$K$62,3,FALSE)*GammaFactor)^GammaPower)+((VLOOKUP(E$2,'Gamma Prediction'!$I$33:$K$62,2,FALSE)^GammaPower+(VLOOKUP(E$2,'Gamma Prediction'!$I$33:$K$62,3,FALSE)*GammaFactor)^GammaPower)))</f>
        <v>0.45565910841309876</v>
      </c>
      <c r="F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Prediction'!$I$33:$K$62,3,FALSE)*GammaFactor)^GammaPower)+((VLOOKUP(F$2,'Gamma Prediction'!$I$33:$K$62,2,FALSE)^GammaPower+(VLOOKUP(F$2,'Gamma Prediction'!$I$33:$K$62,3,FALSE)*GammaFactor)^GammaPower)))</f>
        <v>0.54197219233089933</v>
      </c>
      <c r="G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Prediction'!$I$33:$K$62,3,FALSE)*GammaFactor)^GammaPower)+((VLOOKUP(G$2,'Gamma Prediction'!$I$33:$K$62,2,FALSE)^GammaPower+(VLOOKUP(G$2,'Gamma Prediction'!$I$33:$K$62,3,FALSE)*GammaFactor)^GammaPower)))</f>
        <v>0.56044797685016201</v>
      </c>
      <c r="H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Prediction'!$I$33:$K$62,3,FALSE)*GammaFactor)^GammaPower)+((VLOOKUP(H$2,'Gamma Prediction'!$I$33:$K$62,2,FALSE)^GammaPower+(VLOOKUP(H$2,'Gamma Prediction'!$I$33:$K$62,3,FALSE)*GammaFactor)^GammaPower)))</f>
        <v>0.56963587852594977</v>
      </c>
      <c r="I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Prediction'!$I$33:$K$62,3,FALSE)*GammaFactor)^GammaPower)+((VLOOKUP(I$2,'Gamma Prediction'!$I$33:$K$62,2,FALSE)^GammaPower+(VLOOKUP(I$2,'Gamma Prediction'!$I$33:$K$62,3,FALSE)*GammaFactor)^GammaPower)))</f>
        <v>0.58303688560231615</v>
      </c>
      <c r="J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Prediction'!$I$33:$K$62,3,FALSE)*GammaFactor)^GammaPower)+((VLOOKUP(J$2,'Gamma Prediction'!$I$33:$K$62,2,FALSE)^GammaPower+(VLOOKUP(J$2,'Gamma Prediction'!$I$33:$K$62,3,FALSE)*GammaFactor)^GammaPower)))</f>
        <v>0.54221864999067204</v>
      </c>
      <c r="K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Prediction'!$I$33:$K$62,3,FALSE)*GammaFactor)^GammaPower)+((VLOOKUP(K$2,'Gamma Prediction'!$I$33:$K$62,2,FALSE)^GammaPower+(VLOOKUP(K$2,'Gamma Prediction'!$I$33:$K$62,3,FALSE)*GammaFactor)^GammaPower)))</f>
        <v>0.58389788434116141</v>
      </c>
      <c r="L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Prediction'!$I$33:$K$62,3,FALSE)*GammaFactor)^GammaPower)+((VLOOKUP(L$2,'Gamma Prediction'!$I$33:$K$62,2,FALSE)^GammaPower+(VLOOKUP(L$2,'Gamma Prediction'!$I$33:$K$62,3,FALSE)*GammaFactor)^GammaPower)))</f>
        <v>0.59998185778201907</v>
      </c>
      <c r="M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Prediction'!$I$33:$K$62,3,FALSE)*GammaFactor)^GammaPower)+((VLOOKUP(M$2,'Gamma Prediction'!$I$33:$K$62,2,FALSE)^GammaPower+(VLOOKUP(M$2,'Gamma Prediction'!$I$33:$K$62,3,FALSE)*GammaFactor)^GammaPower)))</f>
        <v>0.55733754618175668</v>
      </c>
      <c r="N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Prediction'!$I$33:$K$62,3,FALSE)*GammaFactor)^GammaPower)+((VLOOKUP(N$2,'Gamma Prediction'!$I$33:$K$62,2,FALSE)^GammaPower+(VLOOKUP(N$2,'Gamma Prediction'!$I$33:$K$62,3,FALSE)*GammaFactor)^GammaPower)))</f>
        <v>0.78948825109050558</v>
      </c>
      <c r="O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Prediction'!$I$33:$K$62,3,FALSE)*GammaFactor)^GammaPower)+((VLOOKUP(O$2,'Gamma Prediction'!$I$33:$K$62,2,FALSE)^GammaPower+(VLOOKUP(O$2,'Gamma Prediction'!$I$33:$K$62,3,FALSE)*GammaFactor)^GammaPower)))</f>
        <v>0.79219275878820961</v>
      </c>
      <c r="P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Prediction'!$I$33:$K$62,3,FALSE)*GammaFactor)^GammaPower)+((VLOOKUP(P$2,'Gamma Prediction'!$I$33:$K$62,2,FALSE)^GammaPower+(VLOOKUP(P$2,'Gamma Prediction'!$I$33:$K$62,3,FALSE)*GammaFactor)^GammaPower)))</f>
        <v>0.69810914894740683</v>
      </c>
      <c r="Q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Prediction'!$I$33:$K$62,3,FALSE)*GammaFactor)^GammaPower)+((VLOOKUP(Q$2,'Gamma Prediction'!$I$33:$K$62,2,FALSE)^GammaPower+(VLOOKUP(Q$2,'Gamma Prediction'!$I$33:$K$62,3,FALSE)*GammaFactor)^GammaPower)))</f>
        <v>0.66152961661476495</v>
      </c>
      <c r="R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Prediction'!$I$33:$K$62,3,FALSE)*GammaFactor)^GammaPower)+((VLOOKUP(R$2,'Gamma Prediction'!$I$33:$K$62,2,FALSE)^GammaPower+(VLOOKUP(R$2,'Gamma Prediction'!$I$33:$K$62,3,FALSE)*GammaFactor)^GammaPower)))</f>
        <v>0.41556538283043792</v>
      </c>
      <c r="S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Prediction'!$I$33:$K$62,3,FALSE)*GammaFactor)^GammaPower)+((VLOOKUP(S$2,'Gamma Prediction'!$I$33:$K$62,2,FALSE)^GammaPower+(VLOOKUP(S$2,'Gamma Prediction'!$I$33:$K$62,3,FALSE)*GammaFactor)^GammaPower)))</f>
        <v>0.47568138984430314</v>
      </c>
      <c r="T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Prediction'!$I$33:$K$62,3,FALSE)*GammaFactor)^GammaPower)+((VLOOKUP(T$2,'Gamma Prediction'!$I$33:$K$62,2,FALSE)^GammaPower+(VLOOKUP(T$2,'Gamma Prediction'!$I$33:$K$62,3,FALSE)*GammaFactor)^GammaPower)))</f>
        <v>0.46818610957718454</v>
      </c>
      <c r="U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Prediction'!$I$33:$K$62,3,FALSE)*GammaFactor)^GammaPower)+((VLOOKUP(U$2,'Gamma Prediction'!$I$33:$K$62,2,FALSE)^GammaPower+(VLOOKUP(U$2,'Gamma Prediction'!$I$33:$K$62,3,FALSE)*GammaFactor)^GammaPower)))</f>
        <v>0.44925528312613222</v>
      </c>
      <c r="V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Prediction'!$I$33:$K$62,3,FALSE)*GammaFactor)^GammaPower)+((VLOOKUP(V$2,'Gamma Prediction'!$I$33:$K$62,2,FALSE)^GammaPower+(VLOOKUP(V$2,'Gamma Prediction'!$I$33:$K$62,3,FALSE)*GammaFactor)^GammaPower)))</f>
        <v>0.58656078264038458</v>
      </c>
      <c r="W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Prediction'!$I$33:$K$62,3,FALSE)*GammaFactor)^GammaPower)+((VLOOKUP(W$2,'Gamma Prediction'!$I$33:$K$62,2,FALSE)^GammaPower+(VLOOKUP(W$2,'Gamma Prediction'!$I$33:$K$62,3,FALSE)*GammaFactor)^GammaPower)))</f>
        <v>0.5835865093664574</v>
      </c>
      <c r="X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Prediction'!$I$33:$K$62,3,FALSE)*GammaFactor)^GammaPower)+((VLOOKUP(X$2,'Gamma Prediction'!$I$33:$K$62,2,FALSE)^GammaPower+(VLOOKUP(X$2,'Gamma Prediction'!$I$33:$K$62,3,FALSE)*GammaFactor)^GammaPower)))</f>
        <v>0.4682312436213607</v>
      </c>
      <c r="Y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Prediction'!$I$33:$K$62,3,FALSE)*GammaFactor)^GammaPower)+((VLOOKUP(Y$2,'Gamma Prediction'!$I$33:$K$62,2,FALSE)^GammaPower+(VLOOKUP(Y$2,'Gamma Prediction'!$I$33:$K$62,3,FALSE)*GammaFactor)^GammaPower)))</f>
        <v>0.55415893077360445</v>
      </c>
      <c r="Z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Prediction'!$I$33:$K$62,3,FALSE)*GammaFactor)^GammaPower)+((VLOOKUP(Z$2,'Gamma Prediction'!$I$33:$K$62,2,FALSE)^GammaPower+(VLOOKUP(Z$2,'Gamma Prediction'!$I$33:$K$62,3,FALSE)*GammaFactor)^GammaPower)))</f>
        <v>0.54035310768965261</v>
      </c>
      <c r="AA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Prediction'!$I$33:$K$62,3,FALSE)*GammaFactor)^GammaPower)+((VLOOKUP(AA$2,'Gamma Prediction'!$I$33:$K$62,2,FALSE)^GammaPower+(VLOOKUP(AA$2,'Gamma Prediction'!$I$33:$K$62,3,FALSE)*GammaFactor)^GammaPower)))</f>
        <v>0.5600079194933254</v>
      </c>
      <c r="AB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Prediction'!$I$33:$K$62,3,FALSE)*GammaFactor)^GammaPower)+((VLOOKUP(AB$2,'Gamma Prediction'!$I$33:$K$62,2,FALSE)^GammaPower+(VLOOKUP(AB$2,'Gamma Prediction'!$I$33:$K$62,3,FALSE)*GammaFactor)^GammaPower)))</f>
        <v>0.57036103494115764</v>
      </c>
      <c r="AC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Prediction'!$I$33:$K$62,3,FALSE)*GammaFactor)^GammaPower)+((VLOOKUP(AC$2,'Gamma Prediction'!$I$33:$K$62,2,FALSE)^GammaPower+(VLOOKUP(AC$2,'Gamma Prediction'!$I$33:$K$62,3,FALSE)*GammaFactor)^GammaPower)))</f>
        <v>0.71021116370474169</v>
      </c>
      <c r="AD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Prediction'!$I$33:$K$62,3,FALSE)*GammaFactor)^GammaPower)+((VLOOKUP(AD$2,'Gamma Prediction'!$I$33:$K$62,2,FALSE)^GammaPower+(VLOOKUP(AD$2,'Gamma Prediction'!$I$33:$K$62,3,FALSE)*GammaFactor)^GammaPower)))</f>
        <v>0.71982733490008788</v>
      </c>
      <c r="AE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Prediction'!$I$33:$K$62,3,FALSE)*GammaFactor)^GammaPower)+((VLOOKUP(AE$2,'Gamma Prediction'!$I$33:$K$62,2,FALSE)^GammaPower+(VLOOKUP(AE$2,'Gamma Prediction'!$I$33:$K$62,3,FALSE)*GammaFactor)^GammaPower)))</f>
        <v>0.74013641086274384</v>
      </c>
      <c r="AF3" s="55">
        <f>((VLOOKUP($B3,'Gamma Prediction'!$I$33:$K$62,2,FALSE)^GammaPower+(VLOOKUP($B3,'Gamma Prediction'!$I$33:$K$62,3,FALSE)*GammaFactor)^GammaPower))/((VLOOKUP($B3,'Gamma Prediction'!$I$33:$K$62,2,FALSE)^GammaPower+(VLOOKUP($B3,'Gamma Prediction'!$I$33:$K$62,3,FALSE)*GammaFactor)^GammaPower)+((VLOOKUP(AF$2,'Gamma Prediction'!$I$33:$K$62,2,FALSE)^GammaPower+(VLOOKUP(AF$2,'Gamma Prediction'!$I$33:$K$62,3,FALSE)*GammaFactor)^GammaPower)))</f>
        <v>0.86485570633186726</v>
      </c>
    </row>
    <row r="4" spans="1:32" x14ac:dyDescent="0.25">
      <c r="B4" t="s">
        <v>11</v>
      </c>
      <c r="C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Prediction'!$I$33:$K$62,3,FALSE)*GammaFactor)^GammaPower)+((VLOOKUP(C$2,'Gamma Prediction'!$I$33:$K$62,2,FALSE)^GammaPower+(VLOOKUP(C$2,'Gamma Prediction'!$I$33:$K$62,3,FALSE)*GammaFactor)^GammaPower)))</f>
        <v>0.5231532421828855</v>
      </c>
      <c r="D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Prediction'!$I$33:$K$62,3,FALSE)*GammaFactor)^GammaPower)+((VLOOKUP(D$2,'Gamma Prediction'!$I$33:$K$62,2,FALSE)^GammaPower+(VLOOKUP(D$2,'Gamma Prediction'!$I$33:$K$62,3,FALSE)*GammaFactor)^GammaPower)))</f>
        <v>0.5</v>
      </c>
      <c r="E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Prediction'!$I$33:$K$62,3,FALSE)*GammaFactor)^GammaPower)+((VLOOKUP(E$2,'Gamma Prediction'!$I$33:$K$62,2,FALSE)^GammaPower+(VLOOKUP(E$2,'Gamma Prediction'!$I$33:$K$62,3,FALSE)*GammaFactor)^GammaPower)))</f>
        <v>0.47872498385702339</v>
      </c>
      <c r="F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Prediction'!$I$33:$K$62,3,FALSE)*GammaFactor)^GammaPower)+((VLOOKUP(F$2,'Gamma Prediction'!$I$33:$K$62,2,FALSE)^GammaPower+(VLOOKUP(F$2,'Gamma Prediction'!$I$33:$K$62,3,FALSE)*GammaFactor)^GammaPower)))</f>
        <v>0.56487326116227277</v>
      </c>
      <c r="G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Prediction'!$I$33:$K$62,3,FALSE)*GammaFactor)^GammaPower)+((VLOOKUP(G$2,'Gamma Prediction'!$I$33:$K$62,2,FALSE)^GammaPower+(VLOOKUP(G$2,'Gamma Prediction'!$I$33:$K$62,3,FALSE)*GammaFactor)^GammaPower)))</f>
        <v>0.58313580264666542</v>
      </c>
      <c r="H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Prediction'!$I$33:$K$62,3,FALSE)*GammaFactor)^GammaPower)+((VLOOKUP(H$2,'Gamma Prediction'!$I$33:$K$62,2,FALSE)^GammaPower+(VLOOKUP(H$2,'Gamma Prediction'!$I$33:$K$62,3,FALSE)*GammaFactor)^GammaPower)))</f>
        <v>0.59219454101721192</v>
      </c>
      <c r="I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Prediction'!$I$33:$K$62,3,FALSE)*GammaFactor)^GammaPower)+((VLOOKUP(I$2,'Gamma Prediction'!$I$33:$K$62,2,FALSE)^GammaPower+(VLOOKUP(I$2,'Gamma Prediction'!$I$33:$K$62,3,FALSE)*GammaFactor)^GammaPower)))</f>
        <v>0.60537972686312369</v>
      </c>
      <c r="J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Prediction'!$I$33:$K$62,3,FALSE)*GammaFactor)^GammaPower)+((VLOOKUP(J$2,'Gamma Prediction'!$I$33:$K$62,2,FALSE)^GammaPower+(VLOOKUP(J$2,'Gamma Prediction'!$I$33:$K$62,3,FALSE)*GammaFactor)^GammaPower)))</f>
        <v>0.56511728395070826</v>
      </c>
      <c r="K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Prediction'!$I$33:$K$62,3,FALSE)*GammaFactor)^GammaPower)+((VLOOKUP(K$2,'Gamma Prediction'!$I$33:$K$62,2,FALSE)^GammaPower+(VLOOKUP(K$2,'Gamma Prediction'!$I$33:$K$62,3,FALSE)*GammaFactor)^GammaPower)))</f>
        <v>0.60622574904000281</v>
      </c>
      <c r="L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Prediction'!$I$33:$K$62,3,FALSE)*GammaFactor)^GammaPower)+((VLOOKUP(L$2,'Gamma Prediction'!$I$33:$K$62,2,FALSE)^GammaPower+(VLOOKUP(L$2,'Gamma Prediction'!$I$33:$K$62,3,FALSE)*GammaFactor)^GammaPower)))</f>
        <v>0.6220053769429188</v>
      </c>
      <c r="M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Prediction'!$I$33:$K$62,3,FALSE)*GammaFactor)^GammaPower)+((VLOOKUP(M$2,'Gamma Prediction'!$I$33:$K$62,2,FALSE)^GammaPower+(VLOOKUP(M$2,'Gamma Prediction'!$I$33:$K$62,3,FALSE)*GammaFactor)^GammaPower)))</f>
        <v>0.58006562385906746</v>
      </c>
      <c r="N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Prediction'!$I$33:$K$62,3,FALSE)*GammaFactor)^GammaPower)+((VLOOKUP(N$2,'Gamma Prediction'!$I$33:$K$62,2,FALSE)^GammaPower+(VLOOKUP(N$2,'Gamma Prediction'!$I$33:$K$62,3,FALSE)*GammaFactor)^GammaPower)))</f>
        <v>0.80447831802266967</v>
      </c>
      <c r="O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Prediction'!$I$33:$K$62,3,FALSE)*GammaFactor)^GammaPower)+((VLOOKUP(O$2,'Gamma Prediction'!$I$33:$K$62,2,FALSE)^GammaPower+(VLOOKUP(O$2,'Gamma Prediction'!$I$33:$K$62,3,FALSE)*GammaFactor)^GammaPower)))</f>
        <v>0.80703731370902565</v>
      </c>
      <c r="P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Prediction'!$I$33:$K$62,3,FALSE)*GammaFactor)^GammaPower)+((VLOOKUP(P$2,'Gamma Prediction'!$I$33:$K$62,2,FALSE)^GammaPower+(VLOOKUP(P$2,'Gamma Prediction'!$I$33:$K$62,3,FALSE)*GammaFactor)^GammaPower)))</f>
        <v>0.71727592619840719</v>
      </c>
      <c r="Q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Prediction'!$I$33:$K$62,3,FALSE)*GammaFactor)^GammaPower)+((VLOOKUP(Q$2,'Gamma Prediction'!$I$33:$K$62,2,FALSE)^GammaPower+(VLOOKUP(Q$2,'Gamma Prediction'!$I$33:$K$62,3,FALSE)*GammaFactor)^GammaPower)))</f>
        <v>0.68196077342238559</v>
      </c>
      <c r="R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Prediction'!$I$33:$K$62,3,FALSE)*GammaFactor)^GammaPower)+((VLOOKUP(R$2,'Gamma Prediction'!$I$33:$K$62,2,FALSE)^GammaPower+(VLOOKUP(R$2,'Gamma Prediction'!$I$33:$K$62,3,FALSE)*GammaFactor)^GammaPower)))</f>
        <v>0.43823564377177665</v>
      </c>
      <c r="S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Prediction'!$I$33:$K$62,3,FALSE)*GammaFactor)^GammaPower)+((VLOOKUP(S$2,'Gamma Prediction'!$I$33:$K$62,2,FALSE)^GammaPower+(VLOOKUP(S$2,'Gamma Prediction'!$I$33:$K$62,3,FALSE)*GammaFactor)^GammaPower)))</f>
        <v>0.49883200143900919</v>
      </c>
      <c r="T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Prediction'!$I$33:$K$62,3,FALSE)*GammaFactor)^GammaPower)+((VLOOKUP(T$2,'Gamma Prediction'!$I$33:$K$62,2,FALSE)^GammaPower+(VLOOKUP(T$2,'Gamma Prediction'!$I$33:$K$62,3,FALSE)*GammaFactor)^GammaPower)))</f>
        <v>0.49131375880281658</v>
      </c>
      <c r="U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Prediction'!$I$33:$K$62,3,FALSE)*GammaFactor)^GammaPower)+((VLOOKUP(U$2,'Gamma Prediction'!$I$33:$K$62,2,FALSE)^GammaPower+(VLOOKUP(U$2,'Gamma Prediction'!$I$33:$K$62,3,FALSE)*GammaFactor)^GammaPower)))</f>
        <v>0.47227824361942444</v>
      </c>
      <c r="V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Prediction'!$I$33:$K$62,3,FALSE)*GammaFactor)^GammaPower)+((VLOOKUP(V$2,'Gamma Prediction'!$I$33:$K$62,2,FALSE)^GammaPower+(VLOOKUP(V$2,'Gamma Prediction'!$I$33:$K$62,3,FALSE)*GammaFactor)^GammaPower)))</f>
        <v>0.60884148065245536</v>
      </c>
      <c r="W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Prediction'!$I$33:$K$62,3,FALSE)*GammaFactor)^GammaPower)+((VLOOKUP(W$2,'Gamma Prediction'!$I$33:$K$62,2,FALSE)^GammaPower+(VLOOKUP(W$2,'Gamma Prediction'!$I$33:$K$62,3,FALSE)*GammaFactor)^GammaPower)))</f>
        <v>0.60591980570251647</v>
      </c>
      <c r="X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Prediction'!$I$33:$K$62,3,FALSE)*GammaFactor)^GammaPower)+((VLOOKUP(X$2,'Gamma Prediction'!$I$33:$K$62,2,FALSE)^GammaPower+(VLOOKUP(X$2,'Gamma Prediction'!$I$33:$K$62,3,FALSE)*GammaFactor)^GammaPower)))</f>
        <v>0.49135906244779387</v>
      </c>
      <c r="Y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Prediction'!$I$33:$K$62,3,FALSE)*GammaFactor)^GammaPower)+((VLOOKUP(Y$2,'Gamma Prediction'!$I$33:$K$62,2,FALSE)^GammaPower+(VLOOKUP(Y$2,'Gamma Prediction'!$I$33:$K$62,3,FALSE)*GammaFactor)^GammaPower)))</f>
        <v>0.57692632440905089</v>
      </c>
      <c r="Z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Prediction'!$I$33:$K$62,3,FALSE)*GammaFactor)^GammaPower)+((VLOOKUP(Z$2,'Gamma Prediction'!$I$33:$K$62,2,FALSE)^GammaPower+(VLOOKUP(Z$2,'Gamma Prediction'!$I$33:$K$62,3,FALSE)*GammaFactor)^GammaPower)))</f>
        <v>0.56326989628111845</v>
      </c>
      <c r="AA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Prediction'!$I$33:$K$62,3,FALSE)*GammaFactor)^GammaPower)+((VLOOKUP(AA$2,'Gamma Prediction'!$I$33:$K$62,2,FALSE)^GammaPower+(VLOOKUP(AA$2,'Gamma Prediction'!$I$33:$K$62,3,FALSE)*GammaFactor)^GammaPower)))</f>
        <v>0.58270154687247133</v>
      </c>
      <c r="AB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Prediction'!$I$33:$K$62,3,FALSE)*GammaFactor)^GammaPower)+((VLOOKUP(AB$2,'Gamma Prediction'!$I$33:$K$62,2,FALSE)^GammaPower+(VLOOKUP(AB$2,'Gamma Prediction'!$I$33:$K$62,3,FALSE)*GammaFactor)^GammaPower)))</f>
        <v>0.59290885105933588</v>
      </c>
      <c r="AC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Prediction'!$I$33:$K$62,3,FALSE)*GammaFactor)^GammaPower)+((VLOOKUP(AC$2,'Gamma Prediction'!$I$33:$K$62,2,FALSE)^GammaPower+(VLOOKUP(AC$2,'Gamma Prediction'!$I$33:$K$62,3,FALSE)*GammaFactor)^GammaPower)))</f>
        <v>0.7289079616124734</v>
      </c>
      <c r="AD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Prediction'!$I$33:$K$62,3,FALSE)*GammaFactor)^GammaPower)+((VLOOKUP(AD$2,'Gamma Prediction'!$I$33:$K$62,2,FALSE)^GammaPower+(VLOOKUP(AD$2,'Gamma Prediction'!$I$33:$K$62,3,FALSE)*GammaFactor)^GammaPower)))</f>
        <v>0.73813247094699341</v>
      </c>
      <c r="AE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Prediction'!$I$33:$K$62,3,FALSE)*GammaFactor)^GammaPower)+((VLOOKUP(AE$2,'Gamma Prediction'!$I$33:$K$62,2,FALSE)^GammaPower+(VLOOKUP(AE$2,'Gamma Prediction'!$I$33:$K$62,3,FALSE)*GammaFactor)^GammaPower)))</f>
        <v>0.75756154962563149</v>
      </c>
      <c r="AF4" s="55">
        <f>((VLOOKUP($B4,'Gamma Prediction'!$I$33:$K$62,2,FALSE)^GammaPower+(VLOOKUP($B4,'Gamma Prediction'!$I$33:$K$62,3,FALSE)*GammaFactor)^GammaPower))/((VLOOKUP($B4,'Gamma Prediction'!$I$33:$K$62,2,FALSE)^GammaPower+(VLOOKUP($B4,'Gamma Prediction'!$I$33:$K$62,3,FALSE)*GammaFactor)^GammaPower)+((VLOOKUP(AF$2,'Gamma Prediction'!$I$33:$K$62,2,FALSE)^GammaPower+(VLOOKUP(AF$2,'Gamma Prediction'!$I$33:$K$62,3,FALSE)*GammaFactor)^GammaPower)))</f>
        <v>0.87532652627529195</v>
      </c>
    </row>
    <row r="5" spans="1:32" x14ac:dyDescent="0.25">
      <c r="B5" t="s">
        <v>10</v>
      </c>
      <c r="C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Prediction'!$I$33:$K$62,3,FALSE)*GammaFactor)^GammaPower)+((VLOOKUP(C$2,'Gamma Prediction'!$I$33:$K$62,2,FALSE)^GammaPower+(VLOOKUP(C$2,'Gamma Prediction'!$I$33:$K$62,3,FALSE)*GammaFactor)^GammaPower)))</f>
        <v>0.54434089158690124</v>
      </c>
      <c r="D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Prediction'!$I$33:$K$62,3,FALSE)*GammaFactor)^GammaPower)+((VLOOKUP(D$2,'Gamma Prediction'!$I$33:$K$62,2,FALSE)^GammaPower+(VLOOKUP(D$2,'Gamma Prediction'!$I$33:$K$62,3,FALSE)*GammaFactor)^GammaPower)))</f>
        <v>0.52127501614297655</v>
      </c>
      <c r="E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Prediction'!$I$33:$K$62,3,FALSE)*GammaFactor)^GammaPower)+((VLOOKUP(E$2,'Gamma Prediction'!$I$33:$K$62,2,FALSE)^GammaPower+(VLOOKUP(E$2,'Gamma Prediction'!$I$33:$K$62,3,FALSE)*GammaFactor)^GammaPower)))</f>
        <v>0.5</v>
      </c>
      <c r="F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Prediction'!$I$33:$K$62,3,FALSE)*GammaFactor)^GammaPower)+((VLOOKUP(F$2,'Gamma Prediction'!$I$33:$K$62,2,FALSE)^GammaPower+(VLOOKUP(F$2,'Gamma Prediction'!$I$33:$K$62,3,FALSE)*GammaFactor)^GammaPower)))</f>
        <v>0.58567528813870318</v>
      </c>
      <c r="G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Prediction'!$I$33:$K$62,3,FALSE)*GammaFactor)^GammaPower)+((VLOOKUP(G$2,'Gamma Prediction'!$I$33:$K$62,2,FALSE)^GammaPower+(VLOOKUP(G$2,'Gamma Prediction'!$I$33:$K$62,3,FALSE)*GammaFactor)^GammaPower)))</f>
        <v>0.60367731606794617</v>
      </c>
      <c r="H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Prediction'!$I$33:$K$62,3,FALSE)*GammaFactor)^GammaPower)+((VLOOKUP(H$2,'Gamma Prediction'!$I$33:$K$62,2,FALSE)^GammaPower+(VLOOKUP(H$2,'Gamma Prediction'!$I$33:$K$62,3,FALSE)*GammaFactor)^GammaPower)))</f>
        <v>0.61258623244421084</v>
      </c>
      <c r="I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Prediction'!$I$33:$K$62,3,FALSE)*GammaFactor)^GammaPower)+((VLOOKUP(I$2,'Gamma Prediction'!$I$33:$K$62,2,FALSE)^GammaPower+(VLOOKUP(I$2,'Gamma Prediction'!$I$33:$K$62,3,FALSE)*GammaFactor)^GammaPower)))</f>
        <v>0.62552902114380304</v>
      </c>
      <c r="J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Prediction'!$I$33:$K$62,3,FALSE)*GammaFactor)^GammaPower)+((VLOOKUP(J$2,'Gamma Prediction'!$I$33:$K$62,2,FALSE)^GammaPower+(VLOOKUP(J$2,'Gamma Prediction'!$I$33:$K$62,3,FALSE)*GammaFactor)^GammaPower)))</f>
        <v>0.58591619677209106</v>
      </c>
      <c r="K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Prediction'!$I$33:$K$62,3,FALSE)*GammaFactor)^GammaPower)+((VLOOKUP(K$2,'Gamma Prediction'!$I$33:$K$62,2,FALSE)^GammaPower+(VLOOKUP(K$2,'Gamma Prediction'!$I$33:$K$62,3,FALSE)*GammaFactor)^GammaPower)))</f>
        <v>0.62635850726163045</v>
      </c>
      <c r="L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Prediction'!$I$33:$K$62,3,FALSE)*GammaFactor)^GammaPower)+((VLOOKUP(L$2,'Gamma Prediction'!$I$33:$K$62,2,FALSE)^GammaPower+(VLOOKUP(L$2,'Gamma Prediction'!$I$33:$K$62,3,FALSE)*GammaFactor)^GammaPower)))</f>
        <v>0.6418080475690231</v>
      </c>
      <c r="M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Prediction'!$I$33:$K$62,3,FALSE)*GammaFactor)^GammaPower)+((VLOOKUP(M$2,'Gamma Prediction'!$I$33:$K$62,2,FALSE)^GammaPower+(VLOOKUP(M$2,'Gamma Prediction'!$I$33:$K$62,3,FALSE)*GammaFactor)^GammaPower)))</f>
        <v>0.60065481935554843</v>
      </c>
      <c r="N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Prediction'!$I$33:$K$62,3,FALSE)*GammaFactor)^GammaPower)+((VLOOKUP(N$2,'Gamma Prediction'!$I$33:$K$62,2,FALSE)^GammaPower+(VLOOKUP(N$2,'Gamma Prediction'!$I$33:$K$62,3,FALSE)*GammaFactor)^GammaPower)))</f>
        <v>0.81752588151009453</v>
      </c>
      <c r="O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Prediction'!$I$33:$K$62,3,FALSE)*GammaFactor)^GammaPower)+((VLOOKUP(O$2,'Gamma Prediction'!$I$33:$K$62,2,FALSE)^GammaPower+(VLOOKUP(O$2,'Gamma Prediction'!$I$33:$K$62,3,FALSE)*GammaFactor)^GammaPower)))</f>
        <v>0.81995232897205717</v>
      </c>
      <c r="P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Prediction'!$I$33:$K$62,3,FALSE)*GammaFactor)^GammaPower)+((VLOOKUP(P$2,'Gamma Prediction'!$I$33:$K$62,2,FALSE)^GammaPower+(VLOOKUP(P$2,'Gamma Prediction'!$I$33:$K$62,3,FALSE)*GammaFactor)^GammaPower)))</f>
        <v>0.73422016572240645</v>
      </c>
      <c r="Q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Prediction'!$I$33:$K$62,3,FALSE)*GammaFactor)^GammaPower)+((VLOOKUP(Q$2,'Gamma Prediction'!$I$33:$K$62,2,FALSE)^GammaPower+(VLOOKUP(Q$2,'Gamma Prediction'!$I$33:$K$62,3,FALSE)*GammaFactor)^GammaPower)))</f>
        <v>0.70013669809902201</v>
      </c>
      <c r="R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Prediction'!$I$33:$K$62,3,FALSE)*GammaFactor)^GammaPower)+((VLOOKUP(R$2,'Gamma Prediction'!$I$33:$K$62,2,FALSE)^GammaPower+(VLOOKUP(R$2,'Gamma Prediction'!$I$33:$K$62,3,FALSE)*GammaFactor)^GammaPower)))</f>
        <v>0.45929671732690591</v>
      </c>
      <c r="S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Prediction'!$I$33:$K$62,3,FALSE)*GammaFactor)^GammaPower)+((VLOOKUP(S$2,'Gamma Prediction'!$I$33:$K$62,2,FALSE)^GammaPower+(VLOOKUP(S$2,'Gamma Prediction'!$I$33:$K$62,3,FALSE)*GammaFactor)^GammaPower)))</f>
        <v>0.5201090163529164</v>
      </c>
      <c r="T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Prediction'!$I$33:$K$62,3,FALSE)*GammaFactor)^GammaPower)+((VLOOKUP(T$2,'Gamma Prediction'!$I$33:$K$62,2,FALSE)^GammaPower+(VLOOKUP(T$2,'Gamma Prediction'!$I$33:$K$62,3,FALSE)*GammaFactor)^GammaPower)))</f>
        <v>0.51259808744808866</v>
      </c>
      <c r="U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Prediction'!$I$33:$K$62,3,FALSE)*GammaFactor)^GammaPower)+((VLOOKUP(U$2,'Gamma Prediction'!$I$33:$K$62,2,FALSE)^GammaPower+(VLOOKUP(U$2,'Gamma Prediction'!$I$33:$K$62,3,FALSE)*GammaFactor)^GammaPower)))</f>
        <v>0.49353801514363327</v>
      </c>
      <c r="V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Prediction'!$I$33:$K$62,3,FALSE)*GammaFactor)^GammaPower)+((VLOOKUP(V$2,'Gamma Prediction'!$I$33:$K$62,2,FALSE)^GammaPower+(VLOOKUP(V$2,'Gamma Prediction'!$I$33:$K$62,3,FALSE)*GammaFactor)^GammaPower)))</f>
        <v>0.62892236409448576</v>
      </c>
      <c r="W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Prediction'!$I$33:$K$62,3,FALSE)*GammaFactor)^GammaPower)+((VLOOKUP(W$2,'Gamma Prediction'!$I$33:$K$62,2,FALSE)^GammaPower+(VLOOKUP(W$2,'Gamma Prediction'!$I$33:$K$62,3,FALSE)*GammaFactor)^GammaPower)))</f>
        <v>0.62605855745098171</v>
      </c>
      <c r="X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Prediction'!$I$33:$K$62,3,FALSE)*GammaFactor)^GammaPower)+((VLOOKUP(X$2,'Gamma Prediction'!$I$33:$K$62,2,FALSE)^GammaPower+(VLOOKUP(X$2,'Gamma Prediction'!$I$33:$K$62,3,FALSE)*GammaFactor)^GammaPower)))</f>
        <v>0.51264337582566855</v>
      </c>
      <c r="Y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Prediction'!$I$33:$K$62,3,FALSE)*GammaFactor)^GammaPower)+((VLOOKUP(Y$2,'Gamma Prediction'!$I$33:$K$62,2,FALSE)^GammaPower+(VLOOKUP(Y$2,'Gamma Prediction'!$I$33:$K$62,3,FALSE)*GammaFactor)^GammaPower)))</f>
        <v>0.5975626529689152</v>
      </c>
      <c r="Z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Prediction'!$I$33:$K$62,3,FALSE)*GammaFactor)^GammaPower)+((VLOOKUP(Z$2,'Gamma Prediction'!$I$33:$K$62,2,FALSE)^GammaPower+(VLOOKUP(Z$2,'Gamma Prediction'!$I$33:$K$62,3,FALSE)*GammaFactor)^GammaPower)))</f>
        <v>0.5840921374611644</v>
      </c>
      <c r="AA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Prediction'!$I$33:$K$62,3,FALSE)*GammaFactor)^GammaPower)+((VLOOKUP(AA$2,'Gamma Prediction'!$I$33:$K$62,2,FALSE)^GammaPower+(VLOOKUP(AA$2,'Gamma Prediction'!$I$33:$K$62,3,FALSE)*GammaFactor)^GammaPower)))</f>
        <v>0.60324989982488475</v>
      </c>
      <c r="AB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Prediction'!$I$33:$K$62,3,FALSE)*GammaFactor)^GammaPower)+((VLOOKUP(AB$2,'Gamma Prediction'!$I$33:$K$62,2,FALSE)^GammaPower+(VLOOKUP(AB$2,'Gamma Prediction'!$I$33:$K$62,3,FALSE)*GammaFactor)^GammaPower)))</f>
        <v>0.61328814887667205</v>
      </c>
      <c r="AC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Prediction'!$I$33:$K$62,3,FALSE)*GammaFactor)^GammaPower)+((VLOOKUP(AC$2,'Gamma Prediction'!$I$33:$K$62,2,FALSE)^GammaPower+(VLOOKUP(AC$2,'Gamma Prediction'!$I$33:$K$62,3,FALSE)*GammaFactor)^GammaPower)))</f>
        <v>0.74540251653325906</v>
      </c>
      <c r="AD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Prediction'!$I$33:$K$62,3,FALSE)*GammaFactor)^GammaPower)+((VLOOKUP(AD$2,'Gamma Prediction'!$I$33:$K$62,2,FALSE)^GammaPower+(VLOOKUP(AD$2,'Gamma Prediction'!$I$33:$K$62,3,FALSE)*GammaFactor)^GammaPower)))</f>
        <v>0.75425498723290829</v>
      </c>
      <c r="AE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Prediction'!$I$33:$K$62,3,FALSE)*GammaFactor)^GammaPower)+((VLOOKUP(AE$2,'Gamma Prediction'!$I$33:$K$62,2,FALSE)^GammaPower+(VLOOKUP(AE$2,'Gamma Prediction'!$I$33:$K$62,3,FALSE)*GammaFactor)^GammaPower)))</f>
        <v>0.77285597094050129</v>
      </c>
      <c r="AF5" s="55">
        <f>((VLOOKUP($B5,'Gamma Prediction'!$I$33:$K$62,2,FALSE)^GammaPower+(VLOOKUP($B5,'Gamma Prediction'!$I$33:$K$62,3,FALSE)*GammaFactor)^GammaPower))/((VLOOKUP($B5,'Gamma Prediction'!$I$33:$K$62,2,FALSE)^GammaPower+(VLOOKUP($B5,'Gamma Prediction'!$I$33:$K$62,3,FALSE)*GammaFactor)^GammaPower)+((VLOOKUP(AF$2,'Gamma Prediction'!$I$33:$K$62,2,FALSE)^GammaPower+(VLOOKUP(AF$2,'Gamma Prediction'!$I$33:$K$62,3,FALSE)*GammaFactor)^GammaPower)))</f>
        <v>0.8843260486597857</v>
      </c>
    </row>
    <row r="6" spans="1:32" x14ac:dyDescent="0.25">
      <c r="B6" t="s">
        <v>14</v>
      </c>
      <c r="C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Prediction'!$I$33:$K$62,3,FALSE)*GammaFactor)^GammaPower)+((VLOOKUP(C$2,'Gamma Prediction'!$I$33:$K$62,2,FALSE)^GammaPower+(VLOOKUP(C$2,'Gamma Prediction'!$I$33:$K$62,3,FALSE)*GammaFactor)^GammaPower)))</f>
        <v>0.45802780766910073</v>
      </c>
      <c r="D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Prediction'!$I$33:$K$62,3,FALSE)*GammaFactor)^GammaPower)+((VLOOKUP(D$2,'Gamma Prediction'!$I$33:$K$62,2,FALSE)^GammaPower+(VLOOKUP(D$2,'Gamma Prediction'!$I$33:$K$62,3,FALSE)*GammaFactor)^GammaPower)))</f>
        <v>0.43512673883772734</v>
      </c>
      <c r="E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Prediction'!$I$33:$K$62,3,FALSE)*GammaFactor)^GammaPower)+((VLOOKUP(E$2,'Gamma Prediction'!$I$33:$K$62,2,FALSE)^GammaPower+(VLOOKUP(E$2,'Gamma Prediction'!$I$33:$K$62,3,FALSE)*GammaFactor)^GammaPower)))</f>
        <v>0.41432471186129682</v>
      </c>
      <c r="F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Prediction'!$I$33:$K$62,3,FALSE)*GammaFactor)^GammaPower)+((VLOOKUP(F$2,'Gamma Prediction'!$I$33:$K$62,2,FALSE)^GammaPower+(VLOOKUP(F$2,'Gamma Prediction'!$I$33:$K$62,3,FALSE)*GammaFactor)^GammaPower)))</f>
        <v>0.5</v>
      </c>
      <c r="G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Prediction'!$I$33:$K$62,3,FALSE)*GammaFactor)^GammaPower)+((VLOOKUP(G$2,'Gamma Prediction'!$I$33:$K$62,2,FALSE)^GammaPower+(VLOOKUP(G$2,'Gamma Prediction'!$I$33:$K$62,3,FALSE)*GammaFactor)^GammaPower)))</f>
        <v>0.51866520907373526</v>
      </c>
      <c r="H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Prediction'!$I$33:$K$62,3,FALSE)*GammaFactor)^GammaPower)+((VLOOKUP(H$2,'Gamma Prediction'!$I$33:$K$62,2,FALSE)^GammaPower+(VLOOKUP(H$2,'Gamma Prediction'!$I$33:$K$62,3,FALSE)*GammaFactor)^GammaPower)))</f>
        <v>0.52799093045677914</v>
      </c>
      <c r="I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Prediction'!$I$33:$K$62,3,FALSE)*GammaFactor)^GammaPower)+((VLOOKUP(I$2,'Gamma Prediction'!$I$33:$K$62,2,FALSE)^GammaPower+(VLOOKUP(I$2,'Gamma Prediction'!$I$33:$K$62,3,FALSE)*GammaFactor)^GammaPower)))</f>
        <v>0.54164526831332738</v>
      </c>
      <c r="J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Prediction'!$I$33:$K$62,3,FALSE)*GammaFactor)^GammaPower)+((VLOOKUP(J$2,'Gamma Prediction'!$I$33:$K$62,2,FALSE)^GammaPower+(VLOOKUP(J$2,'Gamma Prediction'!$I$33:$K$62,3,FALSE)*GammaFactor)^GammaPower)))</f>
        <v>0.50024821703132183</v>
      </c>
      <c r="K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Prediction'!$I$33:$K$62,3,FALSE)*GammaFactor)^GammaPower)+((VLOOKUP(K$2,'Gamma Prediction'!$I$33:$K$62,2,FALSE)^GammaPower+(VLOOKUP(K$2,'Gamma Prediction'!$I$33:$K$62,3,FALSE)*GammaFactor)^GammaPower)))</f>
        <v>0.54252467383732017</v>
      </c>
      <c r="L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Prediction'!$I$33:$K$62,3,FALSE)*GammaFactor)^GammaPower)+((VLOOKUP(L$2,'Gamma Prediction'!$I$33:$K$62,2,FALSE)^GammaPower+(VLOOKUP(L$2,'Gamma Prediction'!$I$33:$K$62,3,FALSE)*GammaFactor)^GammaPower)))</f>
        <v>0.55900002998687937</v>
      </c>
      <c r="M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Prediction'!$I$33:$K$62,3,FALSE)*GammaFactor)^GammaPower)+((VLOOKUP(M$2,'Gamma Prediction'!$I$33:$K$62,2,FALSE)^GammaPower+(VLOOKUP(M$2,'Gamma Prediction'!$I$33:$K$62,3,FALSE)*GammaFactor)^GammaPower)))</f>
        <v>0.51551470350767492</v>
      </c>
      <c r="N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Prediction'!$I$33:$K$62,3,FALSE)*GammaFactor)^GammaPower)+((VLOOKUP(N$2,'Gamma Prediction'!$I$33:$K$62,2,FALSE)^GammaPower+(VLOOKUP(N$2,'Gamma Prediction'!$I$33:$K$62,3,FALSE)*GammaFactor)^GammaPower)))</f>
        <v>0.76016032569559933</v>
      </c>
      <c r="O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Prediction'!$I$33:$K$62,3,FALSE)*GammaFactor)^GammaPower)+((VLOOKUP(O$2,'Gamma Prediction'!$I$33:$K$62,2,FALSE)^GammaPower+(VLOOKUP(O$2,'Gamma Prediction'!$I$33:$K$62,3,FALSE)*GammaFactor)^GammaPower)))</f>
        <v>0.76312857075348051</v>
      </c>
      <c r="P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Prediction'!$I$33:$K$62,3,FALSE)*GammaFactor)^GammaPower)+((VLOOKUP(P$2,'Gamma Prediction'!$I$33:$K$62,2,FALSE)^GammaPower+(VLOOKUP(P$2,'Gamma Prediction'!$I$33:$K$62,3,FALSE)*GammaFactor)^GammaPower)))</f>
        <v>0.66150878753783982</v>
      </c>
      <c r="Q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Prediction'!$I$33:$K$62,3,FALSE)*GammaFactor)^GammaPower)+((VLOOKUP(Q$2,'Gamma Prediction'!$I$33:$K$62,2,FALSE)^GammaPower+(VLOOKUP(Q$2,'Gamma Prediction'!$I$33:$K$62,3,FALSE)*GammaFactor)^GammaPower)))</f>
        <v>0.62289008145259994</v>
      </c>
      <c r="R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Prediction'!$I$33:$K$62,3,FALSE)*GammaFactor)^GammaPower)+((VLOOKUP(R$2,'Gamma Prediction'!$I$33:$K$62,2,FALSE)^GammaPower+(VLOOKUP(R$2,'Gamma Prediction'!$I$33:$K$62,3,FALSE)*GammaFactor)^GammaPower)))</f>
        <v>0.37536003970764398</v>
      </c>
      <c r="S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Prediction'!$I$33:$K$62,3,FALSE)*GammaFactor)^GammaPower)+((VLOOKUP(S$2,'Gamma Prediction'!$I$33:$K$62,2,FALSE)^GammaPower+(VLOOKUP(S$2,'Gamma Prediction'!$I$33:$K$62,3,FALSE)*GammaFactor)^GammaPower)))</f>
        <v>0.43397875049237733</v>
      </c>
      <c r="T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Prediction'!$I$33:$K$62,3,FALSE)*GammaFactor)^GammaPower)+((VLOOKUP(T$2,'Gamma Prediction'!$I$33:$K$62,2,FALSE)^GammaPower+(VLOOKUP(T$2,'Gamma Prediction'!$I$33:$K$62,3,FALSE)*GammaFactor)^GammaPower)))</f>
        <v>0.42660592928325708</v>
      </c>
      <c r="U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Prediction'!$I$33:$K$62,3,FALSE)*GammaFactor)^GammaPower)+((VLOOKUP(U$2,'Gamma Prediction'!$I$33:$K$62,2,FALSE)^GammaPower+(VLOOKUP(U$2,'Gamma Prediction'!$I$33:$K$62,3,FALSE)*GammaFactor)^GammaPower)))</f>
        <v>0.40806631687279082</v>
      </c>
      <c r="V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Prediction'!$I$33:$K$62,3,FALSE)*GammaFactor)^GammaPower)+((VLOOKUP(V$2,'Gamma Prediction'!$I$33:$K$62,2,FALSE)^GammaPower+(VLOOKUP(V$2,'Gamma Prediction'!$I$33:$K$62,3,FALSE)*GammaFactor)^GammaPower)))</f>
        <v>0.54524613351236217</v>
      </c>
      <c r="W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Prediction'!$I$33:$K$62,3,FALSE)*GammaFactor)^GammaPower)+((VLOOKUP(W$2,'Gamma Prediction'!$I$33:$K$62,2,FALSE)^GammaPower+(VLOOKUP(W$2,'Gamma Prediction'!$I$33:$K$62,3,FALSE)*GammaFactor)^GammaPower)))</f>
        <v>0.54220661239607459</v>
      </c>
      <c r="X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Prediction'!$I$33:$K$62,3,FALSE)*GammaFactor)^GammaPower)+((VLOOKUP(X$2,'Gamma Prediction'!$I$33:$K$62,2,FALSE)^GammaPower+(VLOOKUP(X$2,'Gamma Prediction'!$I$33:$K$62,3,FALSE)*GammaFactor)^GammaPower)))</f>
        <v>0.42665027068385986</v>
      </c>
      <c r="Y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Prediction'!$I$33:$K$62,3,FALSE)*GammaFactor)^GammaPower)+((VLOOKUP(Y$2,'Gamma Prediction'!$I$33:$K$62,2,FALSE)^GammaPower+(VLOOKUP(Y$2,'Gamma Prediction'!$I$33:$K$62,3,FALSE)*GammaFactor)^GammaPower)))</f>
        <v>0.51229856531527762</v>
      </c>
      <c r="Z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Prediction'!$I$33:$K$62,3,FALSE)*GammaFactor)^GammaPower)+((VLOOKUP(Z$2,'Gamma Prediction'!$I$33:$K$62,2,FALSE)^GammaPower+(VLOOKUP(Z$2,'Gamma Prediction'!$I$33:$K$62,3,FALSE)*GammaFactor)^GammaPower)))</f>
        <v>0.49836987150950246</v>
      </c>
      <c r="AA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Prediction'!$I$33:$K$62,3,FALSE)*GammaFactor)^GammaPower)+((VLOOKUP(AA$2,'Gamma Prediction'!$I$33:$K$62,2,FALSE)^GammaPower+(VLOOKUP(AA$2,'Gamma Prediction'!$I$33:$K$62,3,FALSE)*GammaFactor)^GammaPower)))</f>
        <v>0.5182192801378902</v>
      </c>
      <c r="AB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Prediction'!$I$33:$K$62,3,FALSE)*GammaFactor)^GammaPower)+((VLOOKUP(AB$2,'Gamma Prediction'!$I$33:$K$62,2,FALSE)^GammaPower+(VLOOKUP(AB$2,'Gamma Prediction'!$I$33:$K$62,3,FALSE)*GammaFactor)^GammaPower)))</f>
        <v>0.52872820392951869</v>
      </c>
      <c r="AC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Prediction'!$I$33:$K$62,3,FALSE)*GammaFactor)^GammaPower)+((VLOOKUP(AC$2,'Gamma Prediction'!$I$33:$K$62,2,FALSE)^GammaPower+(VLOOKUP(AC$2,'Gamma Prediction'!$I$33:$K$62,3,FALSE)*GammaFactor)^GammaPower)))</f>
        <v>0.67439368979244574</v>
      </c>
      <c r="AD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Prediction'!$I$33:$K$62,3,FALSE)*GammaFactor)^GammaPower)+((VLOOKUP(AD$2,'Gamma Prediction'!$I$33:$K$62,2,FALSE)^GammaPower+(VLOOKUP(AD$2,'Gamma Prediction'!$I$33:$K$62,3,FALSE)*GammaFactor)^GammaPower)))</f>
        <v>0.68467069925089408</v>
      </c>
      <c r="AE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Prediction'!$I$33:$K$62,3,FALSE)*GammaFactor)^GammaPower)+((VLOOKUP(AE$2,'Gamma Prediction'!$I$33:$K$62,2,FALSE)^GammaPower+(VLOOKUP(AE$2,'Gamma Prediction'!$I$33:$K$62,3,FALSE)*GammaFactor)^GammaPower)))</f>
        <v>0.70648907470550404</v>
      </c>
      <c r="AF6" s="55">
        <f>((VLOOKUP($B6,'Gamma Prediction'!$I$33:$K$62,2,FALSE)^GammaPower+(VLOOKUP($B6,'Gamma Prediction'!$I$33:$K$62,3,FALSE)*GammaFactor)^GammaPower))/((VLOOKUP($B6,'Gamma Prediction'!$I$33:$K$62,2,FALSE)^GammaPower+(VLOOKUP($B6,'Gamma Prediction'!$I$33:$K$62,3,FALSE)*GammaFactor)^GammaPower)+((VLOOKUP(AF$2,'Gamma Prediction'!$I$33:$K$62,2,FALSE)^GammaPower+(VLOOKUP(AF$2,'Gamma Prediction'!$I$33:$K$62,3,FALSE)*GammaFactor)^GammaPower)))</f>
        <v>0.84395237723809025</v>
      </c>
    </row>
    <row r="7" spans="1:32" x14ac:dyDescent="0.25">
      <c r="B7" t="s">
        <v>12</v>
      </c>
      <c r="C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Prediction'!$I$33:$K$62,3,FALSE)*GammaFactor)^GammaPower)+((VLOOKUP(C$2,'Gamma Prediction'!$I$33:$K$62,2,FALSE)^GammaPower+(VLOOKUP(C$2,'Gamma Prediction'!$I$33:$K$62,3,FALSE)*GammaFactor)^GammaPower)))</f>
        <v>0.43955202314983799</v>
      </c>
      <c r="D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Prediction'!$I$33:$K$62,3,FALSE)*GammaFactor)^GammaPower)+((VLOOKUP(D$2,'Gamma Prediction'!$I$33:$K$62,2,FALSE)^GammaPower+(VLOOKUP(D$2,'Gamma Prediction'!$I$33:$K$62,3,FALSE)*GammaFactor)^GammaPower)))</f>
        <v>0.41686419735333452</v>
      </c>
      <c r="E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Prediction'!$I$33:$K$62,3,FALSE)*GammaFactor)^GammaPower)+((VLOOKUP(E$2,'Gamma Prediction'!$I$33:$K$62,2,FALSE)^GammaPower+(VLOOKUP(E$2,'Gamma Prediction'!$I$33:$K$62,3,FALSE)*GammaFactor)^GammaPower)))</f>
        <v>0.39632268393205383</v>
      </c>
      <c r="F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Prediction'!$I$33:$K$62,3,FALSE)*GammaFactor)^GammaPower)+((VLOOKUP(F$2,'Gamma Prediction'!$I$33:$K$62,2,FALSE)^GammaPower+(VLOOKUP(F$2,'Gamma Prediction'!$I$33:$K$62,3,FALSE)*GammaFactor)^GammaPower)))</f>
        <v>0.48133479092626474</v>
      </c>
      <c r="G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Prediction'!$I$33:$K$62,3,FALSE)*GammaFactor)^GammaPower)+((VLOOKUP(G$2,'Gamma Prediction'!$I$33:$K$62,2,FALSE)^GammaPower+(VLOOKUP(G$2,'Gamma Prediction'!$I$33:$K$62,3,FALSE)*GammaFactor)^GammaPower)))</f>
        <v>0.5</v>
      </c>
      <c r="H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Prediction'!$I$33:$K$62,3,FALSE)*GammaFactor)^GammaPower)+((VLOOKUP(H$2,'Gamma Prediction'!$I$33:$K$62,2,FALSE)^GammaPower+(VLOOKUP(H$2,'Gamma Prediction'!$I$33:$K$62,3,FALSE)*GammaFactor)^GammaPower)))</f>
        <v>0.50934525133484465</v>
      </c>
      <c r="I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Prediction'!$I$33:$K$62,3,FALSE)*GammaFactor)^GammaPower)+((VLOOKUP(I$2,'Gamma Prediction'!$I$33:$K$62,2,FALSE)^GammaPower+(VLOOKUP(I$2,'Gamma Prediction'!$I$33:$K$62,3,FALSE)*GammaFactor)^GammaPower)))</f>
        <v>0.52305173331534649</v>
      </c>
      <c r="J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Prediction'!$I$33:$K$62,3,FALSE)*GammaFactor)^GammaPower)+((VLOOKUP(J$2,'Gamma Prediction'!$I$33:$K$62,2,FALSE)^GammaPower+(VLOOKUP(J$2,'Gamma Prediction'!$I$33:$K$62,3,FALSE)*GammaFactor)^GammaPower)))</f>
        <v>0.48158266664588628</v>
      </c>
      <c r="K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Prediction'!$I$33:$K$62,3,FALSE)*GammaFactor)^GammaPower)+((VLOOKUP(K$2,'Gamma Prediction'!$I$33:$K$62,2,FALSE)^GammaPower+(VLOOKUP(K$2,'Gamma Prediction'!$I$33:$K$62,3,FALSE)*GammaFactor)^GammaPower)))</f>
        <v>0.52393545811284359</v>
      </c>
      <c r="L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Prediction'!$I$33:$K$62,3,FALSE)*GammaFactor)^GammaPower)+((VLOOKUP(L$2,'Gamma Prediction'!$I$33:$K$62,2,FALSE)^GammaPower+(VLOOKUP(L$2,'Gamma Prediction'!$I$33:$K$62,3,FALSE)*GammaFactor)^GammaPower)))</f>
        <v>0.54051328157738066</v>
      </c>
      <c r="M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Prediction'!$I$33:$K$62,3,FALSE)*GammaFactor)^GammaPower)+((VLOOKUP(M$2,'Gamma Prediction'!$I$33:$K$62,2,FALSE)^GammaPower+(VLOOKUP(M$2,'Gamma Prediction'!$I$33:$K$62,3,FALSE)*GammaFactor)^GammaPower)))</f>
        <v>0.49684584084289146</v>
      </c>
      <c r="N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Prediction'!$I$33:$K$62,3,FALSE)*GammaFactor)^GammaPower)+((VLOOKUP(N$2,'Gamma Prediction'!$I$33:$K$62,2,FALSE)^GammaPower+(VLOOKUP(N$2,'Gamma Prediction'!$I$33:$K$62,3,FALSE)*GammaFactor)^GammaPower)))</f>
        <v>0.74627878337270093</v>
      </c>
      <c r="O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Prediction'!$I$33:$K$62,3,FALSE)*GammaFactor)^GammaPower)+((VLOOKUP(O$2,'Gamma Prediction'!$I$33:$K$62,2,FALSE)^GammaPower+(VLOOKUP(O$2,'Gamma Prediction'!$I$33:$K$62,3,FALSE)*GammaFactor)^GammaPower)))</f>
        <v>0.74936218126245047</v>
      </c>
      <c r="P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Prediction'!$I$33:$K$62,3,FALSE)*GammaFactor)^GammaPower)+((VLOOKUP(P$2,'Gamma Prediction'!$I$33:$K$62,2,FALSE)^GammaPower+(VLOOKUP(P$2,'Gamma Prediction'!$I$33:$K$62,3,FALSE)*GammaFactor)^GammaPower)))</f>
        <v>0.64458706439544666</v>
      </c>
      <c r="Q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Prediction'!$I$33:$K$62,3,FALSE)*GammaFactor)^GammaPower)+((VLOOKUP(Q$2,'Gamma Prediction'!$I$33:$K$62,2,FALSE)^GammaPower+(VLOOKUP(Q$2,'Gamma Prediction'!$I$33:$K$62,3,FALSE)*GammaFactor)^GammaPower)))</f>
        <v>0.60518999863748013</v>
      </c>
      <c r="R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Prediction'!$I$33:$K$62,3,FALSE)*GammaFactor)^GammaPower)+((VLOOKUP(R$2,'Gamma Prediction'!$I$33:$K$62,2,FALSE)^GammaPower+(VLOOKUP(R$2,'Gamma Prediction'!$I$33:$K$62,3,FALSE)*GammaFactor)^GammaPower)))</f>
        <v>0.35801609363232323</v>
      </c>
      <c r="S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Prediction'!$I$33:$K$62,3,FALSE)*GammaFactor)^GammaPower)+((VLOOKUP(S$2,'Gamma Prediction'!$I$33:$K$62,2,FALSE)^GammaPower+(VLOOKUP(S$2,'Gamma Prediction'!$I$33:$K$62,3,FALSE)*GammaFactor)^GammaPower)))</f>
        <v>0.41572893051771931</v>
      </c>
      <c r="T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Prediction'!$I$33:$K$62,3,FALSE)*GammaFactor)^GammaPower)+((VLOOKUP(T$2,'Gamma Prediction'!$I$33:$K$62,2,FALSE)^GammaPower+(VLOOKUP(T$2,'Gamma Prediction'!$I$33:$K$62,3,FALSE)*GammaFactor)^GammaPower)))</f>
        <v>0.40844242483892473</v>
      </c>
      <c r="U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Prediction'!$I$33:$K$62,3,FALSE)*GammaFactor)^GammaPower)+((VLOOKUP(U$2,'Gamma Prediction'!$I$33:$K$62,2,FALSE)^GammaPower+(VLOOKUP(U$2,'Gamma Prediction'!$I$33:$K$62,3,FALSE)*GammaFactor)^GammaPower)))</f>
        <v>0.39015506646999221</v>
      </c>
      <c r="V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Prediction'!$I$33:$K$62,3,FALSE)*GammaFactor)^GammaPower)+((VLOOKUP(V$2,'Gamma Prediction'!$I$33:$K$62,2,FALSE)^GammaPower+(VLOOKUP(V$2,'Gamma Prediction'!$I$33:$K$62,3,FALSE)*GammaFactor)^GammaPower)))</f>
        <v>0.52667102219656137</v>
      </c>
      <c r="W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Prediction'!$I$33:$K$62,3,FALSE)*GammaFactor)^GammaPower)+((VLOOKUP(W$2,'Gamma Prediction'!$I$33:$K$62,2,FALSE)^GammaPower+(VLOOKUP(W$2,'Gamma Prediction'!$I$33:$K$62,3,FALSE)*GammaFactor)^GammaPower)))</f>
        <v>0.52361582104842275</v>
      </c>
      <c r="X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Prediction'!$I$33:$K$62,3,FALSE)*GammaFactor)^GammaPower)+((VLOOKUP(X$2,'Gamma Prediction'!$I$33:$K$62,2,FALSE)^GammaPower+(VLOOKUP(X$2,'Gamma Prediction'!$I$33:$K$62,3,FALSE)*GammaFactor)^GammaPower)))</f>
        <v>0.40848622327646061</v>
      </c>
      <c r="Y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Prediction'!$I$33:$K$62,3,FALSE)*GammaFactor)^GammaPower)+((VLOOKUP(Y$2,'Gamma Prediction'!$I$33:$K$62,2,FALSE)^GammaPower+(VLOOKUP(Y$2,'Gamma Prediction'!$I$33:$K$62,3,FALSE)*GammaFactor)^GammaPower)))</f>
        <v>0.49362750488160834</v>
      </c>
      <c r="Z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Prediction'!$I$33:$K$62,3,FALSE)*GammaFactor)^GammaPower)+((VLOOKUP(Z$2,'Gamma Prediction'!$I$33:$K$62,2,FALSE)^GammaPower+(VLOOKUP(Z$2,'Gamma Prediction'!$I$33:$K$62,3,FALSE)*GammaFactor)^GammaPower)))</f>
        <v>0.47970713221488276</v>
      </c>
      <c r="AA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Prediction'!$I$33:$K$62,3,FALSE)*GammaFactor)^GammaPower)+((VLOOKUP(AA$2,'Gamma Prediction'!$I$33:$K$62,2,FALSE)^GammaPower+(VLOOKUP(AA$2,'Gamma Prediction'!$I$33:$K$62,3,FALSE)*GammaFactor)^GammaPower)))</f>
        <v>0.49955346365563902</v>
      </c>
      <c r="AB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Prediction'!$I$33:$K$62,3,FALSE)*GammaFactor)^GammaPower)+((VLOOKUP(AB$2,'Gamma Prediction'!$I$33:$K$62,2,FALSE)^GammaPower+(VLOOKUP(AB$2,'Gamma Prediction'!$I$33:$K$62,3,FALSE)*GammaFactor)^GammaPower)))</f>
        <v>0.51008462508303798</v>
      </c>
      <c r="AC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Prediction'!$I$33:$K$62,3,FALSE)*GammaFactor)^GammaPower)+((VLOOKUP(AC$2,'Gamma Prediction'!$I$33:$K$62,2,FALSE)^GammaPower+(VLOOKUP(AC$2,'Gamma Prediction'!$I$33:$K$62,3,FALSE)*GammaFactor)^GammaPower)))</f>
        <v>0.65778287348775533</v>
      </c>
      <c r="AD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Prediction'!$I$33:$K$62,3,FALSE)*GammaFactor)^GammaPower)+((VLOOKUP(AD$2,'Gamma Prediction'!$I$33:$K$62,2,FALSE)^GammaPower+(VLOOKUP(AD$2,'Gamma Prediction'!$I$33:$K$62,3,FALSE)*GammaFactor)^GammaPower)))</f>
        <v>0.66832631770359519</v>
      </c>
      <c r="AE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Prediction'!$I$33:$K$62,3,FALSE)*GammaFactor)^GammaPower)+((VLOOKUP(AE$2,'Gamma Prediction'!$I$33:$K$62,2,FALSE)^GammaPower+(VLOOKUP(AE$2,'Gamma Prediction'!$I$33:$K$62,3,FALSE)*GammaFactor)^GammaPower)))</f>
        <v>0.69076481951487434</v>
      </c>
      <c r="AF7" s="55">
        <f>((VLOOKUP($B7,'Gamma Prediction'!$I$33:$K$62,2,FALSE)^GammaPower+(VLOOKUP($B7,'Gamma Prediction'!$I$33:$K$62,3,FALSE)*GammaFactor)^GammaPower))/((VLOOKUP($B7,'Gamma Prediction'!$I$33:$K$62,2,FALSE)^GammaPower+(VLOOKUP($B7,'Gamma Prediction'!$I$33:$K$62,3,FALSE)*GammaFactor)^GammaPower)+((VLOOKUP(AF$2,'Gamma Prediction'!$I$33:$K$62,2,FALSE)^GammaPower+(VLOOKUP(AF$2,'Gamma Prediction'!$I$33:$K$62,3,FALSE)*GammaFactor)^GammaPower)))</f>
        <v>0.83386063314681924</v>
      </c>
    </row>
    <row r="8" spans="1:32" x14ac:dyDescent="0.25">
      <c r="B8" t="s">
        <v>15</v>
      </c>
      <c r="C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Prediction'!$I$33:$K$62,3,FALSE)*GammaFactor)^GammaPower)+((VLOOKUP(C$2,'Gamma Prediction'!$I$33:$K$62,2,FALSE)^GammaPower+(VLOOKUP(C$2,'Gamma Prediction'!$I$33:$K$62,3,FALSE)*GammaFactor)^GammaPower)))</f>
        <v>0.43036412147405023</v>
      </c>
      <c r="D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Prediction'!$I$33:$K$62,3,FALSE)*GammaFactor)^GammaPower)+((VLOOKUP(D$2,'Gamma Prediction'!$I$33:$K$62,2,FALSE)^GammaPower+(VLOOKUP(D$2,'Gamma Prediction'!$I$33:$K$62,3,FALSE)*GammaFactor)^GammaPower)))</f>
        <v>0.40780545898278803</v>
      </c>
      <c r="E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Prediction'!$I$33:$K$62,3,FALSE)*GammaFactor)^GammaPower)+((VLOOKUP(E$2,'Gamma Prediction'!$I$33:$K$62,2,FALSE)^GammaPower+(VLOOKUP(E$2,'Gamma Prediction'!$I$33:$K$62,3,FALSE)*GammaFactor)^GammaPower)))</f>
        <v>0.38741376755578916</v>
      </c>
      <c r="F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Prediction'!$I$33:$K$62,3,FALSE)*GammaFactor)^GammaPower)+((VLOOKUP(F$2,'Gamma Prediction'!$I$33:$K$62,2,FALSE)^GammaPower+(VLOOKUP(F$2,'Gamma Prediction'!$I$33:$K$62,3,FALSE)*GammaFactor)^GammaPower)))</f>
        <v>0.47200906954322086</v>
      </c>
      <c r="G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Prediction'!$I$33:$K$62,3,FALSE)*GammaFactor)^GammaPower)+((VLOOKUP(G$2,'Gamma Prediction'!$I$33:$K$62,2,FALSE)^GammaPower+(VLOOKUP(G$2,'Gamma Prediction'!$I$33:$K$62,3,FALSE)*GammaFactor)^GammaPower)))</f>
        <v>0.49065474866515535</v>
      </c>
      <c r="H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Prediction'!$I$33:$K$62,3,FALSE)*GammaFactor)^GammaPower)+((VLOOKUP(H$2,'Gamma Prediction'!$I$33:$K$62,2,FALSE)^GammaPower+(VLOOKUP(H$2,'Gamma Prediction'!$I$33:$K$62,3,FALSE)*GammaFactor)^GammaPower)))</f>
        <v>0.5</v>
      </c>
      <c r="I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Prediction'!$I$33:$K$62,3,FALSE)*GammaFactor)^GammaPower)+((VLOOKUP(I$2,'Gamma Prediction'!$I$33:$K$62,2,FALSE)^GammaPower+(VLOOKUP(I$2,'Gamma Prediction'!$I$33:$K$62,3,FALSE)*GammaFactor)^GammaPower)))</f>
        <v>0.51371830300057808</v>
      </c>
      <c r="J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Prediction'!$I$33:$K$62,3,FALSE)*GammaFactor)^GammaPower)+((VLOOKUP(J$2,'Gamma Prediction'!$I$33:$K$62,2,FALSE)^GammaPower+(VLOOKUP(J$2,'Gamma Prediction'!$I$33:$K$62,3,FALSE)*GammaFactor)^GammaPower)))</f>
        <v>0.47225651554696974</v>
      </c>
      <c r="K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Prediction'!$I$33:$K$62,3,FALSE)*GammaFactor)^GammaPower)+((VLOOKUP(K$2,'Gamma Prediction'!$I$33:$K$62,2,FALSE)^GammaPower+(VLOOKUP(K$2,'Gamma Prediction'!$I$33:$K$62,3,FALSE)*GammaFactor)^GammaPower)))</f>
        <v>0.51460327278598128</v>
      </c>
      <c r="L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Prediction'!$I$33:$K$62,3,FALSE)*GammaFactor)^GammaPower)+((VLOOKUP(L$2,'Gamma Prediction'!$I$33:$K$62,2,FALSE)^GammaPower+(VLOOKUP(L$2,'Gamma Prediction'!$I$33:$K$62,3,FALSE)*GammaFactor)^GammaPower)))</f>
        <v>0.53121530354712665</v>
      </c>
      <c r="M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Prediction'!$I$33:$K$62,3,FALSE)*GammaFactor)^GammaPower)+((VLOOKUP(M$2,'Gamma Prediction'!$I$33:$K$62,2,FALSE)^GammaPower+(VLOOKUP(M$2,'Gamma Prediction'!$I$33:$K$62,3,FALSE)*GammaFactor)^GammaPower)))</f>
        <v>0.48750206308530109</v>
      </c>
      <c r="N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Prediction'!$I$33:$K$62,3,FALSE)*GammaFactor)^GammaPower)+((VLOOKUP(N$2,'Gamma Prediction'!$I$33:$K$62,2,FALSE)^GammaPower+(VLOOKUP(N$2,'Gamma Prediction'!$I$33:$K$62,3,FALSE)*GammaFactor)^GammaPower)))</f>
        <v>0.73913504477549496</v>
      </c>
      <c r="O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Prediction'!$I$33:$K$62,3,FALSE)*GammaFactor)^GammaPower)+((VLOOKUP(O$2,'Gamma Prediction'!$I$33:$K$62,2,FALSE)^GammaPower+(VLOOKUP(O$2,'Gamma Prediction'!$I$33:$K$62,3,FALSE)*GammaFactor)^GammaPower)))</f>
        <v>0.74227527688107964</v>
      </c>
      <c r="P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Prediction'!$I$33:$K$62,3,FALSE)*GammaFactor)^GammaPower)+((VLOOKUP(P$2,'Gamma Prediction'!$I$33:$K$62,2,FALSE)^GammaPower+(VLOOKUP(P$2,'Gamma Prediction'!$I$33:$K$62,3,FALSE)*GammaFactor)^GammaPower)))</f>
        <v>0.63597674148913319</v>
      </c>
      <c r="Q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Prediction'!$I$33:$K$62,3,FALSE)*GammaFactor)^GammaPower)+((VLOOKUP(Q$2,'Gamma Prediction'!$I$33:$K$62,2,FALSE)^GammaPower+(VLOOKUP(Q$2,'Gamma Prediction'!$I$33:$K$62,3,FALSE)*GammaFactor)^GammaPower)))</f>
        <v>0.59622310694167224</v>
      </c>
      <c r="R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Prediction'!$I$33:$K$62,3,FALSE)*GammaFactor)^GammaPower)+((VLOOKUP(R$2,'Gamma Prediction'!$I$33:$K$62,2,FALSE)^GammaPower+(VLOOKUP(R$2,'Gamma Prediction'!$I$33:$K$62,3,FALSE)*GammaFactor)^GammaPower)))</f>
        <v>0.34946978160652348</v>
      </c>
      <c r="S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Prediction'!$I$33:$K$62,3,FALSE)*GammaFactor)^GammaPower)+((VLOOKUP(S$2,'Gamma Prediction'!$I$33:$K$62,2,FALSE)^GammaPower+(VLOOKUP(S$2,'Gamma Prediction'!$I$33:$K$62,3,FALSE)*GammaFactor)^GammaPower)))</f>
        <v>0.40667765737513933</v>
      </c>
      <c r="T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Prediction'!$I$33:$K$62,3,FALSE)*GammaFactor)^GammaPower)+((VLOOKUP(T$2,'Gamma Prediction'!$I$33:$K$62,2,FALSE)^GammaPower+(VLOOKUP(T$2,'Gamma Prediction'!$I$33:$K$62,3,FALSE)*GammaFactor)^GammaPower)))</f>
        <v>0.39944133695687717</v>
      </c>
      <c r="U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Prediction'!$I$33:$K$62,3,FALSE)*GammaFactor)^GammaPower)+((VLOOKUP(U$2,'Gamma Prediction'!$I$33:$K$62,2,FALSE)^GammaPower+(VLOOKUP(U$2,'Gamma Prediction'!$I$33:$K$62,3,FALSE)*GammaFactor)^GammaPower)))</f>
        <v>0.38129722227814411</v>
      </c>
      <c r="V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Prediction'!$I$33:$K$62,3,FALSE)*GammaFactor)^GammaPower)+((VLOOKUP(V$2,'Gamma Prediction'!$I$33:$K$62,2,FALSE)^GammaPower+(VLOOKUP(V$2,'Gamma Prediction'!$I$33:$K$62,3,FALSE)*GammaFactor)^GammaPower)))</f>
        <v>0.51734306171427924</v>
      </c>
      <c r="W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Prediction'!$I$33:$K$62,3,FALSE)*GammaFactor)^GammaPower)+((VLOOKUP(W$2,'Gamma Prediction'!$I$33:$K$62,2,FALSE)^GammaPower+(VLOOKUP(W$2,'Gamma Prediction'!$I$33:$K$62,3,FALSE)*GammaFactor)^GammaPower)))</f>
        <v>0.51428317866278306</v>
      </c>
      <c r="X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Prediction'!$I$33:$K$62,3,FALSE)*GammaFactor)^GammaPower)+((VLOOKUP(X$2,'Gamma Prediction'!$I$33:$K$62,2,FALSE)^GammaPower+(VLOOKUP(X$2,'Gamma Prediction'!$I$33:$K$62,3,FALSE)*GammaFactor)^GammaPower)))</f>
        <v>0.39948482199980845</v>
      </c>
      <c r="Y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Prediction'!$I$33:$K$62,3,FALSE)*GammaFactor)^GammaPower)+((VLOOKUP(Y$2,'Gamma Prediction'!$I$33:$K$62,2,FALSE)^GammaPower+(VLOOKUP(Y$2,'Gamma Prediction'!$I$33:$K$62,3,FALSE)*GammaFactor)^GammaPower)))</f>
        <v>0.48428599678377615</v>
      </c>
      <c r="Z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Prediction'!$I$33:$K$62,3,FALSE)*GammaFactor)^GammaPower)+((VLOOKUP(Z$2,'Gamma Prediction'!$I$33:$K$62,2,FALSE)^GammaPower+(VLOOKUP(Z$2,'Gamma Prediction'!$I$33:$K$62,3,FALSE)*GammaFactor)^GammaPower)))</f>
        <v>0.47038434636123561</v>
      </c>
      <c r="AA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Prediction'!$I$33:$K$62,3,FALSE)*GammaFactor)^GammaPower)+((VLOOKUP(AA$2,'Gamma Prediction'!$I$33:$K$62,2,FALSE)^GammaPower+(VLOOKUP(AA$2,'Gamma Prediction'!$I$33:$K$62,3,FALSE)*GammaFactor)^GammaPower)))</f>
        <v>0.49020837576236553</v>
      </c>
      <c r="AB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Prediction'!$I$33:$K$62,3,FALSE)*GammaFactor)^GammaPower)+((VLOOKUP(AB$2,'Gamma Prediction'!$I$33:$K$62,2,FALSE)^GammaPower+(VLOOKUP(AB$2,'Gamma Prediction'!$I$33:$K$62,3,FALSE)*GammaFactor)^GammaPower)))</f>
        <v>0.50073965257755804</v>
      </c>
      <c r="AC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Prediction'!$I$33:$K$62,3,FALSE)*GammaFactor)^GammaPower)+((VLOOKUP(AC$2,'Gamma Prediction'!$I$33:$K$62,2,FALSE)^GammaPower+(VLOOKUP(AC$2,'Gamma Prediction'!$I$33:$K$62,3,FALSE)*GammaFactor)^GammaPower)))</f>
        <v>0.64931831387741012</v>
      </c>
      <c r="AD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Prediction'!$I$33:$K$62,3,FALSE)*GammaFactor)^GammaPower)+((VLOOKUP(AD$2,'Gamma Prediction'!$I$33:$K$62,2,FALSE)^GammaPower+(VLOOKUP(AD$2,'Gamma Prediction'!$I$33:$K$62,3,FALSE)*GammaFactor)^GammaPower)))</f>
        <v>0.65998774235806412</v>
      </c>
      <c r="AE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Prediction'!$I$33:$K$62,3,FALSE)*GammaFactor)^GammaPower)+((VLOOKUP(AE$2,'Gamma Prediction'!$I$33:$K$62,2,FALSE)^GammaPower+(VLOOKUP(AE$2,'Gamma Prediction'!$I$33:$K$62,3,FALSE)*GammaFactor)^GammaPower)))</f>
        <v>0.68272255923008751</v>
      </c>
      <c r="AF8" s="55">
        <f>((VLOOKUP($B8,'Gamma Prediction'!$I$33:$K$62,2,FALSE)^GammaPower+(VLOOKUP($B8,'Gamma Prediction'!$I$33:$K$62,3,FALSE)*GammaFactor)^GammaPower))/((VLOOKUP($B8,'Gamma Prediction'!$I$33:$K$62,2,FALSE)^GammaPower+(VLOOKUP($B8,'Gamma Prediction'!$I$33:$K$62,3,FALSE)*GammaFactor)^GammaPower)+((VLOOKUP(AF$2,'Gamma Prediction'!$I$33:$K$62,2,FALSE)^GammaPower+(VLOOKUP(AF$2,'Gamma Prediction'!$I$33:$K$62,3,FALSE)*GammaFactor)^GammaPower)))</f>
        <v>0.82861653127488188</v>
      </c>
    </row>
    <row r="9" spans="1:32" x14ac:dyDescent="0.25">
      <c r="B9" t="s">
        <v>16</v>
      </c>
      <c r="C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Prediction'!$I$33:$K$62,3,FALSE)*GammaFactor)^GammaPower)+((VLOOKUP(C$2,'Gamma Prediction'!$I$33:$K$62,2,FALSE)^GammaPower+(VLOOKUP(C$2,'Gamma Prediction'!$I$33:$K$62,3,FALSE)*GammaFactor)^GammaPower)))</f>
        <v>0.4169631143976838</v>
      </c>
      <c r="D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Prediction'!$I$33:$K$62,3,FALSE)*GammaFactor)^GammaPower)+((VLOOKUP(D$2,'Gamma Prediction'!$I$33:$K$62,2,FALSE)^GammaPower+(VLOOKUP(D$2,'Gamma Prediction'!$I$33:$K$62,3,FALSE)*GammaFactor)^GammaPower)))</f>
        <v>0.39462027313687642</v>
      </c>
      <c r="E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Prediction'!$I$33:$K$62,3,FALSE)*GammaFactor)^GammaPower)+((VLOOKUP(E$2,'Gamma Prediction'!$I$33:$K$62,2,FALSE)^GammaPower+(VLOOKUP(E$2,'Gamma Prediction'!$I$33:$K$62,3,FALSE)*GammaFactor)^GammaPower)))</f>
        <v>0.37447097885619696</v>
      </c>
      <c r="F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Prediction'!$I$33:$K$62,3,FALSE)*GammaFactor)^GammaPower)+((VLOOKUP(F$2,'Gamma Prediction'!$I$33:$K$62,2,FALSE)^GammaPower+(VLOOKUP(F$2,'Gamma Prediction'!$I$33:$K$62,3,FALSE)*GammaFactor)^GammaPower)))</f>
        <v>0.45835473168667257</v>
      </c>
      <c r="G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Prediction'!$I$33:$K$62,3,FALSE)*GammaFactor)^GammaPower)+((VLOOKUP(G$2,'Gamma Prediction'!$I$33:$K$62,2,FALSE)^GammaPower+(VLOOKUP(G$2,'Gamma Prediction'!$I$33:$K$62,3,FALSE)*GammaFactor)^GammaPower)))</f>
        <v>0.47694826668465345</v>
      </c>
      <c r="H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Prediction'!$I$33:$K$62,3,FALSE)*GammaFactor)^GammaPower)+((VLOOKUP(H$2,'Gamma Prediction'!$I$33:$K$62,2,FALSE)^GammaPower+(VLOOKUP(H$2,'Gamma Prediction'!$I$33:$K$62,3,FALSE)*GammaFactor)^GammaPower)))</f>
        <v>0.48628169699942192</v>
      </c>
      <c r="I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Prediction'!$I$33:$K$62,3,FALSE)*GammaFactor)^GammaPower)+((VLOOKUP(I$2,'Gamma Prediction'!$I$33:$K$62,2,FALSE)^GammaPower+(VLOOKUP(I$2,'Gamma Prediction'!$I$33:$K$62,3,FALSE)*GammaFactor)^GammaPower)))</f>
        <v>0.5</v>
      </c>
      <c r="J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Prediction'!$I$33:$K$62,3,FALSE)*GammaFactor)^GammaPower)+((VLOOKUP(J$2,'Gamma Prediction'!$I$33:$K$62,2,FALSE)^GammaPower+(VLOOKUP(J$2,'Gamma Prediction'!$I$33:$K$62,3,FALSE)*GammaFactor)^GammaPower)))</f>
        <v>0.45860123695119781</v>
      </c>
      <c r="K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Prediction'!$I$33:$K$62,3,FALSE)*GammaFactor)^GammaPower)+((VLOOKUP(K$2,'Gamma Prediction'!$I$33:$K$62,2,FALSE)^GammaPower+(VLOOKUP(K$2,'Gamma Prediction'!$I$33:$K$62,3,FALSE)*GammaFactor)^GammaPower)))</f>
        <v>0.50088567950561835</v>
      </c>
      <c r="L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Prediction'!$I$33:$K$62,3,FALSE)*GammaFactor)^GammaPower)+((VLOOKUP(L$2,'Gamma Prediction'!$I$33:$K$62,2,FALSE)^GammaPower+(VLOOKUP(L$2,'Gamma Prediction'!$I$33:$K$62,3,FALSE)*GammaFactor)^GammaPower)))</f>
        <v>0.51752702230207859</v>
      </c>
      <c r="M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Prediction'!$I$33:$K$62,3,FALSE)*GammaFactor)^GammaPower)+((VLOOKUP(M$2,'Gamma Prediction'!$I$33:$K$62,2,FALSE)^GammaPower+(VLOOKUP(M$2,'Gamma Prediction'!$I$33:$K$62,3,FALSE)*GammaFactor)^GammaPower)))</f>
        <v>0.47380172691128197</v>
      </c>
      <c r="N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Prediction'!$I$33:$K$62,3,FALSE)*GammaFactor)^GammaPower)+((VLOOKUP(N$2,'Gamma Prediction'!$I$33:$K$62,2,FALSE)^GammaPower+(VLOOKUP(N$2,'Gamma Prediction'!$I$33:$K$62,3,FALSE)*GammaFactor)^GammaPower)))</f>
        <v>0.72841401515255189</v>
      </c>
      <c r="O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Prediction'!$I$33:$K$62,3,FALSE)*GammaFactor)^GammaPower)+((VLOOKUP(O$2,'Gamma Prediction'!$I$33:$K$62,2,FALSE)^GammaPower+(VLOOKUP(O$2,'Gamma Prediction'!$I$33:$K$62,3,FALSE)*GammaFactor)^GammaPower)))</f>
        <v>0.73163644669972039</v>
      </c>
      <c r="P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Prediction'!$I$33:$K$62,3,FALSE)*GammaFactor)^GammaPower)+((VLOOKUP(P$2,'Gamma Prediction'!$I$33:$K$62,2,FALSE)^GammaPower+(VLOOKUP(P$2,'Gamma Prediction'!$I$33:$K$62,3,FALSE)*GammaFactor)^GammaPower)))</f>
        <v>0.62317752519863756</v>
      </c>
      <c r="Q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Prediction'!$I$33:$K$62,3,FALSE)*GammaFactor)^GammaPower)+((VLOOKUP(Q$2,'Gamma Prediction'!$I$33:$K$62,2,FALSE)^GammaPower+(VLOOKUP(Q$2,'Gamma Prediction'!$I$33:$K$62,3,FALSE)*GammaFactor)^GammaPower)))</f>
        <v>0.58294274753258313</v>
      </c>
      <c r="R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Prediction'!$I$33:$K$62,3,FALSE)*GammaFactor)^GammaPower)+((VLOOKUP(R$2,'Gamma Prediction'!$I$33:$K$62,2,FALSE)^GammaPower+(VLOOKUP(R$2,'Gamma Prediction'!$I$33:$K$62,3,FALSE)*GammaFactor)^GammaPower)))</f>
        <v>0.33709706928980288</v>
      </c>
      <c r="S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Prediction'!$I$33:$K$62,3,FALSE)*GammaFactor)^GammaPower)+((VLOOKUP(S$2,'Gamma Prediction'!$I$33:$K$62,2,FALSE)^GammaPower+(VLOOKUP(S$2,'Gamma Prediction'!$I$33:$K$62,3,FALSE)*GammaFactor)^GammaPower)))</f>
        <v>0.39350470577441143</v>
      </c>
      <c r="T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Prediction'!$I$33:$K$62,3,FALSE)*GammaFactor)^GammaPower)+((VLOOKUP(T$2,'Gamma Prediction'!$I$33:$K$62,2,FALSE)^GammaPower+(VLOOKUP(T$2,'Gamma Prediction'!$I$33:$K$62,3,FALSE)*GammaFactor)^GammaPower)))</f>
        <v>0.38635015118943183</v>
      </c>
      <c r="U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Prediction'!$I$33:$K$62,3,FALSE)*GammaFactor)^GammaPower)+((VLOOKUP(U$2,'Gamma Prediction'!$I$33:$K$62,2,FALSE)^GammaPower+(VLOOKUP(U$2,'Gamma Prediction'!$I$33:$K$62,3,FALSE)*GammaFactor)^GammaPower)))</f>
        <v>0.36843587571107284</v>
      </c>
      <c r="V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Prediction'!$I$33:$K$62,3,FALSE)*GammaFactor)^GammaPower)+((VLOOKUP(V$2,'Gamma Prediction'!$I$33:$K$62,2,FALSE)^GammaPower+(VLOOKUP(V$2,'Gamma Prediction'!$I$33:$K$62,3,FALSE)*GammaFactor)^GammaPower)))</f>
        <v>0.50362821157200177</v>
      </c>
      <c r="W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Prediction'!$I$33:$K$62,3,FALSE)*GammaFactor)^GammaPower)+((VLOOKUP(W$2,'Gamma Prediction'!$I$33:$K$62,2,FALSE)^GammaPower+(VLOOKUP(W$2,'Gamma Prediction'!$I$33:$K$62,3,FALSE)*GammaFactor)^GammaPower)))</f>
        <v>0.50056531873861909</v>
      </c>
      <c r="X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Prediction'!$I$33:$K$62,3,FALSE)*GammaFactor)^GammaPower)+((VLOOKUP(X$2,'Gamma Prediction'!$I$33:$K$62,2,FALSE)^GammaPower+(VLOOKUP(X$2,'Gamma Prediction'!$I$33:$K$62,3,FALSE)*GammaFactor)^GammaPower)))</f>
        <v>0.38639312800267733</v>
      </c>
      <c r="Y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Prediction'!$I$33:$K$62,3,FALSE)*GammaFactor)^GammaPower)+((VLOOKUP(Y$2,'Gamma Prediction'!$I$33:$K$62,2,FALSE)^GammaPower+(VLOOKUP(Y$2,'Gamma Prediction'!$I$33:$K$62,3,FALSE)*GammaFactor)^GammaPower)))</f>
        <v>0.47059305074358654</v>
      </c>
      <c r="Z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Prediction'!$I$33:$K$62,3,FALSE)*GammaFactor)^GammaPower)+((VLOOKUP(Z$2,'Gamma Prediction'!$I$33:$K$62,2,FALSE)^GammaPower+(VLOOKUP(Z$2,'Gamma Prediction'!$I$33:$K$62,3,FALSE)*GammaFactor)^GammaPower)))</f>
        <v>0.45673635137737711</v>
      </c>
      <c r="AA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Prediction'!$I$33:$K$62,3,FALSE)*GammaFactor)^GammaPower)+((VLOOKUP(AA$2,'Gamma Prediction'!$I$33:$K$62,2,FALSE)^GammaPower+(VLOOKUP(AA$2,'Gamma Prediction'!$I$33:$K$62,3,FALSE)*GammaFactor)^GammaPower)))</f>
        <v>0.47650269781226567</v>
      </c>
      <c r="AB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Prediction'!$I$33:$K$62,3,FALSE)*GammaFactor)^GammaPower)+((VLOOKUP(AB$2,'Gamma Prediction'!$I$33:$K$62,2,FALSE)^GammaPower+(VLOOKUP(AB$2,'Gamma Prediction'!$I$33:$K$62,3,FALSE)*GammaFactor)^GammaPower)))</f>
        <v>0.48702082278965192</v>
      </c>
      <c r="AC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Prediction'!$I$33:$K$62,3,FALSE)*GammaFactor)^GammaPower)+((VLOOKUP(AC$2,'Gamma Prediction'!$I$33:$K$62,2,FALSE)^GammaPower+(VLOOKUP(AC$2,'Gamma Prediction'!$I$33:$K$62,3,FALSE)*GammaFactor)^GammaPower)))</f>
        <v>0.63672023847220549</v>
      </c>
      <c r="AD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Prediction'!$I$33:$K$62,3,FALSE)*GammaFactor)^GammaPower)+((VLOOKUP(AD$2,'Gamma Prediction'!$I$33:$K$62,2,FALSE)^GammaPower+(VLOOKUP(AD$2,'Gamma Prediction'!$I$33:$K$62,3,FALSE)*GammaFactor)^GammaPower)))</f>
        <v>0.64756491786648462</v>
      </c>
      <c r="AE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Prediction'!$I$33:$K$62,3,FALSE)*GammaFactor)^GammaPower)+((VLOOKUP(AE$2,'Gamma Prediction'!$I$33:$K$62,2,FALSE)^GammaPower+(VLOOKUP(AE$2,'Gamma Prediction'!$I$33:$K$62,3,FALSE)*GammaFactor)^GammaPower)))</f>
        <v>0.67071595231229642</v>
      </c>
      <c r="AF9" s="55">
        <f>((VLOOKUP($B9,'Gamma Prediction'!$I$33:$K$62,2,FALSE)^GammaPower+(VLOOKUP($B9,'Gamma Prediction'!$I$33:$K$62,3,FALSE)*GammaFactor)^GammaPower))/((VLOOKUP($B9,'Gamma Prediction'!$I$33:$K$62,2,FALSE)^GammaPower+(VLOOKUP($B9,'Gamma Prediction'!$I$33:$K$62,3,FALSE)*GammaFactor)^GammaPower)+((VLOOKUP(AF$2,'Gamma Prediction'!$I$33:$K$62,2,FALSE)^GammaPower+(VLOOKUP(AF$2,'Gamma Prediction'!$I$33:$K$62,3,FALSE)*GammaFactor)^GammaPower)))</f>
        <v>0.82068082331503744</v>
      </c>
    </row>
    <row r="10" spans="1:32" x14ac:dyDescent="0.25">
      <c r="B10" t="s">
        <v>18</v>
      </c>
      <c r="C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Prediction'!$I$33:$K$62,3,FALSE)*GammaFactor)^GammaPower)+((VLOOKUP(C$2,'Gamma Prediction'!$I$33:$K$62,2,FALSE)^GammaPower+(VLOOKUP(C$2,'Gamma Prediction'!$I$33:$K$62,3,FALSE)*GammaFactor)^GammaPower)))</f>
        <v>0.45778135000932796</v>
      </c>
      <c r="D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Prediction'!$I$33:$K$62,3,FALSE)*GammaFactor)^GammaPower)+((VLOOKUP(D$2,'Gamma Prediction'!$I$33:$K$62,2,FALSE)^GammaPower+(VLOOKUP(D$2,'Gamma Prediction'!$I$33:$K$62,3,FALSE)*GammaFactor)^GammaPower)))</f>
        <v>0.43488271604929174</v>
      </c>
      <c r="E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Prediction'!$I$33:$K$62,3,FALSE)*GammaFactor)^GammaPower)+((VLOOKUP(E$2,'Gamma Prediction'!$I$33:$K$62,2,FALSE)^GammaPower+(VLOOKUP(E$2,'Gamma Prediction'!$I$33:$K$62,3,FALSE)*GammaFactor)^GammaPower)))</f>
        <v>0.41408380322790889</v>
      </c>
      <c r="F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Prediction'!$I$33:$K$62,3,FALSE)*GammaFactor)^GammaPower)+((VLOOKUP(F$2,'Gamma Prediction'!$I$33:$K$62,2,FALSE)^GammaPower+(VLOOKUP(F$2,'Gamma Prediction'!$I$33:$K$62,3,FALSE)*GammaFactor)^GammaPower)))</f>
        <v>0.49975178296867817</v>
      </c>
      <c r="G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Prediction'!$I$33:$K$62,3,FALSE)*GammaFactor)^GammaPower)+((VLOOKUP(G$2,'Gamma Prediction'!$I$33:$K$62,2,FALSE)^GammaPower+(VLOOKUP(G$2,'Gamma Prediction'!$I$33:$K$62,3,FALSE)*GammaFactor)^GammaPower)))</f>
        <v>0.51841733335411377</v>
      </c>
      <c r="H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Prediction'!$I$33:$K$62,3,FALSE)*GammaFactor)^GammaPower)+((VLOOKUP(H$2,'Gamma Prediction'!$I$33:$K$62,2,FALSE)^GammaPower+(VLOOKUP(H$2,'Gamma Prediction'!$I$33:$K$62,3,FALSE)*GammaFactor)^GammaPower)))</f>
        <v>0.52774348445303021</v>
      </c>
      <c r="I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Prediction'!$I$33:$K$62,3,FALSE)*GammaFactor)^GammaPower)+((VLOOKUP(I$2,'Gamma Prediction'!$I$33:$K$62,2,FALSE)^GammaPower+(VLOOKUP(I$2,'Gamma Prediction'!$I$33:$K$62,3,FALSE)*GammaFactor)^GammaPower)))</f>
        <v>0.54139876304880219</v>
      </c>
      <c r="J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Prediction'!$I$33:$K$62,3,FALSE)*GammaFactor)^GammaPower)+((VLOOKUP(J$2,'Gamma Prediction'!$I$33:$K$62,2,FALSE)^GammaPower+(VLOOKUP(J$2,'Gamma Prediction'!$I$33:$K$62,3,FALSE)*GammaFactor)^GammaPower)))</f>
        <v>0.5</v>
      </c>
      <c r="K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Prediction'!$I$33:$K$62,3,FALSE)*GammaFactor)^GammaPower)+((VLOOKUP(K$2,'Gamma Prediction'!$I$33:$K$62,2,FALSE)^GammaPower+(VLOOKUP(K$2,'Gamma Prediction'!$I$33:$K$62,3,FALSE)*GammaFactor)^GammaPower)))</f>
        <v>0.54227824185227103</v>
      </c>
      <c r="L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Prediction'!$I$33:$K$62,3,FALSE)*GammaFactor)^GammaPower)+((VLOOKUP(L$2,'Gamma Prediction'!$I$33:$K$62,2,FALSE)^GammaPower+(VLOOKUP(L$2,'Gamma Prediction'!$I$33:$K$62,3,FALSE)*GammaFactor)^GammaPower)))</f>
        <v>0.55875525479426791</v>
      </c>
      <c r="M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Prediction'!$I$33:$K$62,3,FALSE)*GammaFactor)^GammaPower)+((VLOOKUP(M$2,'Gamma Prediction'!$I$33:$K$62,2,FALSE)^GammaPower+(VLOOKUP(M$2,'Gamma Prediction'!$I$33:$K$62,3,FALSE)*GammaFactor)^GammaPower)))</f>
        <v>0.5152667216457667</v>
      </c>
      <c r="N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Prediction'!$I$33:$K$62,3,FALSE)*GammaFactor)^GammaPower)+((VLOOKUP(N$2,'Gamma Prediction'!$I$33:$K$62,2,FALSE)^GammaPower+(VLOOKUP(N$2,'Gamma Prediction'!$I$33:$K$62,3,FALSE)*GammaFactor)^GammaPower)))</f>
        <v>0.75997926258036075</v>
      </c>
      <c r="O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Prediction'!$I$33:$K$62,3,FALSE)*GammaFactor)^GammaPower)+((VLOOKUP(O$2,'Gamma Prediction'!$I$33:$K$62,2,FALSE)^GammaPower+(VLOOKUP(O$2,'Gamma Prediction'!$I$33:$K$62,3,FALSE)*GammaFactor)^GammaPower)))</f>
        <v>0.7629490496795952</v>
      </c>
      <c r="P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Prediction'!$I$33:$K$62,3,FALSE)*GammaFactor)^GammaPower)+((VLOOKUP(P$2,'Gamma Prediction'!$I$33:$K$62,2,FALSE)^GammaPower+(VLOOKUP(P$2,'Gamma Prediction'!$I$33:$K$62,3,FALSE)*GammaFactor)^GammaPower)))</f>
        <v>0.66128643390344166</v>
      </c>
      <c r="Q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Prediction'!$I$33:$K$62,3,FALSE)*GammaFactor)^GammaPower)+((VLOOKUP(Q$2,'Gamma Prediction'!$I$33:$K$62,2,FALSE)^GammaPower+(VLOOKUP(Q$2,'Gamma Prediction'!$I$33:$K$62,3,FALSE)*GammaFactor)^GammaPower)))</f>
        <v>0.62265683022819229</v>
      </c>
      <c r="R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Prediction'!$I$33:$K$62,3,FALSE)*GammaFactor)^GammaPower)+((VLOOKUP(R$2,'Gamma Prediction'!$I$33:$K$62,2,FALSE)^GammaPower+(VLOOKUP(R$2,'Gamma Prediction'!$I$33:$K$62,3,FALSE)*GammaFactor)^GammaPower)))</f>
        <v>0.3751272758062722</v>
      </c>
      <c r="S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Prediction'!$I$33:$K$62,3,FALSE)*GammaFactor)^GammaPower)+((VLOOKUP(S$2,'Gamma Prediction'!$I$33:$K$62,2,FALSE)^GammaPower+(VLOOKUP(S$2,'Gamma Prediction'!$I$33:$K$62,3,FALSE)*GammaFactor)^GammaPower)))</f>
        <v>0.4337348771659808</v>
      </c>
      <c r="T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Prediction'!$I$33:$K$62,3,FALSE)*GammaFactor)^GammaPower)+((VLOOKUP(T$2,'Gamma Prediction'!$I$33:$K$62,2,FALSE)^GammaPower+(VLOOKUP(T$2,'Gamma Prediction'!$I$33:$K$62,3,FALSE)*GammaFactor)^GammaPower)))</f>
        <v>0.42636307822106689</v>
      </c>
      <c r="U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Prediction'!$I$33:$K$62,3,FALSE)*GammaFactor)^GammaPower)+((VLOOKUP(U$2,'Gamma Prediction'!$I$33:$K$62,2,FALSE)^GammaPower+(VLOOKUP(U$2,'Gamma Prediction'!$I$33:$K$62,3,FALSE)*GammaFactor)^GammaPower)))</f>
        <v>0.40782651325516894</v>
      </c>
      <c r="V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Prediction'!$I$33:$K$62,3,FALSE)*GammaFactor)^GammaPower)+((VLOOKUP(V$2,'Gamma Prediction'!$I$33:$K$62,2,FALSE)^GammaPower+(VLOOKUP(V$2,'Gamma Prediction'!$I$33:$K$62,3,FALSE)*GammaFactor)^GammaPower)))</f>
        <v>0.54499993803322566</v>
      </c>
      <c r="W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Prediction'!$I$33:$K$62,3,FALSE)*GammaFactor)^GammaPower)+((VLOOKUP(W$2,'Gamma Prediction'!$I$33:$K$62,2,FALSE)^GammaPower+(VLOOKUP(W$2,'Gamma Prediction'!$I$33:$K$62,3,FALSE)*GammaFactor)^GammaPower)))</f>
        <v>0.54196015373017614</v>
      </c>
      <c r="X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Prediction'!$I$33:$K$62,3,FALSE)*GammaFactor)^GammaPower)+((VLOOKUP(X$2,'Gamma Prediction'!$I$33:$K$62,2,FALSE)^GammaPower+(VLOOKUP(X$2,'Gamma Prediction'!$I$33:$K$62,3,FALSE)*GammaFactor)^GammaPower)))</f>
        <v>0.42640741315102959</v>
      </c>
      <c r="Y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Prediction'!$I$33:$K$62,3,FALSE)*GammaFactor)^GammaPower)+((VLOOKUP(Y$2,'Gamma Prediction'!$I$33:$K$62,2,FALSE)^GammaPower+(VLOOKUP(Y$2,'Gamma Prediction'!$I$33:$K$62,3,FALSE)*GammaFactor)^GammaPower)))</f>
        <v>0.51205049543078995</v>
      </c>
      <c r="Z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Prediction'!$I$33:$K$62,3,FALSE)*GammaFactor)^GammaPower)+((VLOOKUP(Z$2,'Gamma Prediction'!$I$33:$K$62,2,FALSE)^GammaPower+(VLOOKUP(Z$2,'Gamma Prediction'!$I$33:$K$62,3,FALSE)*GammaFactor)^GammaPower)))</f>
        <v>0.49812165751828286</v>
      </c>
      <c r="AA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Prediction'!$I$33:$K$62,3,FALSE)*GammaFactor)^GammaPower)+((VLOOKUP(AA$2,'Gamma Prediction'!$I$33:$K$62,2,FALSE)^GammaPower+(VLOOKUP(AA$2,'Gamma Prediction'!$I$33:$K$62,3,FALSE)*GammaFactor)^GammaPower)))</f>
        <v>0.51797138819716493</v>
      </c>
      <c r="AB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Prediction'!$I$33:$K$62,3,FALSE)*GammaFactor)^GammaPower)+((VLOOKUP(AB$2,'Gamma Prediction'!$I$33:$K$62,2,FALSE)^GammaPower+(VLOOKUP(AB$2,'Gamma Prediction'!$I$33:$K$62,3,FALSE)*GammaFactor)^GammaPower)))</f>
        <v>0.52848079926509051</v>
      </c>
      <c r="AC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Prediction'!$I$33:$K$62,3,FALSE)*GammaFactor)^GammaPower)+((VLOOKUP(AC$2,'Gamma Prediction'!$I$33:$K$62,2,FALSE)^GammaPower+(VLOOKUP(AC$2,'Gamma Prediction'!$I$33:$K$62,3,FALSE)*GammaFactor)^GammaPower)))</f>
        <v>0.67417563126050262</v>
      </c>
      <c r="AD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Prediction'!$I$33:$K$62,3,FALSE)*GammaFactor)^GammaPower)+((VLOOKUP(AD$2,'Gamma Prediction'!$I$33:$K$62,2,FALSE)^GammaPower+(VLOOKUP(AD$2,'Gamma Prediction'!$I$33:$K$62,3,FALSE)*GammaFactor)^GammaPower)))</f>
        <v>0.684456302956162</v>
      </c>
      <c r="AE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Prediction'!$I$33:$K$62,3,FALSE)*GammaFactor)^GammaPower)+((VLOOKUP(AE$2,'Gamma Prediction'!$I$33:$K$62,2,FALSE)^GammaPower+(VLOOKUP(AE$2,'Gamma Prediction'!$I$33:$K$62,3,FALSE)*GammaFactor)^GammaPower)))</f>
        <v>0.70628314910702061</v>
      </c>
      <c r="AF10" s="55">
        <f>((VLOOKUP($B10,'Gamma Prediction'!$I$33:$K$62,2,FALSE)^GammaPower+(VLOOKUP($B10,'Gamma Prediction'!$I$33:$K$62,3,FALSE)*GammaFactor)^GammaPower))/((VLOOKUP($B10,'Gamma Prediction'!$I$33:$K$62,2,FALSE)^GammaPower+(VLOOKUP($B10,'Gamma Prediction'!$I$33:$K$62,3,FALSE)*GammaFactor)^GammaPower)+((VLOOKUP(AF$2,'Gamma Prediction'!$I$33:$K$62,2,FALSE)^GammaPower+(VLOOKUP(AF$2,'Gamma Prediction'!$I$33:$K$62,3,FALSE)*GammaFactor)^GammaPower)))</f>
        <v>0.84382157505184407</v>
      </c>
    </row>
    <row r="11" spans="1:32" x14ac:dyDescent="0.25">
      <c r="B11" t="s">
        <v>20</v>
      </c>
      <c r="C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Prediction'!$I$33:$K$62,3,FALSE)*GammaFactor)^GammaPower)+((VLOOKUP(C$2,'Gamma Prediction'!$I$33:$K$62,2,FALSE)^GammaPower+(VLOOKUP(C$2,'Gamma Prediction'!$I$33:$K$62,3,FALSE)*GammaFactor)^GammaPower)))</f>
        <v>0.41610211565883864</v>
      </c>
      <c r="D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Prediction'!$I$33:$K$62,3,FALSE)*GammaFactor)^GammaPower)+((VLOOKUP(D$2,'Gamma Prediction'!$I$33:$K$62,2,FALSE)^GammaPower+(VLOOKUP(D$2,'Gamma Prediction'!$I$33:$K$62,3,FALSE)*GammaFactor)^GammaPower)))</f>
        <v>0.39377425095999707</v>
      </c>
      <c r="E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Prediction'!$I$33:$K$62,3,FALSE)*GammaFactor)^GammaPower)+((VLOOKUP(E$2,'Gamma Prediction'!$I$33:$K$62,2,FALSE)^GammaPower+(VLOOKUP(E$2,'Gamma Prediction'!$I$33:$K$62,3,FALSE)*GammaFactor)^GammaPower)))</f>
        <v>0.37364149273836955</v>
      </c>
      <c r="F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Prediction'!$I$33:$K$62,3,FALSE)*GammaFactor)^GammaPower)+((VLOOKUP(F$2,'Gamma Prediction'!$I$33:$K$62,2,FALSE)^GammaPower+(VLOOKUP(F$2,'Gamma Prediction'!$I$33:$K$62,3,FALSE)*GammaFactor)^GammaPower)))</f>
        <v>0.45747532616267977</v>
      </c>
      <c r="G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Prediction'!$I$33:$K$62,3,FALSE)*GammaFactor)^GammaPower)+((VLOOKUP(G$2,'Gamma Prediction'!$I$33:$K$62,2,FALSE)^GammaPower+(VLOOKUP(G$2,'Gamma Prediction'!$I$33:$K$62,3,FALSE)*GammaFactor)^GammaPower)))</f>
        <v>0.47606454188715641</v>
      </c>
      <c r="H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Prediction'!$I$33:$K$62,3,FALSE)*GammaFactor)^GammaPower)+((VLOOKUP(H$2,'Gamma Prediction'!$I$33:$K$62,2,FALSE)^GammaPower+(VLOOKUP(H$2,'Gamma Prediction'!$I$33:$K$62,3,FALSE)*GammaFactor)^GammaPower)))</f>
        <v>0.48539672721401866</v>
      </c>
      <c r="I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Prediction'!$I$33:$K$62,3,FALSE)*GammaFactor)^GammaPower)+((VLOOKUP(I$2,'Gamma Prediction'!$I$33:$K$62,2,FALSE)^GammaPower+(VLOOKUP(I$2,'Gamma Prediction'!$I$33:$K$62,3,FALSE)*GammaFactor)^GammaPower)))</f>
        <v>0.49911432049438165</v>
      </c>
      <c r="J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Prediction'!$I$33:$K$62,3,FALSE)*GammaFactor)^GammaPower)+((VLOOKUP(J$2,'Gamma Prediction'!$I$33:$K$62,2,FALSE)^GammaPower+(VLOOKUP(J$2,'Gamma Prediction'!$I$33:$K$62,3,FALSE)*GammaFactor)^GammaPower)))</f>
        <v>0.45772175814772892</v>
      </c>
      <c r="K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Prediction'!$I$33:$K$62,3,FALSE)*GammaFactor)^GammaPower)+((VLOOKUP(K$2,'Gamma Prediction'!$I$33:$K$62,2,FALSE)^GammaPower+(VLOOKUP(K$2,'Gamma Prediction'!$I$33:$K$62,3,FALSE)*GammaFactor)^GammaPower)))</f>
        <v>0.5</v>
      </c>
      <c r="L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Prediction'!$I$33:$K$62,3,FALSE)*GammaFactor)^GammaPower)+((VLOOKUP(L$2,'Gamma Prediction'!$I$33:$K$62,2,FALSE)^GammaPower+(VLOOKUP(L$2,'Gamma Prediction'!$I$33:$K$62,3,FALSE)*GammaFactor)^GammaPower)))</f>
        <v>0.51664237617648012</v>
      </c>
      <c r="M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Prediction'!$I$33:$K$62,3,FALSE)*GammaFactor)^GammaPower)+((VLOOKUP(M$2,'Gamma Prediction'!$I$33:$K$62,2,FALSE)^GammaPower+(VLOOKUP(M$2,'Gamma Prediction'!$I$33:$K$62,3,FALSE)*GammaFactor)^GammaPower)))</f>
        <v>0.47291856091782103</v>
      </c>
      <c r="N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Prediction'!$I$33:$K$62,3,FALSE)*GammaFactor)^GammaPower)+((VLOOKUP(N$2,'Gamma Prediction'!$I$33:$K$62,2,FALSE)^GammaPower+(VLOOKUP(N$2,'Gamma Prediction'!$I$33:$K$62,3,FALSE)*GammaFactor)^GammaPower)))</f>
        <v>0.72771260215290168</v>
      </c>
      <c r="O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Prediction'!$I$33:$K$62,3,FALSE)*GammaFactor)^GammaPower)+((VLOOKUP(O$2,'Gamma Prediction'!$I$33:$K$62,2,FALSE)^GammaPower+(VLOOKUP(O$2,'Gamma Prediction'!$I$33:$K$62,3,FALSE)*GammaFactor)^GammaPower)))</f>
        <v>0.7309402820120936</v>
      </c>
      <c r="P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Prediction'!$I$33:$K$62,3,FALSE)*GammaFactor)^GammaPower)+((VLOOKUP(P$2,'Gamma Prediction'!$I$33:$K$62,2,FALSE)^GammaPower+(VLOOKUP(P$2,'Gamma Prediction'!$I$33:$K$62,3,FALSE)*GammaFactor)^GammaPower)))</f>
        <v>0.62234523510292661</v>
      </c>
      <c r="Q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Prediction'!$I$33:$K$62,3,FALSE)*GammaFactor)^GammaPower)+((VLOOKUP(Q$2,'Gamma Prediction'!$I$33:$K$62,2,FALSE)^GammaPower+(VLOOKUP(Q$2,'Gamma Prediction'!$I$33:$K$62,3,FALSE)*GammaFactor)^GammaPower)))</f>
        <v>0.58208118699002886</v>
      </c>
      <c r="R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Prediction'!$I$33:$K$62,3,FALSE)*GammaFactor)^GammaPower)+((VLOOKUP(R$2,'Gamma Prediction'!$I$33:$K$62,2,FALSE)^GammaPower+(VLOOKUP(R$2,'Gamma Prediction'!$I$33:$K$62,3,FALSE)*GammaFactor)^GammaPower)))</f>
        <v>0.33630586080641706</v>
      </c>
      <c r="S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Prediction'!$I$33:$K$62,3,FALSE)*GammaFactor)^GammaPower)+((VLOOKUP(S$2,'Gamma Prediction'!$I$33:$K$62,2,FALSE)^GammaPower+(VLOOKUP(S$2,'Gamma Prediction'!$I$33:$K$62,3,FALSE)*GammaFactor)^GammaPower)))</f>
        <v>0.39265952398394044</v>
      </c>
      <c r="T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Prediction'!$I$33:$K$62,3,FALSE)*GammaFactor)^GammaPower)+((VLOOKUP(T$2,'Gamma Prediction'!$I$33:$K$62,2,FALSE)^GammaPower+(VLOOKUP(T$2,'Gamma Prediction'!$I$33:$K$62,3,FALSE)*GammaFactor)^GammaPower)))</f>
        <v>0.38551056849122251</v>
      </c>
      <c r="U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Prediction'!$I$33:$K$62,3,FALSE)*GammaFactor)^GammaPower)+((VLOOKUP(U$2,'Gamma Prediction'!$I$33:$K$62,2,FALSE)^GammaPower+(VLOOKUP(U$2,'Gamma Prediction'!$I$33:$K$62,3,FALSE)*GammaFactor)^GammaPower)))</f>
        <v>0.36761190158246715</v>
      </c>
      <c r="V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Prediction'!$I$33:$K$62,3,FALSE)*GammaFactor)^GammaPower)+((VLOOKUP(V$2,'Gamma Prediction'!$I$33:$K$62,2,FALSE)^GammaPower+(VLOOKUP(V$2,'Gamma Prediction'!$I$33:$K$62,3,FALSE)*GammaFactor)^GammaPower)))</f>
        <v>0.50274256731860478</v>
      </c>
      <c r="W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Prediction'!$I$33:$K$62,3,FALSE)*GammaFactor)^GammaPower)+((VLOOKUP(W$2,'Gamma Prediction'!$I$33:$K$62,2,FALSE)^GammaPower+(VLOOKUP(W$2,'Gamma Prediction'!$I$33:$K$62,3,FALSE)*GammaFactor)^GammaPower)))</f>
        <v>0.49967963859139214</v>
      </c>
      <c r="X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Prediction'!$I$33:$K$62,3,FALSE)*GammaFactor)^GammaPower)+((VLOOKUP(X$2,'Gamma Prediction'!$I$33:$K$62,2,FALSE)^GammaPower+(VLOOKUP(X$2,'Gamma Prediction'!$I$33:$K$62,3,FALSE)*GammaFactor)^GammaPower)))</f>
        <v>0.38555351058969861</v>
      </c>
      <c r="Y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Prediction'!$I$33:$K$62,3,FALSE)*GammaFactor)^GammaPower)+((VLOOKUP(Y$2,'Gamma Prediction'!$I$33:$K$62,2,FALSE)^GammaPower+(VLOOKUP(Y$2,'Gamma Prediction'!$I$33:$K$62,3,FALSE)*GammaFactor)^GammaPower)))</f>
        <v>0.46971052681131165</v>
      </c>
      <c r="Z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Prediction'!$I$33:$K$62,3,FALSE)*GammaFactor)^GammaPower)+((VLOOKUP(Z$2,'Gamma Prediction'!$I$33:$K$62,2,FALSE)^GammaPower+(VLOOKUP(Z$2,'Gamma Prediction'!$I$33:$K$62,3,FALSE)*GammaFactor)^GammaPower)))</f>
        <v>0.45585743764235925</v>
      </c>
      <c r="AA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Prediction'!$I$33:$K$62,3,FALSE)*GammaFactor)^GammaPower)+((VLOOKUP(AA$2,'Gamma Prediction'!$I$33:$K$62,2,FALSE)^GammaPower+(VLOOKUP(AA$2,'Gamma Prediction'!$I$33:$K$62,3,FALSE)*GammaFactor)^GammaPower)))</f>
        <v>0.47561904788232834</v>
      </c>
      <c r="AB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Prediction'!$I$33:$K$62,3,FALSE)*GammaFactor)^GammaPower)+((VLOOKUP(AB$2,'Gamma Prediction'!$I$33:$K$62,2,FALSE)^GammaPower+(VLOOKUP(AB$2,'Gamma Prediction'!$I$33:$K$62,3,FALSE)*GammaFactor)^GammaPower)))</f>
        <v>0.48613578078253089</v>
      </c>
      <c r="AC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Prediction'!$I$33:$K$62,3,FALSE)*GammaFactor)^GammaPower)+((VLOOKUP(AC$2,'Gamma Prediction'!$I$33:$K$62,2,FALSE)^GammaPower+(VLOOKUP(AC$2,'Gamma Prediction'!$I$33:$K$62,3,FALSE)*GammaFactor)^GammaPower)))</f>
        <v>0.63590038384677305</v>
      </c>
      <c r="AD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Prediction'!$I$33:$K$62,3,FALSE)*GammaFactor)^GammaPower)+((VLOOKUP(AD$2,'Gamma Prediction'!$I$33:$K$62,2,FALSE)^GammaPower+(VLOOKUP(AD$2,'Gamma Prediction'!$I$33:$K$62,3,FALSE)*GammaFactor)^GammaPower)))</f>
        <v>0.646755959572613</v>
      </c>
      <c r="AE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Prediction'!$I$33:$K$62,3,FALSE)*GammaFactor)^GammaPower)+((VLOOKUP(AE$2,'Gamma Prediction'!$I$33:$K$62,2,FALSE)^GammaPower+(VLOOKUP(AE$2,'Gamma Prediction'!$I$33:$K$62,3,FALSE)*GammaFactor)^GammaPower)))</f>
        <v>0.66993304805601073</v>
      </c>
      <c r="AF11" s="55">
        <f>((VLOOKUP($B11,'Gamma Prediction'!$I$33:$K$62,2,FALSE)^GammaPower+(VLOOKUP($B11,'Gamma Prediction'!$I$33:$K$62,3,FALSE)*GammaFactor)^GammaPower))/((VLOOKUP($B11,'Gamma Prediction'!$I$33:$K$62,2,FALSE)^GammaPower+(VLOOKUP($B11,'Gamma Prediction'!$I$33:$K$62,3,FALSE)*GammaFactor)^GammaPower)+((VLOOKUP(AF$2,'Gamma Prediction'!$I$33:$K$62,2,FALSE)^GammaPower+(VLOOKUP(AF$2,'Gamma Prediction'!$I$33:$K$62,3,FALSE)*GammaFactor)^GammaPower)))</f>
        <v>0.8201588704535494</v>
      </c>
    </row>
    <row r="12" spans="1:32" x14ac:dyDescent="0.25">
      <c r="B12" t="s">
        <v>22</v>
      </c>
      <c r="C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Prediction'!$I$33:$K$62,3,FALSE)*GammaFactor)^GammaPower)+((VLOOKUP(C$2,'Gamma Prediction'!$I$33:$K$62,2,FALSE)^GammaPower+(VLOOKUP(C$2,'Gamma Prediction'!$I$33:$K$62,3,FALSE)*GammaFactor)^GammaPower)))</f>
        <v>0.40001814221798093</v>
      </c>
      <c r="D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Prediction'!$I$33:$K$62,3,FALSE)*GammaFactor)^GammaPower)+((VLOOKUP(D$2,'Gamma Prediction'!$I$33:$K$62,2,FALSE)^GammaPower+(VLOOKUP(D$2,'Gamma Prediction'!$I$33:$K$62,3,FALSE)*GammaFactor)^GammaPower)))</f>
        <v>0.37799462305708115</v>
      </c>
      <c r="E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Prediction'!$I$33:$K$62,3,FALSE)*GammaFactor)^GammaPower)+((VLOOKUP(E$2,'Gamma Prediction'!$I$33:$K$62,2,FALSE)^GammaPower+(VLOOKUP(E$2,'Gamma Prediction'!$I$33:$K$62,3,FALSE)*GammaFactor)^GammaPower)))</f>
        <v>0.3581919524309769</v>
      </c>
      <c r="F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Prediction'!$I$33:$K$62,3,FALSE)*GammaFactor)^GammaPower)+((VLOOKUP(F$2,'Gamma Prediction'!$I$33:$K$62,2,FALSE)^GammaPower+(VLOOKUP(F$2,'Gamma Prediction'!$I$33:$K$62,3,FALSE)*GammaFactor)^GammaPower)))</f>
        <v>0.44099997001312063</v>
      </c>
      <c r="G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Prediction'!$I$33:$K$62,3,FALSE)*GammaFactor)^GammaPower)+((VLOOKUP(G$2,'Gamma Prediction'!$I$33:$K$62,2,FALSE)^GammaPower+(VLOOKUP(G$2,'Gamma Prediction'!$I$33:$K$62,3,FALSE)*GammaFactor)^GammaPower)))</f>
        <v>0.45948671842261934</v>
      </c>
      <c r="H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Prediction'!$I$33:$K$62,3,FALSE)*GammaFactor)^GammaPower)+((VLOOKUP(H$2,'Gamma Prediction'!$I$33:$K$62,2,FALSE)^GammaPower+(VLOOKUP(H$2,'Gamma Prediction'!$I$33:$K$62,3,FALSE)*GammaFactor)^GammaPower)))</f>
        <v>0.46878469645287335</v>
      </c>
      <c r="I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Prediction'!$I$33:$K$62,3,FALSE)*GammaFactor)^GammaPower)+((VLOOKUP(I$2,'Gamma Prediction'!$I$33:$K$62,2,FALSE)^GammaPower+(VLOOKUP(I$2,'Gamma Prediction'!$I$33:$K$62,3,FALSE)*GammaFactor)^GammaPower)))</f>
        <v>0.48247297769792136</v>
      </c>
      <c r="J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Prediction'!$I$33:$K$62,3,FALSE)*GammaFactor)^GammaPower)+((VLOOKUP(J$2,'Gamma Prediction'!$I$33:$K$62,2,FALSE)^GammaPower+(VLOOKUP(J$2,'Gamma Prediction'!$I$33:$K$62,3,FALSE)*GammaFactor)^GammaPower)))</f>
        <v>0.44124474520573215</v>
      </c>
      <c r="K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Prediction'!$I$33:$K$62,3,FALSE)*GammaFactor)^GammaPower)+((VLOOKUP(K$2,'Gamma Prediction'!$I$33:$K$62,2,FALSE)^GammaPower+(VLOOKUP(K$2,'Gamma Prediction'!$I$33:$K$62,3,FALSE)*GammaFactor)^GammaPower)))</f>
        <v>0.48335762382351988</v>
      </c>
      <c r="L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Prediction'!$I$33:$K$62,3,FALSE)*GammaFactor)^GammaPower)+((VLOOKUP(L$2,'Gamma Prediction'!$I$33:$K$62,2,FALSE)^GammaPower+(VLOOKUP(L$2,'Gamma Prediction'!$I$33:$K$62,3,FALSE)*GammaFactor)^GammaPower)))</f>
        <v>0.5</v>
      </c>
      <c r="M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Prediction'!$I$33:$K$62,3,FALSE)*GammaFactor)^GammaPower)+((VLOOKUP(M$2,'Gamma Prediction'!$I$33:$K$62,2,FALSE)^GammaPower+(VLOOKUP(M$2,'Gamma Prediction'!$I$33:$K$62,3,FALSE)*GammaFactor)^GammaPower)))</f>
        <v>0.45635486809725234</v>
      </c>
      <c r="N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Prediction'!$I$33:$K$62,3,FALSE)*GammaFactor)^GammaPower)+((VLOOKUP(N$2,'Gamma Prediction'!$I$33:$K$62,2,FALSE)^GammaPower+(VLOOKUP(N$2,'Gamma Prediction'!$I$33:$K$62,3,FALSE)*GammaFactor)^GammaPower)))</f>
        <v>0.71431902705678907</v>
      </c>
      <c r="O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Prediction'!$I$33:$K$62,3,FALSE)*GammaFactor)^GammaPower)+((VLOOKUP(O$2,'Gamma Prediction'!$I$33:$K$62,2,FALSE)^GammaPower+(VLOOKUP(O$2,'Gamma Prediction'!$I$33:$K$62,3,FALSE)*GammaFactor)^GammaPower)))</f>
        <v>0.7176438713446337</v>
      </c>
      <c r="P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Prediction'!$I$33:$K$62,3,FALSE)*GammaFactor)^GammaPower)+((VLOOKUP(P$2,'Gamma Prediction'!$I$33:$K$62,2,FALSE)^GammaPower+(VLOOKUP(P$2,'Gamma Prediction'!$I$33:$K$62,3,FALSE)*GammaFactor)^GammaPower)))</f>
        <v>0.60657082089599035</v>
      </c>
      <c r="Q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Prediction'!$I$33:$K$62,3,FALSE)*GammaFactor)^GammaPower)+((VLOOKUP(Q$2,'Gamma Prediction'!$I$33:$K$62,2,FALSE)^GammaPower+(VLOOKUP(Q$2,'Gamma Prediction'!$I$33:$K$62,3,FALSE)*GammaFactor)^GammaPower)))</f>
        <v>0.56579833978275407</v>
      </c>
      <c r="R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Prediction'!$I$33:$K$62,3,FALSE)*GammaFactor)^GammaPower)+((VLOOKUP(R$2,'Gamma Prediction'!$I$33:$K$62,2,FALSE)^GammaPower+(VLOOKUP(R$2,'Gamma Prediction'!$I$33:$K$62,3,FALSE)*GammaFactor)^GammaPower)))</f>
        <v>0.32160743514691731</v>
      </c>
      <c r="S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Prediction'!$I$33:$K$62,3,FALSE)*GammaFactor)^GammaPower)+((VLOOKUP(S$2,'Gamma Prediction'!$I$33:$K$62,2,FALSE)^GammaPower+(VLOOKUP(S$2,'Gamma Prediction'!$I$33:$K$62,3,FALSE)*GammaFactor)^GammaPower)))</f>
        <v>0.37689679435968776</v>
      </c>
      <c r="T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Prediction'!$I$33:$K$62,3,FALSE)*GammaFactor)^GammaPower)+((VLOOKUP(T$2,'Gamma Prediction'!$I$33:$K$62,2,FALSE)^GammaPower+(VLOOKUP(T$2,'Gamma Prediction'!$I$33:$K$62,3,FALSE)*GammaFactor)^GammaPower)))</f>
        <v>0.36986005452727566</v>
      </c>
      <c r="U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Prediction'!$I$33:$K$62,3,FALSE)*GammaFactor)^GammaPower)+((VLOOKUP(U$2,'Gamma Prediction'!$I$33:$K$62,2,FALSE)^GammaPower+(VLOOKUP(U$2,'Gamma Prediction'!$I$33:$K$62,3,FALSE)*GammaFactor)^GammaPower)))</f>
        <v>0.35227145853993269</v>
      </c>
      <c r="V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Prediction'!$I$33:$K$62,3,FALSE)*GammaFactor)^GammaPower)+((VLOOKUP(V$2,'Gamma Prediction'!$I$33:$K$62,2,FALSE)^GammaPower+(VLOOKUP(V$2,'Gamma Prediction'!$I$33:$K$62,3,FALSE)*GammaFactor)^GammaPower)))</f>
        <v>0.48609765297188706</v>
      </c>
      <c r="W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Prediction'!$I$33:$K$62,3,FALSE)*GammaFactor)^GammaPower)+((VLOOKUP(W$2,'Gamma Prediction'!$I$33:$K$62,2,FALSE)^GammaPower+(VLOOKUP(W$2,'Gamma Prediction'!$I$33:$K$62,3,FALSE)*GammaFactor)^GammaPower)))</f>
        <v>0.48303762415963297</v>
      </c>
      <c r="X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Prediction'!$I$33:$K$62,3,FALSE)*GammaFactor)^GammaPower)+((VLOOKUP(X$2,'Gamma Prediction'!$I$33:$K$62,2,FALSE)^GammaPower+(VLOOKUP(X$2,'Gamma Prediction'!$I$33:$K$62,3,FALSE)*GammaFactor)^GammaPower)))</f>
        <v>0.36990230272915031</v>
      </c>
      <c r="Y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Prediction'!$I$33:$K$62,3,FALSE)*GammaFactor)^GammaPower)+((VLOOKUP(Y$2,'Gamma Prediction'!$I$33:$K$62,2,FALSE)^GammaPower+(VLOOKUP(Y$2,'Gamma Prediction'!$I$33:$K$62,3,FALSE)*GammaFactor)^GammaPower)))</f>
        <v>0.45316259148834875</v>
      </c>
      <c r="Z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Prediction'!$I$33:$K$62,3,FALSE)*GammaFactor)^GammaPower)+((VLOOKUP(Z$2,'Gamma Prediction'!$I$33:$K$62,2,FALSE)^GammaPower+(VLOOKUP(Z$2,'Gamma Prediction'!$I$33:$K$62,3,FALSE)*GammaFactor)^GammaPower)))</f>
        <v>0.43939315761243042</v>
      </c>
      <c r="AA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Prediction'!$I$33:$K$62,3,FALSE)*GammaFactor)^GammaPower)+((VLOOKUP(AA$2,'Gamma Prediction'!$I$33:$K$62,2,FALSE)^GammaPower+(VLOOKUP(AA$2,'Gamma Prediction'!$I$33:$K$62,3,FALSE)*GammaFactor)^GammaPower)))</f>
        <v>0.4590431458231492</v>
      </c>
      <c r="AB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Prediction'!$I$33:$K$62,3,FALSE)*GammaFactor)^GammaPower)+((VLOOKUP(AB$2,'Gamma Prediction'!$I$33:$K$62,2,FALSE)^GammaPower+(VLOOKUP(AB$2,'Gamma Prediction'!$I$33:$K$62,3,FALSE)*GammaFactor)^GammaPower)))</f>
        <v>0.46952153422467463</v>
      </c>
      <c r="AC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Prediction'!$I$33:$K$62,3,FALSE)*GammaFactor)^GammaPower)+((VLOOKUP(AC$2,'Gamma Prediction'!$I$33:$K$62,2,FALSE)^GammaPower+(VLOOKUP(AC$2,'Gamma Prediction'!$I$33:$K$62,3,FALSE)*GammaFactor)^GammaPower)))</f>
        <v>0.62034676332515171</v>
      </c>
      <c r="AD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Prediction'!$I$33:$K$62,3,FALSE)*GammaFactor)^GammaPower)+((VLOOKUP(AD$2,'Gamma Prediction'!$I$33:$K$62,2,FALSE)^GammaPower+(VLOOKUP(AD$2,'Gamma Prediction'!$I$33:$K$62,3,FALSE)*GammaFactor)^GammaPower)))</f>
        <v>0.6313972652395069</v>
      </c>
      <c r="AE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Prediction'!$I$33:$K$62,3,FALSE)*GammaFactor)^GammaPower)+((VLOOKUP(AE$2,'Gamma Prediction'!$I$33:$K$62,2,FALSE)^GammaPower+(VLOOKUP(AE$2,'Gamma Prediction'!$I$33:$K$62,3,FALSE)*GammaFactor)^GammaPower)))</f>
        <v>0.65504459194010822</v>
      </c>
      <c r="AF12" s="55">
        <f>((VLOOKUP($B12,'Gamma Prediction'!$I$33:$K$62,2,FALSE)^GammaPower+(VLOOKUP($B12,'Gamma Prediction'!$I$33:$K$62,3,FALSE)*GammaFactor)^GammaPower))/((VLOOKUP($B12,'Gamma Prediction'!$I$33:$K$62,2,FALSE)^GammaPower+(VLOOKUP($B12,'Gamma Prediction'!$I$33:$K$62,3,FALSE)*GammaFactor)^GammaPower)+((VLOOKUP(AF$2,'Gamma Prediction'!$I$33:$K$62,2,FALSE)^GammaPower+(VLOOKUP(AF$2,'Gamma Prediction'!$I$33:$K$62,3,FALSE)*GammaFactor)^GammaPower)))</f>
        <v>0.81012615643036057</v>
      </c>
    </row>
    <row r="13" spans="1:32" x14ac:dyDescent="0.25">
      <c r="B13" t="s">
        <v>23</v>
      </c>
      <c r="C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Prediction'!$I$33:$K$62,3,FALSE)*GammaFactor)^GammaPower)+((VLOOKUP(C$2,'Gamma Prediction'!$I$33:$K$62,2,FALSE)^GammaPower+(VLOOKUP(C$2,'Gamma Prediction'!$I$33:$K$62,3,FALSE)*GammaFactor)^GammaPower)))</f>
        <v>0.44266245381824337</v>
      </c>
      <c r="D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Prediction'!$I$33:$K$62,3,FALSE)*GammaFactor)^GammaPower)+((VLOOKUP(D$2,'Gamma Prediction'!$I$33:$K$62,2,FALSE)^GammaPower+(VLOOKUP(D$2,'Gamma Prediction'!$I$33:$K$62,3,FALSE)*GammaFactor)^GammaPower)))</f>
        <v>0.4199343761409326</v>
      </c>
      <c r="E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Prediction'!$I$33:$K$62,3,FALSE)*GammaFactor)^GammaPower)+((VLOOKUP(E$2,'Gamma Prediction'!$I$33:$K$62,2,FALSE)^GammaPower+(VLOOKUP(E$2,'Gamma Prediction'!$I$33:$K$62,3,FALSE)*GammaFactor)^GammaPower)))</f>
        <v>0.39934518064445151</v>
      </c>
      <c r="F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Prediction'!$I$33:$K$62,3,FALSE)*GammaFactor)^GammaPower)+((VLOOKUP(F$2,'Gamma Prediction'!$I$33:$K$62,2,FALSE)^GammaPower+(VLOOKUP(F$2,'Gamma Prediction'!$I$33:$K$62,3,FALSE)*GammaFactor)^GammaPower)))</f>
        <v>0.48448529649232508</v>
      </c>
      <c r="G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Prediction'!$I$33:$K$62,3,FALSE)*GammaFactor)^GammaPower)+((VLOOKUP(G$2,'Gamma Prediction'!$I$33:$K$62,2,FALSE)^GammaPower+(VLOOKUP(G$2,'Gamma Prediction'!$I$33:$K$62,3,FALSE)*GammaFactor)^GammaPower)))</f>
        <v>0.50315415915710848</v>
      </c>
      <c r="H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Prediction'!$I$33:$K$62,3,FALSE)*GammaFactor)^GammaPower)+((VLOOKUP(H$2,'Gamma Prediction'!$I$33:$K$62,2,FALSE)^GammaPower+(VLOOKUP(H$2,'Gamma Prediction'!$I$33:$K$62,3,FALSE)*GammaFactor)^GammaPower)))</f>
        <v>0.51249793691469891</v>
      </c>
      <c r="I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Prediction'!$I$33:$K$62,3,FALSE)*GammaFactor)^GammaPower)+((VLOOKUP(I$2,'Gamma Prediction'!$I$33:$K$62,2,FALSE)^GammaPower+(VLOOKUP(I$2,'Gamma Prediction'!$I$33:$K$62,3,FALSE)*GammaFactor)^GammaPower)))</f>
        <v>0.52619827308871803</v>
      </c>
      <c r="J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Prediction'!$I$33:$K$62,3,FALSE)*GammaFactor)^GammaPower)+((VLOOKUP(J$2,'Gamma Prediction'!$I$33:$K$62,2,FALSE)^GammaPower+(VLOOKUP(J$2,'Gamma Prediction'!$I$33:$K$62,3,FALSE)*GammaFactor)^GammaPower)))</f>
        <v>0.48473327835423335</v>
      </c>
      <c r="K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Prediction'!$I$33:$K$62,3,FALSE)*GammaFactor)^GammaPower)+((VLOOKUP(K$2,'Gamma Prediction'!$I$33:$K$62,2,FALSE)^GammaPower+(VLOOKUP(K$2,'Gamma Prediction'!$I$33:$K$62,3,FALSE)*GammaFactor)^GammaPower)))</f>
        <v>0.52708143908217897</v>
      </c>
      <c r="L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Prediction'!$I$33:$K$62,3,FALSE)*GammaFactor)^GammaPower)+((VLOOKUP(L$2,'Gamma Prediction'!$I$33:$K$62,2,FALSE)^GammaPower+(VLOOKUP(L$2,'Gamma Prediction'!$I$33:$K$62,3,FALSE)*GammaFactor)^GammaPower)))</f>
        <v>0.54364513190274766</v>
      </c>
      <c r="M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Prediction'!$I$33:$K$62,3,FALSE)*GammaFactor)^GammaPower)+((VLOOKUP(M$2,'Gamma Prediction'!$I$33:$K$62,2,FALSE)^GammaPower+(VLOOKUP(M$2,'Gamma Prediction'!$I$33:$K$62,3,FALSE)*GammaFactor)^GammaPower)))</f>
        <v>0.5</v>
      </c>
      <c r="N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Prediction'!$I$33:$K$62,3,FALSE)*GammaFactor)^GammaPower)+((VLOOKUP(N$2,'Gamma Prediction'!$I$33:$K$62,2,FALSE)^GammaPower+(VLOOKUP(N$2,'Gamma Prediction'!$I$33:$K$62,3,FALSE)*GammaFactor)^GammaPower)))</f>
        <v>0.74866030277055284</v>
      </c>
      <c r="O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Prediction'!$I$33:$K$62,3,FALSE)*GammaFactor)^GammaPower)+((VLOOKUP(O$2,'Gamma Prediction'!$I$33:$K$62,2,FALSE)^GammaPower+(VLOOKUP(O$2,'Gamma Prediction'!$I$33:$K$62,3,FALSE)*GammaFactor)^GammaPower)))</f>
        <v>0.75172438729647584</v>
      </c>
      <c r="P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Prediction'!$I$33:$K$62,3,FALSE)*GammaFactor)^GammaPower)+((VLOOKUP(P$2,'Gamma Prediction'!$I$33:$K$62,2,FALSE)^GammaPower+(VLOOKUP(P$2,'Gamma Prediction'!$I$33:$K$62,3,FALSE)*GammaFactor)^GammaPower)))</f>
        <v>0.64747220439559905</v>
      </c>
      <c r="Q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Prediction'!$I$33:$K$62,3,FALSE)*GammaFactor)^GammaPower)+((VLOOKUP(Q$2,'Gamma Prediction'!$I$33:$K$62,2,FALSE)^GammaPower+(VLOOKUP(Q$2,'Gamma Prediction'!$I$33:$K$62,3,FALSE)*GammaFactor)^GammaPower)))</f>
        <v>0.6082005600716015</v>
      </c>
      <c r="R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Prediction'!$I$33:$K$62,3,FALSE)*GammaFactor)^GammaPower)+((VLOOKUP(R$2,'Gamma Prediction'!$I$33:$K$62,2,FALSE)^GammaPower+(VLOOKUP(R$2,'Gamma Prediction'!$I$33:$K$62,3,FALSE)*GammaFactor)^GammaPower)))</f>
        <v>0.36092111252344472</v>
      </c>
      <c r="S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Prediction'!$I$33:$K$62,3,FALSE)*GammaFactor)^GammaPower)+((VLOOKUP(S$2,'Gamma Prediction'!$I$33:$K$62,2,FALSE)^GammaPower+(VLOOKUP(S$2,'Gamma Prediction'!$I$33:$K$62,3,FALSE)*GammaFactor)^GammaPower)))</f>
        <v>0.41879675296461299</v>
      </c>
      <c r="T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Prediction'!$I$33:$K$62,3,FALSE)*GammaFactor)^GammaPower)+((VLOOKUP(T$2,'Gamma Prediction'!$I$33:$K$62,2,FALSE)^GammaPower+(VLOOKUP(T$2,'Gamma Prediction'!$I$33:$K$62,3,FALSE)*GammaFactor)^GammaPower)))</f>
        <v>0.41149434680966773</v>
      </c>
      <c r="U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Prediction'!$I$33:$K$62,3,FALSE)*GammaFactor)^GammaPower)+((VLOOKUP(U$2,'Gamma Prediction'!$I$33:$K$62,2,FALSE)^GammaPower+(VLOOKUP(U$2,'Gamma Prediction'!$I$33:$K$62,3,FALSE)*GammaFactor)^GammaPower)))</f>
        <v>0.39316116049871819</v>
      </c>
      <c r="V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Prediction'!$I$33:$K$62,3,FALSE)*GammaFactor)^GammaPower)+((VLOOKUP(V$2,'Gamma Prediction'!$I$33:$K$62,2,FALSE)^GammaPower+(VLOOKUP(V$2,'Gamma Prediction'!$I$33:$K$62,3,FALSE)*GammaFactor)^GammaPower)))</f>
        <v>0.52981514859804013</v>
      </c>
      <c r="W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Prediction'!$I$33:$K$62,3,FALSE)*GammaFactor)^GammaPower)+((VLOOKUP(W$2,'Gamma Prediction'!$I$33:$K$62,2,FALSE)^GammaPower+(VLOOKUP(W$2,'Gamma Prediction'!$I$33:$K$62,3,FALSE)*GammaFactor)^GammaPower)))</f>
        <v>0.52676200640596704</v>
      </c>
      <c r="X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Prediction'!$I$33:$K$62,3,FALSE)*GammaFactor)^GammaPower)+((VLOOKUP(X$2,'Gamma Prediction'!$I$33:$K$62,2,FALSE)^GammaPower+(VLOOKUP(X$2,'Gamma Prediction'!$I$33:$K$62,3,FALSE)*GammaFactor)^GammaPower)))</f>
        <v>0.41153824483894341</v>
      </c>
      <c r="Y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Prediction'!$I$33:$K$62,3,FALSE)*GammaFactor)^GammaPower)+((VLOOKUP(Y$2,'Gamma Prediction'!$I$33:$K$62,2,FALSE)^GammaPower+(VLOOKUP(Y$2,'Gamma Prediction'!$I$33:$K$62,3,FALSE)*GammaFactor)^GammaPower)))</f>
        <v>0.49678140526545328</v>
      </c>
      <c r="Z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Prediction'!$I$33:$K$62,3,FALSE)*GammaFactor)^GammaPower)+((VLOOKUP(Z$2,'Gamma Prediction'!$I$33:$K$62,2,FALSE)^GammaPower+(VLOOKUP(Z$2,'Gamma Prediction'!$I$33:$K$62,3,FALSE)*GammaFactor)^GammaPower)))</f>
        <v>0.48285690226343841</v>
      </c>
      <c r="AA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Prediction'!$I$33:$K$62,3,FALSE)*GammaFactor)^GammaPower)+((VLOOKUP(AA$2,'Gamma Prediction'!$I$33:$K$62,2,FALSE)^GammaPower+(VLOOKUP(AA$2,'Gamma Prediction'!$I$33:$K$62,3,FALSE)*GammaFactor)^GammaPower)))</f>
        <v>0.50270763806700314</v>
      </c>
      <c r="AB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Prediction'!$I$33:$K$62,3,FALSE)*GammaFactor)^GammaPower)+((VLOOKUP(AB$2,'Gamma Prediction'!$I$33:$K$62,2,FALSE)^GammaPower+(VLOOKUP(AB$2,'Gamma Prediction'!$I$33:$K$62,3,FALSE)*GammaFactor)^GammaPower)))</f>
        <v>0.51323710003029677</v>
      </c>
      <c r="AC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Prediction'!$I$33:$K$62,3,FALSE)*GammaFactor)^GammaPower)+((VLOOKUP(AC$2,'Gamma Prediction'!$I$33:$K$62,2,FALSE)^GammaPower+(VLOOKUP(AC$2,'Gamma Prediction'!$I$33:$K$62,3,FALSE)*GammaFactor)^GammaPower)))</f>
        <v>0.66061729353634191</v>
      </c>
      <c r="AD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Prediction'!$I$33:$K$62,3,FALSE)*GammaFactor)^GammaPower)+((VLOOKUP(AD$2,'Gamma Prediction'!$I$33:$K$62,2,FALSE)^GammaPower+(VLOOKUP(AD$2,'Gamma Prediction'!$I$33:$K$62,3,FALSE)*GammaFactor)^GammaPower)))</f>
        <v>0.67111707348083416</v>
      </c>
      <c r="AE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Prediction'!$I$33:$K$62,3,FALSE)*GammaFactor)^GammaPower)+((VLOOKUP(AE$2,'Gamma Prediction'!$I$33:$K$62,2,FALSE)^GammaPower+(VLOOKUP(AE$2,'Gamma Prediction'!$I$33:$K$62,3,FALSE)*GammaFactor)^GammaPower)))</f>
        <v>0.69345337307993826</v>
      </c>
      <c r="AF13" s="55">
        <f>((VLOOKUP($B13,'Gamma Prediction'!$I$33:$K$62,2,FALSE)^GammaPower+(VLOOKUP($B13,'Gamma Prediction'!$I$33:$K$62,3,FALSE)*GammaFactor)^GammaPower))/((VLOOKUP($B13,'Gamma Prediction'!$I$33:$K$62,2,FALSE)^GammaPower+(VLOOKUP($B13,'Gamma Prediction'!$I$33:$K$62,3,FALSE)*GammaFactor)^GammaPower)+((VLOOKUP(AF$2,'Gamma Prediction'!$I$33:$K$62,2,FALSE)^GammaPower+(VLOOKUP(AF$2,'Gamma Prediction'!$I$33:$K$62,3,FALSE)*GammaFactor)^GammaPower)))</f>
        <v>0.83560117361332087</v>
      </c>
    </row>
    <row r="14" spans="1:32" x14ac:dyDescent="0.25">
      <c r="B14" t="s">
        <v>24</v>
      </c>
      <c r="C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Prediction'!$I$33:$K$62,3,FALSE)*GammaFactor)^GammaPower)+((VLOOKUP(C$2,'Gamma Prediction'!$I$33:$K$62,2,FALSE)^GammaPower+(VLOOKUP(C$2,'Gamma Prediction'!$I$33:$K$62,3,FALSE)*GammaFactor)^GammaPower)))</f>
        <v>0.21051174890949442</v>
      </c>
      <c r="D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Prediction'!$I$33:$K$62,3,FALSE)*GammaFactor)^GammaPower)+((VLOOKUP(D$2,'Gamma Prediction'!$I$33:$K$62,2,FALSE)^GammaPower+(VLOOKUP(D$2,'Gamma Prediction'!$I$33:$K$62,3,FALSE)*GammaFactor)^GammaPower)))</f>
        <v>0.19552168197733047</v>
      </c>
      <c r="E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Prediction'!$I$33:$K$62,3,FALSE)*GammaFactor)^GammaPower)+((VLOOKUP(E$2,'Gamma Prediction'!$I$33:$K$62,2,FALSE)^GammaPower+(VLOOKUP(E$2,'Gamma Prediction'!$I$33:$K$62,3,FALSE)*GammaFactor)^GammaPower)))</f>
        <v>0.1824741184899055</v>
      </c>
      <c r="F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Prediction'!$I$33:$K$62,3,FALSE)*GammaFactor)^GammaPower)+((VLOOKUP(F$2,'Gamma Prediction'!$I$33:$K$62,2,FALSE)^GammaPower+(VLOOKUP(F$2,'Gamma Prediction'!$I$33:$K$62,3,FALSE)*GammaFactor)^GammaPower)))</f>
        <v>0.23983967430440067</v>
      </c>
      <c r="G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Prediction'!$I$33:$K$62,3,FALSE)*GammaFactor)^GammaPower)+((VLOOKUP(G$2,'Gamma Prediction'!$I$33:$K$62,2,FALSE)^GammaPower+(VLOOKUP(G$2,'Gamma Prediction'!$I$33:$K$62,3,FALSE)*GammaFactor)^GammaPower)))</f>
        <v>0.25372121662729902</v>
      </c>
      <c r="H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Prediction'!$I$33:$K$62,3,FALSE)*GammaFactor)^GammaPower)+((VLOOKUP(H$2,'Gamma Prediction'!$I$33:$K$62,2,FALSE)^GammaPower+(VLOOKUP(H$2,'Gamma Prediction'!$I$33:$K$62,3,FALSE)*GammaFactor)^GammaPower)))</f>
        <v>0.26086495522450504</v>
      </c>
      <c r="I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Prediction'!$I$33:$K$62,3,FALSE)*GammaFactor)^GammaPower)+((VLOOKUP(I$2,'Gamma Prediction'!$I$33:$K$62,2,FALSE)^GammaPower+(VLOOKUP(I$2,'Gamma Prediction'!$I$33:$K$62,3,FALSE)*GammaFactor)^GammaPower)))</f>
        <v>0.27158598484744811</v>
      </c>
      <c r="J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Prediction'!$I$33:$K$62,3,FALSE)*GammaFactor)^GammaPower)+((VLOOKUP(J$2,'Gamma Prediction'!$I$33:$K$62,2,FALSE)^GammaPower+(VLOOKUP(J$2,'Gamma Prediction'!$I$33:$K$62,3,FALSE)*GammaFactor)^GammaPower)))</f>
        <v>0.24002073741963917</v>
      </c>
      <c r="K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Prediction'!$I$33:$K$62,3,FALSE)*GammaFactor)^GammaPower)+((VLOOKUP(K$2,'Gamma Prediction'!$I$33:$K$62,2,FALSE)^GammaPower+(VLOOKUP(K$2,'Gamma Prediction'!$I$33:$K$62,3,FALSE)*GammaFactor)^GammaPower)))</f>
        <v>0.27228739784709832</v>
      </c>
      <c r="L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Prediction'!$I$33:$K$62,3,FALSE)*GammaFactor)^GammaPower)+((VLOOKUP(L$2,'Gamma Prediction'!$I$33:$K$62,2,FALSE)^GammaPower+(VLOOKUP(L$2,'Gamma Prediction'!$I$33:$K$62,3,FALSE)*GammaFactor)^GammaPower)))</f>
        <v>0.28568097294321082</v>
      </c>
      <c r="M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Prediction'!$I$33:$K$62,3,FALSE)*GammaFactor)^GammaPower)+((VLOOKUP(M$2,'Gamma Prediction'!$I$33:$K$62,2,FALSE)^GammaPower+(VLOOKUP(M$2,'Gamma Prediction'!$I$33:$K$62,3,FALSE)*GammaFactor)^GammaPower)))</f>
        <v>0.2513396972294471</v>
      </c>
      <c r="N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Prediction'!$I$33:$K$62,3,FALSE)*GammaFactor)^GammaPower)+((VLOOKUP(N$2,'Gamma Prediction'!$I$33:$K$62,2,FALSE)^GammaPower+(VLOOKUP(N$2,'Gamma Prediction'!$I$33:$K$62,3,FALSE)*GammaFactor)^GammaPower)))</f>
        <v>0.5</v>
      </c>
      <c r="O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Prediction'!$I$33:$K$62,3,FALSE)*GammaFactor)^GammaPower)+((VLOOKUP(O$2,'Gamma Prediction'!$I$33:$K$62,2,FALSE)^GammaPower+(VLOOKUP(O$2,'Gamma Prediction'!$I$33:$K$62,3,FALSE)*GammaFactor)^GammaPower)))</f>
        <v>0.50408749223011973</v>
      </c>
      <c r="P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Prediction'!$I$33:$K$62,3,FALSE)*GammaFactor)^GammaPower)+((VLOOKUP(P$2,'Gamma Prediction'!$I$33:$K$62,2,FALSE)^GammaPower+(VLOOKUP(P$2,'Gamma Prediction'!$I$33:$K$62,3,FALSE)*GammaFactor)^GammaPower)))</f>
        <v>0.3814180759000394</v>
      </c>
      <c r="Q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Prediction'!$I$33:$K$62,3,FALSE)*GammaFactor)^GammaPower)+((VLOOKUP(Q$2,'Gamma Prediction'!$I$33:$K$62,2,FALSE)^GammaPower+(VLOOKUP(Q$2,'Gamma Prediction'!$I$33:$K$62,3,FALSE)*GammaFactor)^GammaPower)))</f>
        <v>0.34260084430181303</v>
      </c>
      <c r="R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Prediction'!$I$33:$K$62,3,FALSE)*GammaFactor)^GammaPower)+((VLOOKUP(R$2,'Gamma Prediction'!$I$33:$K$62,2,FALSE)^GammaPower+(VLOOKUP(R$2,'Gamma Prediction'!$I$33:$K$62,3,FALSE)*GammaFactor)^GammaPower)))</f>
        <v>0.15937999844186176</v>
      </c>
      <c r="S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Prediction'!$I$33:$K$62,3,FALSE)*GammaFactor)^GammaPower)+((VLOOKUP(S$2,'Gamma Prediction'!$I$33:$K$62,2,FALSE)^GammaPower+(VLOOKUP(S$2,'Gamma Prediction'!$I$33:$K$62,3,FALSE)*GammaFactor)^GammaPower)))</f>
        <v>0.19478785408785404</v>
      </c>
      <c r="T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Prediction'!$I$33:$K$62,3,FALSE)*GammaFactor)^GammaPower)+((VLOOKUP(T$2,'Gamma Prediction'!$I$33:$K$62,2,FALSE)^GammaPower+(VLOOKUP(T$2,'Gamma Prediction'!$I$33:$K$62,3,FALSE)*GammaFactor)^GammaPower)))</f>
        <v>0.19011375477430481</v>
      </c>
      <c r="U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Prediction'!$I$33:$K$62,3,FALSE)*GammaFactor)^GammaPower)+((VLOOKUP(U$2,'Gamma Prediction'!$I$33:$K$62,2,FALSE)^GammaPower+(VLOOKUP(U$2,'Gamma Prediction'!$I$33:$K$62,3,FALSE)*GammaFactor)^GammaPower)))</f>
        <v>0.17864958176275225</v>
      </c>
      <c r="V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Prediction'!$I$33:$K$62,3,FALSE)*GammaFactor)^GammaPower)+((VLOOKUP(V$2,'Gamma Prediction'!$I$33:$K$62,2,FALSE)^GammaPower+(VLOOKUP(V$2,'Gamma Prediction'!$I$33:$K$62,3,FALSE)*GammaFactor)^GammaPower)))</f>
        <v>0.27446656718733431</v>
      </c>
      <c r="W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Prediction'!$I$33:$K$62,3,FALSE)*GammaFactor)^GammaPower)+((VLOOKUP(W$2,'Gamma Prediction'!$I$33:$K$62,2,FALSE)^GammaPower+(VLOOKUP(W$2,'Gamma Prediction'!$I$33:$K$62,3,FALSE)*GammaFactor)^GammaPower)))</f>
        <v>0.27203355734735712</v>
      </c>
      <c r="X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Prediction'!$I$33:$K$62,3,FALSE)*GammaFactor)^GammaPower)+((VLOOKUP(X$2,'Gamma Prediction'!$I$33:$K$62,2,FALSE)^GammaPower+(VLOOKUP(X$2,'Gamma Prediction'!$I$33:$K$62,3,FALSE)*GammaFactor)^GammaPower)))</f>
        <v>0.19014166642379504</v>
      </c>
      <c r="Y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Prediction'!$I$33:$K$62,3,FALSE)*GammaFactor)^GammaPower)+((VLOOKUP(Y$2,'Gamma Prediction'!$I$33:$K$62,2,FALSE)^GammaPower+(VLOOKUP(Y$2,'Gamma Prediction'!$I$33:$K$62,3,FALSE)*GammaFactor)^GammaPower)))</f>
        <v>0.24892488106482835</v>
      </c>
      <c r="Z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Prediction'!$I$33:$K$62,3,FALSE)*GammaFactor)^GammaPower)+((VLOOKUP(Z$2,'Gamma Prediction'!$I$33:$K$62,2,FALSE)^GammaPower+(VLOOKUP(Z$2,'Gamma Prediction'!$I$33:$K$62,3,FALSE)*GammaFactor)^GammaPower)))</f>
        <v>0.23865288957316455</v>
      </c>
      <c r="AA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Prediction'!$I$33:$K$62,3,FALSE)*GammaFactor)^GammaPower)+((VLOOKUP(AA$2,'Gamma Prediction'!$I$33:$K$62,2,FALSE)^GammaPower+(VLOOKUP(AA$2,'Gamma Prediction'!$I$33:$K$62,3,FALSE)*GammaFactor)^GammaPower)))</f>
        <v>0.25338316449131032</v>
      </c>
      <c r="AB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Prediction'!$I$33:$K$62,3,FALSE)*GammaFactor)^GammaPower)+((VLOOKUP(AB$2,'Gamma Prediction'!$I$33:$K$62,2,FALSE)^GammaPower+(VLOOKUP(AB$2,'Gamma Prediction'!$I$33:$K$62,3,FALSE)*GammaFactor)^GammaPower)))</f>
        <v>0.26143582187851766</v>
      </c>
      <c r="AC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Prediction'!$I$33:$K$62,3,FALSE)*GammaFactor)^GammaPower)+((VLOOKUP(AC$2,'Gamma Prediction'!$I$33:$K$62,2,FALSE)^GammaPower+(VLOOKUP(AC$2,'Gamma Prediction'!$I$33:$K$62,3,FALSE)*GammaFactor)^GammaPower)))</f>
        <v>0.3952172583897875</v>
      </c>
      <c r="AD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Prediction'!$I$33:$K$62,3,FALSE)*GammaFactor)^GammaPower)+((VLOOKUP(AD$2,'Gamma Prediction'!$I$33:$K$62,2,FALSE)^GammaPower+(VLOOKUP(AD$2,'Gamma Prediction'!$I$33:$K$62,3,FALSE)*GammaFactor)^GammaPower)))</f>
        <v>0.40655189443306916</v>
      </c>
      <c r="AE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Prediction'!$I$33:$K$62,3,FALSE)*GammaFactor)^GammaPower)+((VLOOKUP(AE$2,'Gamma Prediction'!$I$33:$K$62,2,FALSE)^GammaPower+(VLOOKUP(AE$2,'Gamma Prediction'!$I$33:$K$62,3,FALSE)*GammaFactor)^GammaPower)))</f>
        <v>0.4316393373844753</v>
      </c>
      <c r="AF14" s="55">
        <f>((VLOOKUP($B14,'Gamma Prediction'!$I$33:$K$62,2,FALSE)^GammaPower+(VLOOKUP($B14,'Gamma Prediction'!$I$33:$K$62,3,FALSE)*GammaFactor)^GammaPower))/((VLOOKUP($B14,'Gamma Prediction'!$I$33:$K$62,2,FALSE)^GammaPower+(VLOOKUP($B14,'Gamma Prediction'!$I$33:$K$62,3,FALSE)*GammaFactor)^GammaPower)+((VLOOKUP(AF$2,'Gamma Prediction'!$I$33:$K$62,2,FALSE)^GammaPower+(VLOOKUP(AF$2,'Gamma Prediction'!$I$33:$K$62,3,FALSE)*GammaFactor)^GammaPower)))</f>
        <v>0.63050319834840518</v>
      </c>
    </row>
    <row r="15" spans="1:32" x14ac:dyDescent="0.25">
      <c r="B15" t="s">
        <v>26</v>
      </c>
      <c r="C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Prediction'!$I$33:$K$62,3,FALSE)*GammaFactor)^GammaPower)+((VLOOKUP(C$2,'Gamma Prediction'!$I$33:$K$62,2,FALSE)^GammaPower+(VLOOKUP(C$2,'Gamma Prediction'!$I$33:$K$62,3,FALSE)*GammaFactor)^GammaPower)))</f>
        <v>0.20780724121179037</v>
      </c>
      <c r="D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Prediction'!$I$33:$K$62,3,FALSE)*GammaFactor)^GammaPower)+((VLOOKUP(D$2,'Gamma Prediction'!$I$33:$K$62,2,FALSE)^GammaPower+(VLOOKUP(D$2,'Gamma Prediction'!$I$33:$K$62,3,FALSE)*GammaFactor)^GammaPower)))</f>
        <v>0.19296268629097435</v>
      </c>
      <c r="E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Prediction'!$I$33:$K$62,3,FALSE)*GammaFactor)^GammaPower)+((VLOOKUP(E$2,'Gamma Prediction'!$I$33:$K$62,2,FALSE)^GammaPower+(VLOOKUP(E$2,'Gamma Prediction'!$I$33:$K$62,3,FALSE)*GammaFactor)^GammaPower)))</f>
        <v>0.18004767102794275</v>
      </c>
      <c r="F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Prediction'!$I$33:$K$62,3,FALSE)*GammaFactor)^GammaPower)+((VLOOKUP(F$2,'Gamma Prediction'!$I$33:$K$62,2,FALSE)^GammaPower+(VLOOKUP(F$2,'Gamma Prediction'!$I$33:$K$62,3,FALSE)*GammaFactor)^GammaPower)))</f>
        <v>0.23687142924651941</v>
      </c>
      <c r="G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Prediction'!$I$33:$K$62,3,FALSE)*GammaFactor)^GammaPower)+((VLOOKUP(G$2,'Gamma Prediction'!$I$33:$K$62,2,FALSE)^GammaPower+(VLOOKUP(G$2,'Gamma Prediction'!$I$33:$K$62,3,FALSE)*GammaFactor)^GammaPower)))</f>
        <v>0.25063781873754948</v>
      </c>
      <c r="H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Prediction'!$I$33:$K$62,3,FALSE)*GammaFactor)^GammaPower)+((VLOOKUP(H$2,'Gamma Prediction'!$I$33:$K$62,2,FALSE)^GammaPower+(VLOOKUP(H$2,'Gamma Prediction'!$I$33:$K$62,3,FALSE)*GammaFactor)^GammaPower)))</f>
        <v>0.25772472311892031</v>
      </c>
      <c r="I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Prediction'!$I$33:$K$62,3,FALSE)*GammaFactor)^GammaPower)+((VLOOKUP(I$2,'Gamma Prediction'!$I$33:$K$62,2,FALSE)^GammaPower+(VLOOKUP(I$2,'Gamma Prediction'!$I$33:$K$62,3,FALSE)*GammaFactor)^GammaPower)))</f>
        <v>0.26836355330027956</v>
      </c>
      <c r="J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Prediction'!$I$33:$K$62,3,FALSE)*GammaFactor)^GammaPower)+((VLOOKUP(J$2,'Gamma Prediction'!$I$33:$K$62,2,FALSE)^GammaPower+(VLOOKUP(J$2,'Gamma Prediction'!$I$33:$K$62,3,FALSE)*GammaFactor)^GammaPower)))</f>
        <v>0.23705095032040469</v>
      </c>
      <c r="K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Prediction'!$I$33:$K$62,3,FALSE)*GammaFactor)^GammaPower)+((VLOOKUP(K$2,'Gamma Prediction'!$I$33:$K$62,2,FALSE)^GammaPower+(VLOOKUP(K$2,'Gamma Prediction'!$I$33:$K$62,3,FALSE)*GammaFactor)^GammaPower)))</f>
        <v>0.26905971798790634</v>
      </c>
      <c r="L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Prediction'!$I$33:$K$62,3,FALSE)*GammaFactor)^GammaPower)+((VLOOKUP(L$2,'Gamma Prediction'!$I$33:$K$62,2,FALSE)^GammaPower+(VLOOKUP(L$2,'Gamma Prediction'!$I$33:$K$62,3,FALSE)*GammaFactor)^GammaPower)))</f>
        <v>0.28235612865536625</v>
      </c>
      <c r="M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Prediction'!$I$33:$K$62,3,FALSE)*GammaFactor)^GammaPower)+((VLOOKUP(M$2,'Gamma Prediction'!$I$33:$K$62,2,FALSE)^GammaPower+(VLOOKUP(M$2,'Gamma Prediction'!$I$33:$K$62,3,FALSE)*GammaFactor)^GammaPower)))</f>
        <v>0.24827561270352405</v>
      </c>
      <c r="N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Prediction'!$I$33:$K$62,3,FALSE)*GammaFactor)^GammaPower)+((VLOOKUP(N$2,'Gamma Prediction'!$I$33:$K$62,2,FALSE)^GammaPower+(VLOOKUP(N$2,'Gamma Prediction'!$I$33:$K$62,3,FALSE)*GammaFactor)^GammaPower)))</f>
        <v>0.49591250776988033</v>
      </c>
      <c r="O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Prediction'!$I$33:$K$62,3,FALSE)*GammaFactor)^GammaPower)+((VLOOKUP(O$2,'Gamma Prediction'!$I$33:$K$62,2,FALSE)^GammaPower+(VLOOKUP(O$2,'Gamma Prediction'!$I$33:$K$62,3,FALSE)*GammaFactor)^GammaPower)))</f>
        <v>0.5</v>
      </c>
      <c r="P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Prediction'!$I$33:$K$62,3,FALSE)*GammaFactor)^GammaPower)+((VLOOKUP(P$2,'Gamma Prediction'!$I$33:$K$62,2,FALSE)^GammaPower+(VLOOKUP(P$2,'Gamma Prediction'!$I$33:$K$62,3,FALSE)*GammaFactor)^GammaPower)))</f>
        <v>0.37756795623540007</v>
      </c>
      <c r="Q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Prediction'!$I$33:$K$62,3,FALSE)*GammaFactor)^GammaPower)+((VLOOKUP(Q$2,'Gamma Prediction'!$I$33:$K$62,2,FALSE)^GammaPower+(VLOOKUP(Q$2,'Gamma Prediction'!$I$33:$K$62,3,FALSE)*GammaFactor)^GammaPower)))</f>
        <v>0.338927866584875</v>
      </c>
      <c r="R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Prediction'!$I$33:$K$62,3,FALSE)*GammaFactor)^GammaPower)+((VLOOKUP(R$2,'Gamma Prediction'!$I$33:$K$62,2,FALSE)^GammaPower+(VLOOKUP(R$2,'Gamma Prediction'!$I$33:$K$62,3,FALSE)*GammaFactor)^GammaPower)))</f>
        <v>0.15720159387857788</v>
      </c>
      <c r="S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Prediction'!$I$33:$K$62,3,FALSE)*GammaFactor)^GammaPower)+((VLOOKUP(S$2,'Gamma Prediction'!$I$33:$K$62,2,FALSE)^GammaPower+(VLOOKUP(S$2,'Gamma Prediction'!$I$33:$K$62,3,FALSE)*GammaFactor)^GammaPower)))</f>
        <v>0.19223616773410193</v>
      </c>
      <c r="T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Prediction'!$I$33:$K$62,3,FALSE)*GammaFactor)^GammaPower)+((VLOOKUP(T$2,'Gamma Prediction'!$I$33:$K$62,2,FALSE)^GammaPower+(VLOOKUP(T$2,'Gamma Prediction'!$I$33:$K$62,3,FALSE)*GammaFactor)^GammaPower)))</f>
        <v>0.18760903214308211</v>
      </c>
      <c r="U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Prediction'!$I$33:$K$62,3,FALSE)*GammaFactor)^GammaPower)+((VLOOKUP(U$2,'Gamma Prediction'!$I$33:$K$62,2,FALSE)^GammaPower+(VLOOKUP(U$2,'Gamma Prediction'!$I$33:$K$62,3,FALSE)*GammaFactor)^GammaPower)))</f>
        <v>0.17626302604519686</v>
      </c>
      <c r="V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Prediction'!$I$33:$K$62,3,FALSE)*GammaFactor)^GammaPower)+((VLOOKUP(V$2,'Gamma Prediction'!$I$33:$K$62,2,FALSE)^GammaPower+(VLOOKUP(V$2,'Gamma Prediction'!$I$33:$K$62,3,FALSE)*GammaFactor)^GammaPower)))</f>
        <v>0.27122268321802401</v>
      </c>
      <c r="W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Prediction'!$I$33:$K$62,3,FALSE)*GammaFactor)^GammaPower)+((VLOOKUP(W$2,'Gamma Prediction'!$I$33:$K$62,2,FALSE)^GammaPower+(VLOOKUP(W$2,'Gamma Prediction'!$I$33:$K$62,3,FALSE)*GammaFactor)^GammaPower)))</f>
        <v>0.2688077750090076</v>
      </c>
      <c r="X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Prediction'!$I$33:$K$62,3,FALSE)*GammaFactor)^GammaPower)+((VLOOKUP(X$2,'Gamma Prediction'!$I$33:$K$62,2,FALSE)^GammaPower+(VLOOKUP(X$2,'Gamma Prediction'!$I$33:$K$62,3,FALSE)*GammaFactor)^GammaPower)))</f>
        <v>0.18763666125761153</v>
      </c>
      <c r="Y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Prediction'!$I$33:$K$62,3,FALSE)*GammaFactor)^GammaPower)+((VLOOKUP(Y$2,'Gamma Prediction'!$I$33:$K$62,2,FALSE)^GammaPower+(VLOOKUP(Y$2,'Gamma Prediction'!$I$33:$K$62,3,FALSE)*GammaFactor)^GammaPower)))</f>
        <v>0.24588056699499031</v>
      </c>
      <c r="Z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Prediction'!$I$33:$K$62,3,FALSE)*GammaFactor)^GammaPower)+((VLOOKUP(Z$2,'Gamma Prediction'!$I$33:$K$62,2,FALSE)^GammaPower+(VLOOKUP(Z$2,'Gamma Prediction'!$I$33:$K$62,3,FALSE)*GammaFactor)^GammaPower)))</f>
        <v>0.23569477808461364</v>
      </c>
      <c r="AA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Prediction'!$I$33:$K$62,3,FALSE)*GammaFactor)^GammaPower)+((VLOOKUP(AA$2,'Gamma Prediction'!$I$33:$K$62,2,FALSE)^GammaPower+(VLOOKUP(AA$2,'Gamma Prediction'!$I$33:$K$62,3,FALSE)*GammaFactor)^GammaPower)))</f>
        <v>0.25030249693876977</v>
      </c>
      <c r="AB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Prediction'!$I$33:$K$62,3,FALSE)*GammaFactor)^GammaPower)+((VLOOKUP(AB$2,'Gamma Prediction'!$I$33:$K$62,2,FALSE)^GammaPower+(VLOOKUP(AB$2,'Gamma Prediction'!$I$33:$K$62,3,FALSE)*GammaFactor)^GammaPower)))</f>
        <v>0.25829111922222625</v>
      </c>
      <c r="AC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Prediction'!$I$33:$K$62,3,FALSE)*GammaFactor)^GammaPower)+((VLOOKUP(AC$2,'Gamma Prediction'!$I$33:$K$62,2,FALSE)^GammaPower+(VLOOKUP(AC$2,'Gamma Prediction'!$I$33:$K$62,3,FALSE)*GammaFactor)^GammaPower)))</f>
        <v>0.39131596306145849</v>
      </c>
      <c r="AD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Prediction'!$I$33:$K$62,3,FALSE)*GammaFactor)^GammaPower)+((VLOOKUP(AD$2,'Gamma Prediction'!$I$33:$K$62,2,FALSE)^GammaPower+(VLOOKUP(AD$2,'Gamma Prediction'!$I$33:$K$62,3,FALSE)*GammaFactor)^GammaPower)))</f>
        <v>0.40261319693046083</v>
      </c>
      <c r="AE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Prediction'!$I$33:$K$62,3,FALSE)*GammaFactor)^GammaPower)+((VLOOKUP(AE$2,'Gamma Prediction'!$I$33:$K$62,2,FALSE)^GammaPower+(VLOOKUP(AE$2,'Gamma Prediction'!$I$33:$K$62,3,FALSE)*GammaFactor)^GammaPower)))</f>
        <v>0.42763272966951943</v>
      </c>
      <c r="AF15" s="55">
        <f>((VLOOKUP($B15,'Gamma Prediction'!$I$33:$K$62,2,FALSE)^GammaPower+(VLOOKUP($B15,'Gamma Prediction'!$I$33:$K$62,3,FALSE)*GammaFactor)^GammaPower))/((VLOOKUP($B15,'Gamma Prediction'!$I$33:$K$62,2,FALSE)^GammaPower+(VLOOKUP($B15,'Gamma Prediction'!$I$33:$K$62,3,FALSE)*GammaFactor)^GammaPower)+((VLOOKUP(AF$2,'Gamma Prediction'!$I$33:$K$62,2,FALSE)^GammaPower+(VLOOKUP(AF$2,'Gamma Prediction'!$I$33:$K$62,3,FALSE)*GammaFactor)^GammaPower)))</f>
        <v>0.62668601902087573</v>
      </c>
    </row>
    <row r="16" spans="1:32" x14ac:dyDescent="0.25">
      <c r="B16" t="s">
        <v>28</v>
      </c>
      <c r="C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Prediction'!$I$33:$K$62,3,FALSE)*GammaFactor)^GammaPower)+((VLOOKUP(C$2,'Gamma Prediction'!$I$33:$K$62,2,FALSE)^GammaPower+(VLOOKUP(C$2,'Gamma Prediction'!$I$33:$K$62,3,FALSE)*GammaFactor)^GammaPower)))</f>
        <v>0.30189085105259322</v>
      </c>
      <c r="D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Prediction'!$I$33:$K$62,3,FALSE)*GammaFactor)^GammaPower)+((VLOOKUP(D$2,'Gamma Prediction'!$I$33:$K$62,2,FALSE)^GammaPower+(VLOOKUP(D$2,'Gamma Prediction'!$I$33:$K$62,3,FALSE)*GammaFactor)^GammaPower)))</f>
        <v>0.2827240738015927</v>
      </c>
      <c r="E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Prediction'!$I$33:$K$62,3,FALSE)*GammaFactor)^GammaPower)+((VLOOKUP(E$2,'Gamma Prediction'!$I$33:$K$62,2,FALSE)^GammaPower+(VLOOKUP(E$2,'Gamma Prediction'!$I$33:$K$62,3,FALSE)*GammaFactor)^GammaPower)))</f>
        <v>0.2657798342775935</v>
      </c>
      <c r="F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Prediction'!$I$33:$K$62,3,FALSE)*GammaFactor)^GammaPower)+((VLOOKUP(F$2,'Gamma Prediction'!$I$33:$K$62,2,FALSE)^GammaPower+(VLOOKUP(F$2,'Gamma Prediction'!$I$33:$K$62,3,FALSE)*GammaFactor)^GammaPower)))</f>
        <v>0.33849121246216024</v>
      </c>
      <c r="G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Prediction'!$I$33:$K$62,3,FALSE)*GammaFactor)^GammaPower)+((VLOOKUP(G$2,'Gamma Prediction'!$I$33:$K$62,2,FALSE)^GammaPower+(VLOOKUP(G$2,'Gamma Prediction'!$I$33:$K$62,3,FALSE)*GammaFactor)^GammaPower)))</f>
        <v>0.35541293560455339</v>
      </c>
      <c r="H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Prediction'!$I$33:$K$62,3,FALSE)*GammaFactor)^GammaPower)+((VLOOKUP(H$2,'Gamma Prediction'!$I$33:$K$62,2,FALSE)^GammaPower+(VLOOKUP(H$2,'Gamma Prediction'!$I$33:$K$62,3,FALSE)*GammaFactor)^GammaPower)))</f>
        <v>0.36402325851086687</v>
      </c>
      <c r="I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Prediction'!$I$33:$K$62,3,FALSE)*GammaFactor)^GammaPower)+((VLOOKUP(I$2,'Gamma Prediction'!$I$33:$K$62,2,FALSE)^GammaPower+(VLOOKUP(I$2,'Gamma Prediction'!$I$33:$K$62,3,FALSE)*GammaFactor)^GammaPower)))</f>
        <v>0.37682247480136249</v>
      </c>
      <c r="J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Prediction'!$I$33:$K$62,3,FALSE)*GammaFactor)^GammaPower)+((VLOOKUP(J$2,'Gamma Prediction'!$I$33:$K$62,2,FALSE)^GammaPower+(VLOOKUP(J$2,'Gamma Prediction'!$I$33:$K$62,3,FALSE)*GammaFactor)^GammaPower)))</f>
        <v>0.33871356609655834</v>
      </c>
      <c r="K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Prediction'!$I$33:$K$62,3,FALSE)*GammaFactor)^GammaPower)+((VLOOKUP(K$2,'Gamma Prediction'!$I$33:$K$62,2,FALSE)^GammaPower+(VLOOKUP(K$2,'Gamma Prediction'!$I$33:$K$62,3,FALSE)*GammaFactor)^GammaPower)))</f>
        <v>0.37765476489707339</v>
      </c>
      <c r="L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Prediction'!$I$33:$K$62,3,FALSE)*GammaFactor)^GammaPower)+((VLOOKUP(L$2,'Gamma Prediction'!$I$33:$K$62,2,FALSE)^GammaPower+(VLOOKUP(L$2,'Gamma Prediction'!$I$33:$K$62,3,FALSE)*GammaFactor)^GammaPower)))</f>
        <v>0.39342917910400965</v>
      </c>
      <c r="M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Prediction'!$I$33:$K$62,3,FALSE)*GammaFactor)^GammaPower)+((VLOOKUP(M$2,'Gamma Prediction'!$I$33:$K$62,2,FALSE)^GammaPower+(VLOOKUP(M$2,'Gamma Prediction'!$I$33:$K$62,3,FALSE)*GammaFactor)^GammaPower)))</f>
        <v>0.35252779560440095</v>
      </c>
      <c r="N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Prediction'!$I$33:$K$62,3,FALSE)*GammaFactor)^GammaPower)+((VLOOKUP(N$2,'Gamma Prediction'!$I$33:$K$62,2,FALSE)^GammaPower+(VLOOKUP(N$2,'Gamma Prediction'!$I$33:$K$62,3,FALSE)*GammaFactor)^GammaPower)))</f>
        <v>0.6185819240999606</v>
      </c>
      <c r="O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Prediction'!$I$33:$K$62,3,FALSE)*GammaFactor)^GammaPower)+((VLOOKUP(O$2,'Gamma Prediction'!$I$33:$K$62,2,FALSE)^GammaPower+(VLOOKUP(O$2,'Gamma Prediction'!$I$33:$K$62,3,FALSE)*GammaFactor)^GammaPower)))</f>
        <v>0.62243204376459982</v>
      </c>
      <c r="P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Prediction'!$I$33:$K$62,3,FALSE)*GammaFactor)^GammaPower)+((VLOOKUP(P$2,'Gamma Prediction'!$I$33:$K$62,2,FALSE)^GammaPower+(VLOOKUP(P$2,'Gamma Prediction'!$I$33:$K$62,3,FALSE)*GammaFactor)^GammaPower)))</f>
        <v>0.5</v>
      </c>
      <c r="Q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Prediction'!$I$33:$K$62,3,FALSE)*GammaFactor)^GammaPower)+((VLOOKUP(Q$2,'Gamma Prediction'!$I$33:$K$62,2,FALSE)^GammaPower+(VLOOKUP(Q$2,'Gamma Prediction'!$I$33:$K$62,3,FALSE)*GammaFactor)^GammaPower)))</f>
        <v>0.45805089980357766</v>
      </c>
      <c r="R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Prediction'!$I$33:$K$62,3,FALSE)*GammaFactor)^GammaPower)+((VLOOKUP(R$2,'Gamma Prediction'!$I$33:$K$62,2,FALSE)^GammaPower+(VLOOKUP(R$2,'Gamma Prediction'!$I$33:$K$62,3,FALSE)*GammaFactor)^GammaPower)))</f>
        <v>0.23517540411319607</v>
      </c>
      <c r="S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Prediction'!$I$33:$K$62,3,FALSE)*GammaFactor)^GammaPower)+((VLOOKUP(S$2,'Gamma Prediction'!$I$33:$K$62,2,FALSE)^GammaPower+(VLOOKUP(S$2,'Gamma Prediction'!$I$33:$K$62,3,FALSE)*GammaFactor)^GammaPower)))</f>
        <v>0.28177759539524561</v>
      </c>
      <c r="T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Prediction'!$I$33:$K$62,3,FALSE)*GammaFactor)^GammaPower)+((VLOOKUP(T$2,'Gamma Prediction'!$I$33:$K$62,2,FALSE)^GammaPower+(VLOOKUP(T$2,'Gamma Prediction'!$I$33:$K$62,3,FALSE)*GammaFactor)^GammaPower)))</f>
        <v>0.27573089489141028</v>
      </c>
      <c r="U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Prediction'!$I$33:$K$62,3,FALSE)*GammaFactor)^GammaPower)+((VLOOKUP(U$2,'Gamma Prediction'!$I$33:$K$62,2,FALSE)^GammaPower+(VLOOKUP(U$2,'Gamma Prediction'!$I$33:$K$62,3,FALSE)*GammaFactor)^GammaPower)))</f>
        <v>0.26076619685958285</v>
      </c>
      <c r="V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Prediction'!$I$33:$K$62,3,FALSE)*GammaFactor)^GammaPower)+((VLOOKUP(V$2,'Gamma Prediction'!$I$33:$K$62,2,FALSE)^GammaPower+(VLOOKUP(V$2,'Gamma Prediction'!$I$33:$K$62,3,FALSE)*GammaFactor)^GammaPower)))</f>
        <v>0.38023659053725212</v>
      </c>
      <c r="W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Prediction'!$I$33:$K$62,3,FALSE)*GammaFactor)^GammaPower)+((VLOOKUP(W$2,'Gamma Prediction'!$I$33:$K$62,2,FALSE)^GammaPower+(VLOOKUP(W$2,'Gamma Prediction'!$I$33:$K$62,3,FALSE)*GammaFactor)^GammaPower)))</f>
        <v>0.37735363183489457</v>
      </c>
      <c r="X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Prediction'!$I$33:$K$62,3,FALSE)*GammaFactor)^GammaPower)+((VLOOKUP(X$2,'Gamma Prediction'!$I$33:$K$62,2,FALSE)^GammaPower+(VLOOKUP(X$2,'Gamma Prediction'!$I$33:$K$62,3,FALSE)*GammaFactor)^GammaPower)))</f>
        <v>0.27576709639344071</v>
      </c>
      <c r="Y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Prediction'!$I$33:$K$62,3,FALSE)*GammaFactor)^GammaPower)+((VLOOKUP(Y$2,'Gamma Prediction'!$I$33:$K$62,2,FALSE)^GammaPower+(VLOOKUP(Y$2,'Gamma Prediction'!$I$33:$K$62,3,FALSE)*GammaFactor)^GammaPower)))</f>
        <v>0.34959476221593205</v>
      </c>
      <c r="Z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Prediction'!$I$33:$K$62,3,FALSE)*GammaFactor)^GammaPower)+((VLOOKUP(Z$2,'Gamma Prediction'!$I$33:$K$62,2,FALSE)^GammaPower+(VLOOKUP(Z$2,'Gamma Prediction'!$I$33:$K$62,3,FALSE)*GammaFactor)^GammaPower)))</f>
        <v>0.33703270813563324</v>
      </c>
      <c r="AA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Prediction'!$I$33:$K$62,3,FALSE)*GammaFactor)^GammaPower)+((VLOOKUP(AA$2,'Gamma Prediction'!$I$33:$K$62,2,FALSE)^GammaPower+(VLOOKUP(AA$2,'Gamma Prediction'!$I$33:$K$62,3,FALSE)*GammaFactor)^GammaPower)))</f>
        <v>0.35500384502712329</v>
      </c>
      <c r="AB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Prediction'!$I$33:$K$62,3,FALSE)*GammaFactor)^GammaPower)+((VLOOKUP(AB$2,'Gamma Prediction'!$I$33:$K$62,2,FALSE)^GammaPower+(VLOOKUP(AB$2,'Gamma Prediction'!$I$33:$K$62,3,FALSE)*GammaFactor)^GammaPower)))</f>
        <v>0.36470848301494524</v>
      </c>
      <c r="AC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Prediction'!$I$33:$K$62,3,FALSE)*GammaFactor)^GammaPower)+((VLOOKUP(AC$2,'Gamma Prediction'!$I$33:$K$62,2,FALSE)^GammaPower+(VLOOKUP(AC$2,'Gamma Prediction'!$I$33:$K$62,3,FALSE)*GammaFactor)^GammaPower)))</f>
        <v>0.5145208904415618</v>
      </c>
      <c r="AD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Prediction'!$I$33:$K$62,3,FALSE)*GammaFactor)^GammaPower)+((VLOOKUP(AD$2,'Gamma Prediction'!$I$33:$K$62,2,FALSE)^GammaPower+(VLOOKUP(AD$2,'Gamma Prediction'!$I$33:$K$62,3,FALSE)*GammaFactor)^GammaPower)))</f>
        <v>0.52629954658353661</v>
      </c>
      <c r="AE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Prediction'!$I$33:$K$62,3,FALSE)*GammaFactor)^GammaPower)+((VLOOKUP(AE$2,'Gamma Prediction'!$I$33:$K$62,2,FALSE)^GammaPower+(VLOOKUP(AE$2,'Gamma Prediction'!$I$33:$K$62,3,FALSE)*GammaFactor)^GammaPower)))</f>
        <v>0.55190427609516501</v>
      </c>
      <c r="AF16" s="55">
        <f>((VLOOKUP($B16,'Gamma Prediction'!$I$33:$K$62,2,FALSE)^GammaPower+(VLOOKUP($B16,'Gamma Prediction'!$I$33:$K$62,3,FALSE)*GammaFactor)^GammaPower))/((VLOOKUP($B16,'Gamma Prediction'!$I$33:$K$62,2,FALSE)^GammaPower+(VLOOKUP($B16,'Gamma Prediction'!$I$33:$K$62,3,FALSE)*GammaFactor)^GammaPower)+((VLOOKUP(AF$2,'Gamma Prediction'!$I$33:$K$62,2,FALSE)^GammaPower+(VLOOKUP(AF$2,'Gamma Prediction'!$I$33:$K$62,3,FALSE)*GammaFactor)^GammaPower)))</f>
        <v>0.73456523388814687</v>
      </c>
    </row>
    <row r="17" spans="2:32" x14ac:dyDescent="0.25">
      <c r="B17" t="s">
        <v>29</v>
      </c>
      <c r="C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Prediction'!$I$33:$K$62,3,FALSE)*GammaFactor)^GammaPower)+((VLOOKUP(C$2,'Gamma Prediction'!$I$33:$K$62,2,FALSE)^GammaPower+(VLOOKUP(C$2,'Gamma Prediction'!$I$33:$K$62,3,FALSE)*GammaFactor)^GammaPower)))</f>
        <v>0.33847038338523494</v>
      </c>
      <c r="D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Prediction'!$I$33:$K$62,3,FALSE)*GammaFactor)^GammaPower)+((VLOOKUP(D$2,'Gamma Prediction'!$I$33:$K$62,2,FALSE)^GammaPower+(VLOOKUP(D$2,'Gamma Prediction'!$I$33:$K$62,3,FALSE)*GammaFactor)^GammaPower)))</f>
        <v>0.31803922657761441</v>
      </c>
      <c r="E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Prediction'!$I$33:$K$62,3,FALSE)*GammaFactor)^GammaPower)+((VLOOKUP(E$2,'Gamma Prediction'!$I$33:$K$62,2,FALSE)^GammaPower+(VLOOKUP(E$2,'Gamma Prediction'!$I$33:$K$62,3,FALSE)*GammaFactor)^GammaPower)))</f>
        <v>0.29986330190097793</v>
      </c>
      <c r="F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Prediction'!$I$33:$K$62,3,FALSE)*GammaFactor)^GammaPower)+((VLOOKUP(F$2,'Gamma Prediction'!$I$33:$K$62,2,FALSE)^GammaPower+(VLOOKUP(F$2,'Gamma Prediction'!$I$33:$K$62,3,FALSE)*GammaFactor)^GammaPower)))</f>
        <v>0.37710991854740011</v>
      </c>
      <c r="G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Prediction'!$I$33:$K$62,3,FALSE)*GammaFactor)^GammaPower)+((VLOOKUP(G$2,'Gamma Prediction'!$I$33:$K$62,2,FALSE)^GammaPower+(VLOOKUP(G$2,'Gamma Prediction'!$I$33:$K$62,3,FALSE)*GammaFactor)^GammaPower)))</f>
        <v>0.39481000136251992</v>
      </c>
      <c r="H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Prediction'!$I$33:$K$62,3,FALSE)*GammaFactor)^GammaPower)+((VLOOKUP(H$2,'Gamma Prediction'!$I$33:$K$62,2,FALSE)^GammaPower+(VLOOKUP(H$2,'Gamma Prediction'!$I$33:$K$62,3,FALSE)*GammaFactor)^GammaPower)))</f>
        <v>0.4037768930583277</v>
      </c>
      <c r="I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Prediction'!$I$33:$K$62,3,FALSE)*GammaFactor)^GammaPower)+((VLOOKUP(I$2,'Gamma Prediction'!$I$33:$K$62,2,FALSE)^GammaPower+(VLOOKUP(I$2,'Gamma Prediction'!$I$33:$K$62,3,FALSE)*GammaFactor)^GammaPower)))</f>
        <v>0.41705725246741693</v>
      </c>
      <c r="J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Prediction'!$I$33:$K$62,3,FALSE)*GammaFactor)^GammaPower)+((VLOOKUP(J$2,'Gamma Prediction'!$I$33:$K$62,2,FALSE)^GammaPower+(VLOOKUP(J$2,'Gamma Prediction'!$I$33:$K$62,3,FALSE)*GammaFactor)^GammaPower)))</f>
        <v>0.37734316977180754</v>
      </c>
      <c r="K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Prediction'!$I$33:$K$62,3,FALSE)*GammaFactor)^GammaPower)+((VLOOKUP(K$2,'Gamma Prediction'!$I$33:$K$62,2,FALSE)^GammaPower+(VLOOKUP(K$2,'Gamma Prediction'!$I$33:$K$62,3,FALSE)*GammaFactor)^GammaPower)))</f>
        <v>0.41791881300997108</v>
      </c>
      <c r="L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Prediction'!$I$33:$K$62,3,FALSE)*GammaFactor)^GammaPower)+((VLOOKUP(L$2,'Gamma Prediction'!$I$33:$K$62,2,FALSE)^GammaPower+(VLOOKUP(L$2,'Gamma Prediction'!$I$33:$K$62,3,FALSE)*GammaFactor)^GammaPower)))</f>
        <v>0.43420166021724599</v>
      </c>
      <c r="M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Prediction'!$I$33:$K$62,3,FALSE)*GammaFactor)^GammaPower)+((VLOOKUP(M$2,'Gamma Prediction'!$I$33:$K$62,2,FALSE)^GammaPower+(VLOOKUP(M$2,'Gamma Prediction'!$I$33:$K$62,3,FALSE)*GammaFactor)^GammaPower)))</f>
        <v>0.3917994399283985</v>
      </c>
      <c r="N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Prediction'!$I$33:$K$62,3,FALSE)*GammaFactor)^GammaPower)+((VLOOKUP(N$2,'Gamma Prediction'!$I$33:$K$62,2,FALSE)^GammaPower+(VLOOKUP(N$2,'Gamma Prediction'!$I$33:$K$62,3,FALSE)*GammaFactor)^GammaPower)))</f>
        <v>0.65739915569818697</v>
      </c>
      <c r="O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Prediction'!$I$33:$K$62,3,FALSE)*GammaFactor)^GammaPower)+((VLOOKUP(O$2,'Gamma Prediction'!$I$33:$K$62,2,FALSE)^GammaPower+(VLOOKUP(O$2,'Gamma Prediction'!$I$33:$K$62,3,FALSE)*GammaFactor)^GammaPower)))</f>
        <v>0.66107213341512505</v>
      </c>
      <c r="P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Prediction'!$I$33:$K$62,3,FALSE)*GammaFactor)^GammaPower)+((VLOOKUP(P$2,'Gamma Prediction'!$I$33:$K$62,2,FALSE)^GammaPower+(VLOOKUP(P$2,'Gamma Prediction'!$I$33:$K$62,3,FALSE)*GammaFactor)^GammaPower)))</f>
        <v>0.54194910019642228</v>
      </c>
      <c r="Q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Prediction'!$I$33:$K$62,3,FALSE)*GammaFactor)^GammaPower)+((VLOOKUP(Q$2,'Gamma Prediction'!$I$33:$K$62,2,FALSE)^GammaPower+(VLOOKUP(Q$2,'Gamma Prediction'!$I$33:$K$62,3,FALSE)*GammaFactor)^GammaPower)))</f>
        <v>0.5</v>
      </c>
      <c r="R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Prediction'!$I$33:$K$62,3,FALSE)*GammaFactor)^GammaPower)+((VLOOKUP(R$2,'Gamma Prediction'!$I$33:$K$62,2,FALSE)^GammaPower+(VLOOKUP(R$2,'Gamma Prediction'!$I$33:$K$62,3,FALSE)*GammaFactor)^GammaPower)))</f>
        <v>0.26676011349683232</v>
      </c>
      <c r="S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Prediction'!$I$33:$K$62,3,FALSE)*GammaFactor)^GammaPower)+((VLOOKUP(S$2,'Gamma Prediction'!$I$33:$K$62,2,FALSE)^GammaPower+(VLOOKUP(S$2,'Gamma Prediction'!$I$33:$K$62,3,FALSE)*GammaFactor)^GammaPower)))</f>
        <v>0.31702677715538496</v>
      </c>
      <c r="T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Prediction'!$I$33:$K$62,3,FALSE)*GammaFactor)^GammaPower)+((VLOOKUP(T$2,'Gamma Prediction'!$I$33:$K$62,2,FALSE)^GammaPower+(VLOOKUP(T$2,'Gamma Prediction'!$I$33:$K$62,3,FALSE)*GammaFactor)^GammaPower)))</f>
        <v>0.31055072549874518</v>
      </c>
      <c r="U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Prediction'!$I$33:$K$62,3,FALSE)*GammaFactor)^GammaPower)+((VLOOKUP(U$2,'Gamma Prediction'!$I$33:$K$62,2,FALSE)^GammaPower+(VLOOKUP(U$2,'Gamma Prediction'!$I$33:$K$62,3,FALSE)*GammaFactor)^GammaPower)))</f>
        <v>0.29446457671031018</v>
      </c>
      <c r="V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Prediction'!$I$33:$K$62,3,FALSE)*GammaFactor)^GammaPower)+((VLOOKUP(V$2,'Gamma Prediction'!$I$33:$K$62,2,FALSE)^GammaPower+(VLOOKUP(V$2,'Gamma Prediction'!$I$33:$K$62,3,FALSE)*GammaFactor)^GammaPower)))</f>
        <v>0.42058987526547364</v>
      </c>
      <c r="W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Prediction'!$I$33:$K$62,3,FALSE)*GammaFactor)^GammaPower)+((VLOOKUP(W$2,'Gamma Prediction'!$I$33:$K$62,2,FALSE)^GammaPower+(VLOOKUP(W$2,'Gamma Prediction'!$I$33:$K$62,3,FALSE)*GammaFactor)^GammaPower)))</f>
        <v>0.41760711789717242</v>
      </c>
      <c r="X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Prediction'!$I$33:$K$62,3,FALSE)*GammaFactor)^GammaPower)+((VLOOKUP(X$2,'Gamma Prediction'!$I$33:$K$62,2,FALSE)^GammaPower+(VLOOKUP(X$2,'Gamma Prediction'!$I$33:$K$62,3,FALSE)*GammaFactor)^GammaPower)))</f>
        <v>0.31058953815139451</v>
      </c>
      <c r="Y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Prediction'!$I$33:$K$62,3,FALSE)*GammaFactor)^GammaPower)+((VLOOKUP(Y$2,'Gamma Prediction'!$I$33:$K$62,2,FALSE)^GammaPower+(VLOOKUP(Y$2,'Gamma Prediction'!$I$33:$K$62,3,FALSE)*GammaFactor)^GammaPower)))</f>
        <v>0.3887358378420005</v>
      </c>
      <c r="Z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Prediction'!$I$33:$K$62,3,FALSE)*GammaFactor)^GammaPower)+((VLOOKUP(Z$2,'Gamma Prediction'!$I$33:$K$62,2,FALSE)^GammaPower+(VLOOKUP(Z$2,'Gamma Prediction'!$I$33:$K$62,3,FALSE)*GammaFactor)^GammaPower)))</f>
        <v>0.37557948902007654</v>
      </c>
      <c r="AA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Prediction'!$I$33:$K$62,3,FALSE)*GammaFactor)^GammaPower)+((VLOOKUP(AA$2,'Gamma Prediction'!$I$33:$K$62,2,FALSE)^GammaPower+(VLOOKUP(AA$2,'Gamma Prediction'!$I$33:$K$62,3,FALSE)*GammaFactor)^GammaPower)))</f>
        <v>0.39438330877109323</v>
      </c>
      <c r="AB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Prediction'!$I$33:$K$62,3,FALSE)*GammaFactor)^GammaPower)+((VLOOKUP(AB$2,'Gamma Prediction'!$I$33:$K$62,2,FALSE)^GammaPower+(VLOOKUP(AB$2,'Gamma Prediction'!$I$33:$K$62,3,FALSE)*GammaFactor)^GammaPower)))</f>
        <v>0.4044893550278193</v>
      </c>
      <c r="AC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Prediction'!$I$33:$K$62,3,FALSE)*GammaFactor)^GammaPower)+((VLOOKUP(AC$2,'Gamma Prediction'!$I$33:$K$62,2,FALSE)^GammaPower+(VLOOKUP(AC$2,'Gamma Prediction'!$I$33:$K$62,3,FALSE)*GammaFactor)^GammaPower)))</f>
        <v>0.55633273293996177</v>
      </c>
      <c r="AD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Prediction'!$I$33:$K$62,3,FALSE)*GammaFactor)^GammaPower)+((VLOOKUP(AD$2,'Gamma Prediction'!$I$33:$K$62,2,FALSE)^GammaPower+(VLOOKUP(AD$2,'Gamma Prediction'!$I$33:$K$62,3,FALSE)*GammaFactor)^GammaPower)))</f>
        <v>0.56794879085472993</v>
      </c>
      <c r="AE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Prediction'!$I$33:$K$62,3,FALSE)*GammaFactor)^GammaPower)+((VLOOKUP(AE$2,'Gamma Prediction'!$I$33:$K$62,2,FALSE)^GammaPower+(VLOOKUP(AE$2,'Gamma Prediction'!$I$33:$K$62,3,FALSE)*GammaFactor)^GammaPower)))</f>
        <v>0.59304303189530283</v>
      </c>
      <c r="AF17" s="55">
        <f>((VLOOKUP($B17,'Gamma Prediction'!$I$33:$K$62,2,FALSE)^GammaPower+(VLOOKUP($B17,'Gamma Prediction'!$I$33:$K$62,3,FALSE)*GammaFactor)^GammaPower))/((VLOOKUP($B17,'Gamma Prediction'!$I$33:$K$62,2,FALSE)^GammaPower+(VLOOKUP($B17,'Gamma Prediction'!$I$33:$K$62,3,FALSE)*GammaFactor)^GammaPower)+((VLOOKUP(AF$2,'Gamma Prediction'!$I$33:$K$62,2,FALSE)^GammaPower+(VLOOKUP(AF$2,'Gamma Prediction'!$I$33:$K$62,3,FALSE)*GammaFactor)^GammaPower)))</f>
        <v>0.7660430903518034</v>
      </c>
    </row>
    <row r="18" spans="2:32" x14ac:dyDescent="0.25">
      <c r="B18" t="s">
        <v>30</v>
      </c>
      <c r="C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Prediction'!$I$33:$K$62,3,FALSE)*GammaFactor)^GammaPower)+((VLOOKUP(C$2,'Gamma Prediction'!$I$33:$K$62,2,FALSE)^GammaPower+(VLOOKUP(C$2,'Gamma Prediction'!$I$33:$K$62,3,FALSE)*GammaFactor)^GammaPower)))</f>
        <v>0.58443461716956213</v>
      </c>
      <c r="D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Prediction'!$I$33:$K$62,3,FALSE)*GammaFactor)^GammaPower)+((VLOOKUP(D$2,'Gamma Prediction'!$I$33:$K$62,2,FALSE)^GammaPower+(VLOOKUP(D$2,'Gamma Prediction'!$I$33:$K$62,3,FALSE)*GammaFactor)^GammaPower)))</f>
        <v>0.56176435622822329</v>
      </c>
      <c r="E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Prediction'!$I$33:$K$62,3,FALSE)*GammaFactor)^GammaPower)+((VLOOKUP(E$2,'Gamma Prediction'!$I$33:$K$62,2,FALSE)^GammaPower+(VLOOKUP(E$2,'Gamma Prediction'!$I$33:$K$62,3,FALSE)*GammaFactor)^GammaPower)))</f>
        <v>0.54070328267309409</v>
      </c>
      <c r="F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Prediction'!$I$33:$K$62,3,FALSE)*GammaFactor)^GammaPower)+((VLOOKUP(F$2,'Gamma Prediction'!$I$33:$K$62,2,FALSE)^GammaPower+(VLOOKUP(F$2,'Gamma Prediction'!$I$33:$K$62,3,FALSE)*GammaFactor)^GammaPower)))</f>
        <v>0.62463996029235602</v>
      </c>
      <c r="G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Prediction'!$I$33:$K$62,3,FALSE)*GammaFactor)^GammaPower)+((VLOOKUP(G$2,'Gamma Prediction'!$I$33:$K$62,2,FALSE)^GammaPower+(VLOOKUP(G$2,'Gamma Prediction'!$I$33:$K$62,3,FALSE)*GammaFactor)^GammaPower)))</f>
        <v>0.64198390636767677</v>
      </c>
      <c r="H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Prediction'!$I$33:$K$62,3,FALSE)*GammaFactor)^GammaPower)+((VLOOKUP(H$2,'Gamma Prediction'!$I$33:$K$62,2,FALSE)^GammaPower+(VLOOKUP(H$2,'Gamma Prediction'!$I$33:$K$62,3,FALSE)*GammaFactor)^GammaPower)))</f>
        <v>0.65053021839347658</v>
      </c>
      <c r="I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Prediction'!$I$33:$K$62,3,FALSE)*GammaFactor)^GammaPower)+((VLOOKUP(I$2,'Gamma Prediction'!$I$33:$K$62,2,FALSE)^GammaPower+(VLOOKUP(I$2,'Gamma Prediction'!$I$33:$K$62,3,FALSE)*GammaFactor)^GammaPower)))</f>
        <v>0.66290293071019712</v>
      </c>
      <c r="J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Prediction'!$I$33:$K$62,3,FALSE)*GammaFactor)^GammaPower)+((VLOOKUP(J$2,'Gamma Prediction'!$I$33:$K$62,2,FALSE)^GammaPower+(VLOOKUP(J$2,'Gamma Prediction'!$I$33:$K$62,3,FALSE)*GammaFactor)^GammaPower)))</f>
        <v>0.62487272419372775</v>
      </c>
      <c r="K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Prediction'!$I$33:$K$62,3,FALSE)*GammaFactor)^GammaPower)+((VLOOKUP(K$2,'Gamma Prediction'!$I$33:$K$62,2,FALSE)^GammaPower+(VLOOKUP(K$2,'Gamma Prediction'!$I$33:$K$62,3,FALSE)*GammaFactor)^GammaPower)))</f>
        <v>0.66369413919358289</v>
      </c>
      <c r="L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Prediction'!$I$33:$K$62,3,FALSE)*GammaFactor)^GammaPower)+((VLOOKUP(L$2,'Gamma Prediction'!$I$33:$K$62,2,FALSE)^GammaPower+(VLOOKUP(L$2,'Gamma Prediction'!$I$33:$K$62,3,FALSE)*GammaFactor)^GammaPower)))</f>
        <v>0.67839256485308264</v>
      </c>
      <c r="M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Prediction'!$I$33:$K$62,3,FALSE)*GammaFactor)^GammaPower)+((VLOOKUP(M$2,'Gamma Prediction'!$I$33:$K$62,2,FALSE)^GammaPower+(VLOOKUP(M$2,'Gamma Prediction'!$I$33:$K$62,3,FALSE)*GammaFactor)^GammaPower)))</f>
        <v>0.63907888747655528</v>
      </c>
      <c r="N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Prediction'!$I$33:$K$62,3,FALSE)*GammaFactor)^GammaPower)+((VLOOKUP(N$2,'Gamma Prediction'!$I$33:$K$62,2,FALSE)^GammaPower+(VLOOKUP(N$2,'Gamma Prediction'!$I$33:$K$62,3,FALSE)*GammaFactor)^GammaPower)))</f>
        <v>0.84062000155813821</v>
      </c>
      <c r="O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Prediction'!$I$33:$K$62,3,FALSE)*GammaFactor)^GammaPower)+((VLOOKUP(O$2,'Gamma Prediction'!$I$33:$K$62,2,FALSE)^GammaPower+(VLOOKUP(O$2,'Gamma Prediction'!$I$33:$K$62,3,FALSE)*GammaFactor)^GammaPower)))</f>
        <v>0.84279840612142209</v>
      </c>
      <c r="P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Prediction'!$I$33:$K$62,3,FALSE)*GammaFactor)^GammaPower)+((VLOOKUP(P$2,'Gamma Prediction'!$I$33:$K$62,2,FALSE)^GammaPower+(VLOOKUP(P$2,'Gamma Prediction'!$I$33:$K$62,3,FALSE)*GammaFactor)^GammaPower)))</f>
        <v>0.76482459588680396</v>
      </c>
      <c r="Q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Prediction'!$I$33:$K$62,3,FALSE)*GammaFactor)^GammaPower)+((VLOOKUP(Q$2,'Gamma Prediction'!$I$33:$K$62,2,FALSE)^GammaPower+(VLOOKUP(Q$2,'Gamma Prediction'!$I$33:$K$62,3,FALSE)*GammaFactor)^GammaPower)))</f>
        <v>0.73323988650316763</v>
      </c>
      <c r="R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Prediction'!$I$33:$K$62,3,FALSE)*GammaFactor)^GammaPower)+((VLOOKUP(R$2,'Gamma Prediction'!$I$33:$K$62,2,FALSE)^GammaPower+(VLOOKUP(R$2,'Gamma Prediction'!$I$33:$K$62,3,FALSE)*GammaFactor)^GammaPower)))</f>
        <v>0.5</v>
      </c>
      <c r="S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Prediction'!$I$33:$K$62,3,FALSE)*GammaFactor)^GammaPower)+((VLOOKUP(S$2,'Gamma Prediction'!$I$33:$K$62,2,FALSE)^GammaPower+(VLOOKUP(S$2,'Gamma Prediction'!$I$33:$K$62,3,FALSE)*GammaFactor)^GammaPower)))</f>
        <v>0.56061384856404861</v>
      </c>
      <c r="T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Prediction'!$I$33:$K$62,3,FALSE)*GammaFactor)^GammaPower)+((VLOOKUP(T$2,'Gamma Prediction'!$I$33:$K$62,2,FALSE)^GammaPower+(VLOOKUP(T$2,'Gamma Prediction'!$I$33:$K$62,3,FALSE)*GammaFactor)^GammaPower)))</f>
        <v>0.55319226565347024</v>
      </c>
      <c r="U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Prediction'!$I$33:$K$62,3,FALSE)*GammaFactor)^GammaPower)+((VLOOKUP(U$2,'Gamma Prediction'!$I$33:$K$62,2,FALSE)^GammaPower+(VLOOKUP(U$2,'Gamma Prediction'!$I$33:$K$62,3,FALSE)*GammaFactor)^GammaPower)))</f>
        <v>0.53427736089049505</v>
      </c>
      <c r="V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Prediction'!$I$33:$K$62,3,FALSE)*GammaFactor)^GammaPower)+((VLOOKUP(V$2,'Gamma Prediction'!$I$33:$K$62,2,FALSE)^GammaPower+(VLOOKUP(V$2,'Gamma Prediction'!$I$33:$K$62,3,FALSE)*GammaFactor)^GammaPower)))</f>
        <v>0.66613836043043628</v>
      </c>
      <c r="W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Prediction'!$I$33:$K$62,3,FALSE)*GammaFactor)^GammaPower)+((VLOOKUP(W$2,'Gamma Prediction'!$I$33:$K$62,2,FALSE)^GammaPower+(VLOOKUP(W$2,'Gamma Prediction'!$I$33:$K$62,3,FALSE)*GammaFactor)^GammaPower)))</f>
        <v>0.6634080550985384</v>
      </c>
      <c r="X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Prediction'!$I$33:$K$62,3,FALSE)*GammaFactor)^GammaPower)+((VLOOKUP(X$2,'Gamma Prediction'!$I$33:$K$62,2,FALSE)^GammaPower+(VLOOKUP(X$2,'Gamma Prediction'!$I$33:$K$62,3,FALSE)*GammaFactor)^GammaPower)))</f>
        <v>0.55323706958638019</v>
      </c>
      <c r="Y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Prediction'!$I$33:$K$62,3,FALSE)*GammaFactor)^GammaPower)+((VLOOKUP(Y$2,'Gamma Prediction'!$I$33:$K$62,2,FALSE)^GammaPower+(VLOOKUP(Y$2,'Gamma Prediction'!$I$33:$K$62,3,FALSE)*GammaFactor)^GammaPower)))</f>
        <v>0.63610399433426668</v>
      </c>
      <c r="Z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Prediction'!$I$33:$K$62,3,FALSE)*GammaFactor)^GammaPower)+((VLOOKUP(Z$2,'Gamma Prediction'!$I$33:$K$62,2,FALSE)^GammaPower+(VLOOKUP(Z$2,'Gamma Prediction'!$I$33:$K$62,3,FALSE)*GammaFactor)^GammaPower)))</f>
        <v>0.62310988524938582</v>
      </c>
      <c r="AA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Prediction'!$I$33:$K$62,3,FALSE)*GammaFactor)^GammaPower)+((VLOOKUP(AA$2,'Gamma Prediction'!$I$33:$K$62,2,FALSE)^GammaPower+(VLOOKUP(AA$2,'Gamma Prediction'!$I$33:$K$62,3,FALSE)*GammaFactor)^GammaPower)))</f>
        <v>0.64157327355734683</v>
      </c>
      <c r="AB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Prediction'!$I$33:$K$62,3,FALSE)*GammaFactor)^GammaPower)+((VLOOKUP(AB$2,'Gamma Prediction'!$I$33:$K$62,2,FALSE)^GammaPower+(VLOOKUP(AB$2,'Gamma Prediction'!$I$33:$K$62,3,FALSE)*GammaFactor)^GammaPower)))</f>
        <v>0.65120253137293327</v>
      </c>
      <c r="AC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Prediction'!$I$33:$K$62,3,FALSE)*GammaFactor)^GammaPower)+((VLOOKUP(AC$2,'Gamma Prediction'!$I$33:$K$62,2,FALSE)^GammaPower+(VLOOKUP(AC$2,'Gamma Prediction'!$I$33:$K$62,3,FALSE)*GammaFactor)^GammaPower)))</f>
        <v>0.77511369956920739</v>
      </c>
      <c r="AD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Prediction'!$I$33:$K$62,3,FALSE)*GammaFactor)^GammaPower)+((VLOOKUP(AD$2,'Gamma Prediction'!$I$33:$K$62,2,FALSE)^GammaPower+(VLOOKUP(AD$2,'Gamma Prediction'!$I$33:$K$62,3,FALSE)*GammaFactor)^GammaPower)))</f>
        <v>0.78323352078601205</v>
      </c>
      <c r="AE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Prediction'!$I$33:$K$62,3,FALSE)*GammaFactor)^GammaPower)+((VLOOKUP(AE$2,'Gamma Prediction'!$I$33:$K$62,2,FALSE)^GammaPower+(VLOOKUP(AE$2,'Gamma Prediction'!$I$33:$K$62,3,FALSE)*GammaFactor)^GammaPower)))</f>
        <v>0.8002220295950323</v>
      </c>
      <c r="AF18" s="55">
        <f>((VLOOKUP($B18,'Gamma Prediction'!$I$33:$K$62,2,FALSE)^GammaPower+(VLOOKUP($B18,'Gamma Prediction'!$I$33:$K$62,3,FALSE)*GammaFactor)^GammaPower))/((VLOOKUP($B18,'Gamma Prediction'!$I$33:$K$62,2,FALSE)^GammaPower+(VLOOKUP($B18,'Gamma Prediction'!$I$33:$K$62,3,FALSE)*GammaFactor)^GammaPower)+((VLOOKUP(AF$2,'Gamma Prediction'!$I$33:$K$62,2,FALSE)^GammaPower+(VLOOKUP(AF$2,'Gamma Prediction'!$I$33:$K$62,3,FALSE)*GammaFactor)^GammaPower)))</f>
        <v>0.90000000043037753</v>
      </c>
    </row>
    <row r="19" spans="2:32" x14ac:dyDescent="0.25">
      <c r="B19" t="s">
        <v>31</v>
      </c>
      <c r="C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Prediction'!$I$33:$K$62,3,FALSE)*GammaFactor)^GammaPower)+((VLOOKUP(C$2,'Gamma Prediction'!$I$33:$K$62,2,FALSE)^GammaPower+(VLOOKUP(C$2,'Gamma Prediction'!$I$33:$K$62,3,FALSE)*GammaFactor)^GammaPower)))</f>
        <v>0.52431861015569692</v>
      </c>
      <c r="D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Prediction'!$I$33:$K$62,3,FALSE)*GammaFactor)^GammaPower)+((VLOOKUP(D$2,'Gamma Prediction'!$I$33:$K$62,2,FALSE)^GammaPower+(VLOOKUP(D$2,'Gamma Prediction'!$I$33:$K$62,3,FALSE)*GammaFactor)^GammaPower)))</f>
        <v>0.50116799856099092</v>
      </c>
      <c r="E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Prediction'!$I$33:$K$62,3,FALSE)*GammaFactor)^GammaPower)+((VLOOKUP(E$2,'Gamma Prediction'!$I$33:$K$62,2,FALSE)^GammaPower+(VLOOKUP(E$2,'Gamma Prediction'!$I$33:$K$62,3,FALSE)*GammaFactor)^GammaPower)))</f>
        <v>0.4798909836470836</v>
      </c>
      <c r="F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Prediction'!$I$33:$K$62,3,FALSE)*GammaFactor)^GammaPower)+((VLOOKUP(F$2,'Gamma Prediction'!$I$33:$K$62,2,FALSE)^GammaPower+(VLOOKUP(F$2,'Gamma Prediction'!$I$33:$K$62,3,FALSE)*GammaFactor)^GammaPower)))</f>
        <v>0.56602124950762267</v>
      </c>
      <c r="G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Prediction'!$I$33:$K$62,3,FALSE)*GammaFactor)^GammaPower)+((VLOOKUP(G$2,'Gamma Prediction'!$I$33:$K$62,2,FALSE)^GammaPower+(VLOOKUP(G$2,'Gamma Prediction'!$I$33:$K$62,3,FALSE)*GammaFactor)^GammaPower)))</f>
        <v>0.58427106948228069</v>
      </c>
      <c r="H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Prediction'!$I$33:$K$62,3,FALSE)*GammaFactor)^GammaPower)+((VLOOKUP(H$2,'Gamma Prediction'!$I$33:$K$62,2,FALSE)^GammaPower+(VLOOKUP(H$2,'Gamma Prediction'!$I$33:$K$62,3,FALSE)*GammaFactor)^GammaPower)))</f>
        <v>0.59332234262486061</v>
      </c>
      <c r="I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Prediction'!$I$33:$K$62,3,FALSE)*GammaFactor)^GammaPower)+((VLOOKUP(I$2,'Gamma Prediction'!$I$33:$K$62,2,FALSE)^GammaPower+(VLOOKUP(I$2,'Gamma Prediction'!$I$33:$K$62,3,FALSE)*GammaFactor)^GammaPower)))</f>
        <v>0.60649529422558857</v>
      </c>
      <c r="J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Prediction'!$I$33:$K$62,3,FALSE)*GammaFactor)^GammaPower)+((VLOOKUP(J$2,'Gamma Prediction'!$I$33:$K$62,2,FALSE)^GammaPower+(VLOOKUP(J$2,'Gamma Prediction'!$I$33:$K$62,3,FALSE)*GammaFactor)^GammaPower)))</f>
        <v>0.5662651228340192</v>
      </c>
      <c r="K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Prediction'!$I$33:$K$62,3,FALSE)*GammaFactor)^GammaPower)+((VLOOKUP(K$2,'Gamma Prediction'!$I$33:$K$62,2,FALSE)^GammaPower+(VLOOKUP(K$2,'Gamma Prediction'!$I$33:$K$62,3,FALSE)*GammaFactor)^GammaPower)))</f>
        <v>0.60734047601605956</v>
      </c>
      <c r="L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Prediction'!$I$33:$K$62,3,FALSE)*GammaFactor)^GammaPower)+((VLOOKUP(L$2,'Gamma Prediction'!$I$33:$K$62,2,FALSE)^GammaPower+(VLOOKUP(L$2,'Gamma Prediction'!$I$33:$K$62,3,FALSE)*GammaFactor)^GammaPower)))</f>
        <v>0.6231032056403123</v>
      </c>
      <c r="M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Prediction'!$I$33:$K$62,3,FALSE)*GammaFactor)^GammaPower)+((VLOOKUP(M$2,'Gamma Prediction'!$I$33:$K$62,2,FALSE)^GammaPower+(VLOOKUP(M$2,'Gamma Prediction'!$I$33:$K$62,3,FALSE)*GammaFactor)^GammaPower)))</f>
        <v>0.58120324703538706</v>
      </c>
      <c r="N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Prediction'!$I$33:$K$62,3,FALSE)*GammaFactor)^GammaPower)+((VLOOKUP(N$2,'Gamma Prediction'!$I$33:$K$62,2,FALSE)^GammaPower+(VLOOKUP(N$2,'Gamma Prediction'!$I$33:$K$62,3,FALSE)*GammaFactor)^GammaPower)))</f>
        <v>0.80521214591214596</v>
      </c>
      <c r="O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Prediction'!$I$33:$K$62,3,FALSE)*GammaFactor)^GammaPower)+((VLOOKUP(O$2,'Gamma Prediction'!$I$33:$K$62,2,FALSE)^GammaPower+(VLOOKUP(O$2,'Gamma Prediction'!$I$33:$K$62,3,FALSE)*GammaFactor)^GammaPower)))</f>
        <v>0.80776383226589799</v>
      </c>
      <c r="P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Prediction'!$I$33:$K$62,3,FALSE)*GammaFactor)^GammaPower)+((VLOOKUP(P$2,'Gamma Prediction'!$I$33:$K$62,2,FALSE)^GammaPower+(VLOOKUP(P$2,'Gamma Prediction'!$I$33:$K$62,3,FALSE)*GammaFactor)^GammaPower)))</f>
        <v>0.71822240460475439</v>
      </c>
      <c r="Q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Prediction'!$I$33:$K$62,3,FALSE)*GammaFactor)^GammaPower)+((VLOOKUP(Q$2,'Gamma Prediction'!$I$33:$K$62,2,FALSE)^GammaPower+(VLOOKUP(Q$2,'Gamma Prediction'!$I$33:$K$62,3,FALSE)*GammaFactor)^GammaPower)))</f>
        <v>0.68297322284461515</v>
      </c>
      <c r="R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Prediction'!$I$33:$K$62,3,FALSE)*GammaFactor)^GammaPower)+((VLOOKUP(R$2,'Gamma Prediction'!$I$33:$K$62,2,FALSE)^GammaPower+(VLOOKUP(R$2,'Gamma Prediction'!$I$33:$K$62,3,FALSE)*GammaFactor)^GammaPower)))</f>
        <v>0.43938615143595133</v>
      </c>
      <c r="S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Prediction'!$I$33:$K$62,3,FALSE)*GammaFactor)^GammaPower)+((VLOOKUP(S$2,'Gamma Prediction'!$I$33:$K$62,2,FALSE)^GammaPower+(VLOOKUP(S$2,'Gamma Prediction'!$I$33:$K$62,3,FALSE)*GammaFactor)^GammaPower)))</f>
        <v>0.5</v>
      </c>
      <c r="T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Prediction'!$I$33:$K$62,3,FALSE)*GammaFactor)^GammaPower)+((VLOOKUP(T$2,'Gamma Prediction'!$I$33:$K$62,2,FALSE)^GammaPower+(VLOOKUP(T$2,'Gamma Prediction'!$I$33:$K$62,3,FALSE)*GammaFactor)^GammaPower)))</f>
        <v>0.49248145224558465</v>
      </c>
      <c r="U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Prediction'!$I$33:$K$62,3,FALSE)*GammaFactor)^GammaPower)+((VLOOKUP(U$2,'Gamma Prediction'!$I$33:$K$62,2,FALSE)^GammaPower+(VLOOKUP(U$2,'Gamma Prediction'!$I$33:$K$62,3,FALSE)*GammaFactor)^GammaPower)))</f>
        <v>0.47344280260145816</v>
      </c>
      <c r="V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Prediction'!$I$33:$K$62,3,FALSE)*GammaFactor)^GammaPower)+((VLOOKUP(V$2,'Gamma Prediction'!$I$33:$K$62,2,FALSE)^GammaPower+(VLOOKUP(V$2,'Gamma Prediction'!$I$33:$K$62,3,FALSE)*GammaFactor)^GammaPower)))</f>
        <v>0.60995356708007797</v>
      </c>
      <c r="W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Prediction'!$I$33:$K$62,3,FALSE)*GammaFactor)^GammaPower)+((VLOOKUP(W$2,'Gamma Prediction'!$I$33:$K$62,2,FALSE)^GammaPower+(VLOOKUP(W$2,'Gamma Prediction'!$I$33:$K$62,3,FALSE)*GammaFactor)^GammaPower)))</f>
        <v>0.60703483735469377</v>
      </c>
      <c r="X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Prediction'!$I$33:$K$62,3,FALSE)*GammaFactor)^GammaPower)+((VLOOKUP(X$2,'Gamma Prediction'!$I$33:$K$62,2,FALSE)^GammaPower+(VLOOKUP(X$2,'Gamma Prediction'!$I$33:$K$62,3,FALSE)*GammaFactor)^GammaPower)))</f>
        <v>0.49252675931099027</v>
      </c>
      <c r="Y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Prediction'!$I$33:$K$62,3,FALSE)*GammaFactor)^GammaPower)+((VLOOKUP(Y$2,'Gamma Prediction'!$I$33:$K$62,2,FALSE)^GammaPower+(VLOOKUP(Y$2,'Gamma Prediction'!$I$33:$K$62,3,FALSE)*GammaFactor)^GammaPower)))</f>
        <v>0.57806626600518463</v>
      </c>
      <c r="Z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Prediction'!$I$33:$K$62,3,FALSE)*GammaFactor)^GammaPower)+((VLOOKUP(Z$2,'Gamma Prediction'!$I$33:$K$62,2,FALSE)^GammaPower+(VLOOKUP(Z$2,'Gamma Prediction'!$I$33:$K$62,3,FALSE)*GammaFactor)^GammaPower)))</f>
        <v>0.56441885284879545</v>
      </c>
      <c r="AA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Prediction'!$I$33:$K$62,3,FALSE)*GammaFactor)^GammaPower)+((VLOOKUP(AA$2,'Gamma Prediction'!$I$33:$K$62,2,FALSE)^GammaPower+(VLOOKUP(AA$2,'Gamma Prediction'!$I$33:$K$62,3,FALSE)*GammaFactor)^GammaPower)))</f>
        <v>0.583837152338049</v>
      </c>
      <c r="AB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Prediction'!$I$33:$K$62,3,FALSE)*GammaFactor)^GammaPower)+((VLOOKUP(AB$2,'Gamma Prediction'!$I$33:$K$62,2,FALSE)^GammaPower+(VLOOKUP(AB$2,'Gamma Prediction'!$I$33:$K$62,3,FALSE)*GammaFactor)^GammaPower)))</f>
        <v>0.59403603143614303</v>
      </c>
      <c r="AC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Prediction'!$I$33:$K$62,3,FALSE)*GammaFactor)^GammaPower)+((VLOOKUP(AC$2,'Gamma Prediction'!$I$33:$K$62,2,FALSE)^GammaPower+(VLOOKUP(AC$2,'Gamma Prediction'!$I$33:$K$62,3,FALSE)*GammaFactor)^GammaPower)))</f>
        <v>0.72983016676656831</v>
      </c>
      <c r="AD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Prediction'!$I$33:$K$62,3,FALSE)*GammaFactor)^GammaPower)+((VLOOKUP(AD$2,'Gamma Prediction'!$I$33:$K$62,2,FALSE)^GammaPower+(VLOOKUP(AD$2,'Gamma Prediction'!$I$33:$K$62,3,FALSE)*GammaFactor)^GammaPower)))</f>
        <v>0.73903453079610304</v>
      </c>
      <c r="AE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Prediction'!$I$33:$K$62,3,FALSE)*GammaFactor)^GammaPower)+((VLOOKUP(AE$2,'Gamma Prediction'!$I$33:$K$62,2,FALSE)^GammaPower+(VLOOKUP(AE$2,'Gamma Prediction'!$I$33:$K$62,3,FALSE)*GammaFactor)^GammaPower)))</f>
        <v>0.75841858636278847</v>
      </c>
      <c r="AF19" s="55">
        <f>((VLOOKUP($B19,'Gamma Prediction'!$I$33:$K$62,2,FALSE)^GammaPower+(VLOOKUP($B19,'Gamma Prediction'!$I$33:$K$62,3,FALSE)*GammaFactor)^GammaPower))/((VLOOKUP($B19,'Gamma Prediction'!$I$33:$K$62,2,FALSE)^GammaPower+(VLOOKUP($B19,'Gamma Prediction'!$I$33:$K$62,3,FALSE)*GammaFactor)^GammaPower)+((VLOOKUP(AF$2,'Gamma Prediction'!$I$33:$K$62,2,FALSE)^GammaPower+(VLOOKUP(AF$2,'Gamma Prediction'!$I$33:$K$62,3,FALSE)*GammaFactor)^GammaPower)))</f>
        <v>0.87583548852374382</v>
      </c>
    </row>
    <row r="20" spans="2:32" x14ac:dyDescent="0.25">
      <c r="B20" t="s">
        <v>32</v>
      </c>
      <c r="C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Prediction'!$I$33:$K$62,3,FALSE)*GammaFactor)^GammaPower)+((VLOOKUP(C$2,'Gamma Prediction'!$I$33:$K$62,2,FALSE)^GammaPower+(VLOOKUP(C$2,'Gamma Prediction'!$I$33:$K$62,3,FALSE)*GammaFactor)^GammaPower)))</f>
        <v>0.53181389042281546</v>
      </c>
      <c r="D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Prediction'!$I$33:$K$62,3,FALSE)*GammaFactor)^GammaPower)+((VLOOKUP(D$2,'Gamma Prediction'!$I$33:$K$62,2,FALSE)^GammaPower+(VLOOKUP(D$2,'Gamma Prediction'!$I$33:$K$62,3,FALSE)*GammaFactor)^GammaPower)))</f>
        <v>0.50868624119718331</v>
      </c>
      <c r="E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Prediction'!$I$33:$K$62,3,FALSE)*GammaFactor)^GammaPower)+((VLOOKUP(E$2,'Gamma Prediction'!$I$33:$K$62,2,FALSE)^GammaPower+(VLOOKUP(E$2,'Gamma Prediction'!$I$33:$K$62,3,FALSE)*GammaFactor)^GammaPower)))</f>
        <v>0.48740191255191129</v>
      </c>
      <c r="F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Prediction'!$I$33:$K$62,3,FALSE)*GammaFactor)^GammaPower)+((VLOOKUP(F$2,'Gamma Prediction'!$I$33:$K$62,2,FALSE)^GammaPower+(VLOOKUP(F$2,'Gamma Prediction'!$I$33:$K$62,3,FALSE)*GammaFactor)^GammaPower)))</f>
        <v>0.57339407071674287</v>
      </c>
      <c r="G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Prediction'!$I$33:$K$62,3,FALSE)*GammaFactor)^GammaPower)+((VLOOKUP(G$2,'Gamma Prediction'!$I$33:$K$62,2,FALSE)^GammaPower+(VLOOKUP(G$2,'Gamma Prediction'!$I$33:$K$62,3,FALSE)*GammaFactor)^GammaPower)))</f>
        <v>0.59155757516107532</v>
      </c>
      <c r="H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Prediction'!$I$33:$K$62,3,FALSE)*GammaFactor)^GammaPower)+((VLOOKUP(H$2,'Gamma Prediction'!$I$33:$K$62,2,FALSE)^GammaPower+(VLOOKUP(H$2,'Gamma Prediction'!$I$33:$K$62,3,FALSE)*GammaFactor)^GammaPower)))</f>
        <v>0.60055866304312289</v>
      </c>
      <c r="I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Prediction'!$I$33:$K$62,3,FALSE)*GammaFactor)^GammaPower)+((VLOOKUP(I$2,'Gamma Prediction'!$I$33:$K$62,2,FALSE)^GammaPower+(VLOOKUP(I$2,'Gamma Prediction'!$I$33:$K$62,3,FALSE)*GammaFactor)^GammaPower)))</f>
        <v>0.61364984881056817</v>
      </c>
      <c r="J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Prediction'!$I$33:$K$62,3,FALSE)*GammaFactor)^GammaPower)+((VLOOKUP(J$2,'Gamma Prediction'!$I$33:$K$62,2,FALSE)^GammaPower+(VLOOKUP(J$2,'Gamma Prediction'!$I$33:$K$62,3,FALSE)*GammaFactor)^GammaPower)))</f>
        <v>0.57363692177893311</v>
      </c>
      <c r="K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Prediction'!$I$33:$K$62,3,FALSE)*GammaFactor)^GammaPower)+((VLOOKUP(K$2,'Gamma Prediction'!$I$33:$K$62,2,FALSE)^GammaPower+(VLOOKUP(K$2,'Gamma Prediction'!$I$33:$K$62,3,FALSE)*GammaFactor)^GammaPower)))</f>
        <v>0.61448943150877744</v>
      </c>
      <c r="L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Prediction'!$I$33:$K$62,3,FALSE)*GammaFactor)^GammaPower)+((VLOOKUP(L$2,'Gamma Prediction'!$I$33:$K$62,2,FALSE)^GammaPower+(VLOOKUP(L$2,'Gamma Prediction'!$I$33:$K$62,3,FALSE)*GammaFactor)^GammaPower)))</f>
        <v>0.63013994547272434</v>
      </c>
      <c r="M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Prediction'!$I$33:$K$62,3,FALSE)*GammaFactor)^GammaPower)+((VLOOKUP(M$2,'Gamma Prediction'!$I$33:$K$62,2,FALSE)^GammaPower+(VLOOKUP(M$2,'Gamma Prediction'!$I$33:$K$62,3,FALSE)*GammaFactor)^GammaPower)))</f>
        <v>0.58850565319033232</v>
      </c>
      <c r="N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Prediction'!$I$33:$K$62,3,FALSE)*GammaFactor)^GammaPower)+((VLOOKUP(N$2,'Gamma Prediction'!$I$33:$K$62,2,FALSE)^GammaPower+(VLOOKUP(N$2,'Gamma Prediction'!$I$33:$K$62,3,FALSE)*GammaFactor)^GammaPower)))</f>
        <v>0.80988624522569519</v>
      </c>
      <c r="O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Prediction'!$I$33:$K$62,3,FALSE)*GammaFactor)^GammaPower)+((VLOOKUP(O$2,'Gamma Prediction'!$I$33:$K$62,2,FALSE)^GammaPower+(VLOOKUP(O$2,'Gamma Prediction'!$I$33:$K$62,3,FALSE)*GammaFactor)^GammaPower)))</f>
        <v>0.81239096785691789</v>
      </c>
      <c r="P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Prediction'!$I$33:$K$62,3,FALSE)*GammaFactor)^GammaPower)+((VLOOKUP(P$2,'Gamma Prediction'!$I$33:$K$62,2,FALSE)^GammaPower+(VLOOKUP(P$2,'Gamma Prediction'!$I$33:$K$62,3,FALSE)*GammaFactor)^GammaPower)))</f>
        <v>0.72426910510858966</v>
      </c>
      <c r="Q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Prediction'!$I$33:$K$62,3,FALSE)*GammaFactor)^GammaPower)+((VLOOKUP(Q$2,'Gamma Prediction'!$I$33:$K$62,2,FALSE)^GammaPower+(VLOOKUP(Q$2,'Gamma Prediction'!$I$33:$K$62,3,FALSE)*GammaFactor)^GammaPower)))</f>
        <v>0.68944927450125471</v>
      </c>
      <c r="R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Prediction'!$I$33:$K$62,3,FALSE)*GammaFactor)^GammaPower)+((VLOOKUP(R$2,'Gamma Prediction'!$I$33:$K$62,2,FALSE)^GammaPower+(VLOOKUP(R$2,'Gamma Prediction'!$I$33:$K$62,3,FALSE)*GammaFactor)^GammaPower)))</f>
        <v>0.44680773434652971</v>
      </c>
      <c r="S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Prediction'!$I$33:$K$62,3,FALSE)*GammaFactor)^GammaPower)+((VLOOKUP(S$2,'Gamma Prediction'!$I$33:$K$62,2,FALSE)^GammaPower+(VLOOKUP(S$2,'Gamma Prediction'!$I$33:$K$62,3,FALSE)*GammaFactor)^GammaPower)))</f>
        <v>0.50751854775441529</v>
      </c>
      <c r="T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Prediction'!$I$33:$K$62,3,FALSE)*GammaFactor)^GammaPower)+((VLOOKUP(T$2,'Gamma Prediction'!$I$33:$K$62,2,FALSE)^GammaPower+(VLOOKUP(T$2,'Gamma Prediction'!$I$33:$K$62,3,FALSE)*GammaFactor)^GammaPower)))</f>
        <v>0.5</v>
      </c>
      <c r="U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Prediction'!$I$33:$K$62,3,FALSE)*GammaFactor)^GammaPower)+((VLOOKUP(U$2,'Gamma Prediction'!$I$33:$K$62,2,FALSE)^GammaPower+(VLOOKUP(U$2,'Gamma Prediction'!$I$33:$K$62,3,FALSE)*GammaFactor)^GammaPower)))</f>
        <v>0.48094613229415695</v>
      </c>
      <c r="V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Prediction'!$I$33:$K$62,3,FALSE)*GammaFactor)^GammaPower)+((VLOOKUP(V$2,'Gamma Prediction'!$I$33:$K$62,2,FALSE)^GammaPower+(VLOOKUP(V$2,'Gamma Prediction'!$I$33:$K$62,3,FALSE)*GammaFactor)^GammaPower)))</f>
        <v>0.61708494249386892</v>
      </c>
      <c r="W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Prediction'!$I$33:$K$62,3,FALSE)*GammaFactor)^GammaPower)+((VLOOKUP(W$2,'Gamma Prediction'!$I$33:$K$62,2,FALSE)^GammaPower+(VLOOKUP(W$2,'Gamma Prediction'!$I$33:$K$62,3,FALSE)*GammaFactor)^GammaPower)))</f>
        <v>0.61418582252853138</v>
      </c>
      <c r="X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Prediction'!$I$33:$K$62,3,FALSE)*GammaFactor)^GammaPower)+((VLOOKUP(X$2,'Gamma Prediction'!$I$33:$K$62,2,FALSE)^GammaPower+(VLOOKUP(X$2,'Gamma Prediction'!$I$33:$K$62,3,FALSE)*GammaFactor)^GammaPower)))</f>
        <v>0.50004531725053325</v>
      </c>
      <c r="Y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Prediction'!$I$33:$K$62,3,FALSE)*GammaFactor)^GammaPower)+((VLOOKUP(Y$2,'Gamma Prediction'!$I$33:$K$62,2,FALSE)^GammaPower+(VLOOKUP(Y$2,'Gamma Prediction'!$I$33:$K$62,3,FALSE)*GammaFactor)^GammaPower)))</f>
        <v>0.58538435010753354</v>
      </c>
      <c r="Z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Prediction'!$I$33:$K$62,3,FALSE)*GammaFactor)^GammaPower)+((VLOOKUP(Z$2,'Gamma Prediction'!$I$33:$K$62,2,FALSE)^GammaPower+(VLOOKUP(Z$2,'Gamma Prediction'!$I$33:$K$62,3,FALSE)*GammaFactor)^GammaPower)))</f>
        <v>0.57179830252900332</v>
      </c>
      <c r="AA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Prediction'!$I$33:$K$62,3,FALSE)*GammaFactor)^GammaPower)+((VLOOKUP(AA$2,'Gamma Prediction'!$I$33:$K$62,2,FALSE)^GammaPower+(VLOOKUP(AA$2,'Gamma Prediction'!$I$33:$K$62,3,FALSE)*GammaFactor)^GammaPower)))</f>
        <v>0.59112594111021888</v>
      </c>
      <c r="AB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Prediction'!$I$33:$K$62,3,FALSE)*GammaFactor)^GammaPower)+((VLOOKUP(AB$2,'Gamma Prediction'!$I$33:$K$62,2,FALSE)^GammaPower+(VLOOKUP(AB$2,'Gamma Prediction'!$I$33:$K$62,3,FALSE)*GammaFactor)^GammaPower)))</f>
        <v>0.60126818692771933</v>
      </c>
      <c r="AC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Prediction'!$I$33:$K$62,3,FALSE)*GammaFactor)^GammaPower)+((VLOOKUP(AC$2,'Gamma Prediction'!$I$33:$K$62,2,FALSE)^GammaPower+(VLOOKUP(AC$2,'Gamma Prediction'!$I$33:$K$62,3,FALSE)*GammaFactor)^GammaPower)))</f>
        <v>0.73571943209854573</v>
      </c>
      <c r="AD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Prediction'!$I$33:$K$62,3,FALSE)*GammaFactor)^GammaPower)+((VLOOKUP(AD$2,'Gamma Prediction'!$I$33:$K$62,2,FALSE)^GammaPower+(VLOOKUP(AD$2,'Gamma Prediction'!$I$33:$K$62,3,FALSE)*GammaFactor)^GammaPower)))</f>
        <v>0.74479331567258966</v>
      </c>
      <c r="AE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Prediction'!$I$33:$K$62,3,FALSE)*GammaFactor)^GammaPower)+((VLOOKUP(AE$2,'Gamma Prediction'!$I$33:$K$62,2,FALSE)^GammaPower+(VLOOKUP(AE$2,'Gamma Prediction'!$I$33:$K$62,3,FALSE)*GammaFactor)^GammaPower)))</f>
        <v>0.76388628120774493</v>
      </c>
      <c r="AF20" s="55">
        <f>((VLOOKUP($B20,'Gamma Prediction'!$I$33:$K$62,2,FALSE)^GammaPower+(VLOOKUP($B20,'Gamma Prediction'!$I$33:$K$62,3,FALSE)*GammaFactor)^GammaPower))/((VLOOKUP($B20,'Gamma Prediction'!$I$33:$K$62,2,FALSE)^GammaPower+(VLOOKUP($B20,'Gamma Prediction'!$I$33:$K$62,3,FALSE)*GammaFactor)^GammaPower)+((VLOOKUP(AF$2,'Gamma Prediction'!$I$33:$K$62,2,FALSE)^GammaPower+(VLOOKUP(AF$2,'Gamma Prediction'!$I$33:$K$62,3,FALSE)*GammaFactor)^GammaPower)))</f>
        <v>0.87906943407292748</v>
      </c>
    </row>
    <row r="21" spans="2:32" x14ac:dyDescent="0.25">
      <c r="B21" t="s">
        <v>34</v>
      </c>
      <c r="C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Prediction'!$I$33:$K$62,3,FALSE)*GammaFactor)^GammaPower)+((VLOOKUP(C$2,'Gamma Prediction'!$I$33:$K$62,2,FALSE)^GammaPower+(VLOOKUP(C$2,'Gamma Prediction'!$I$33:$K$62,3,FALSE)*GammaFactor)^GammaPower)))</f>
        <v>0.55074471687386772</v>
      </c>
      <c r="D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Prediction'!$I$33:$K$62,3,FALSE)*GammaFactor)^GammaPower)+((VLOOKUP(D$2,'Gamma Prediction'!$I$33:$K$62,2,FALSE)^GammaPower+(VLOOKUP(D$2,'Gamma Prediction'!$I$33:$K$62,3,FALSE)*GammaFactor)^GammaPower)))</f>
        <v>0.5277217563805755</v>
      </c>
      <c r="E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Prediction'!$I$33:$K$62,3,FALSE)*GammaFactor)^GammaPower)+((VLOOKUP(E$2,'Gamma Prediction'!$I$33:$K$62,2,FALSE)^GammaPower+(VLOOKUP(E$2,'Gamma Prediction'!$I$33:$K$62,3,FALSE)*GammaFactor)^GammaPower)))</f>
        <v>0.50646198485636662</v>
      </c>
      <c r="F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Prediction'!$I$33:$K$62,3,FALSE)*GammaFactor)^GammaPower)+((VLOOKUP(F$2,'Gamma Prediction'!$I$33:$K$62,2,FALSE)^GammaPower+(VLOOKUP(F$2,'Gamma Prediction'!$I$33:$K$62,3,FALSE)*GammaFactor)^GammaPower)))</f>
        <v>0.59193368312720918</v>
      </c>
      <c r="G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Prediction'!$I$33:$K$62,3,FALSE)*GammaFactor)^GammaPower)+((VLOOKUP(G$2,'Gamma Prediction'!$I$33:$K$62,2,FALSE)^GammaPower+(VLOOKUP(G$2,'Gamma Prediction'!$I$33:$K$62,3,FALSE)*GammaFactor)^GammaPower)))</f>
        <v>0.60984493353000768</v>
      </c>
      <c r="H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Prediction'!$I$33:$K$62,3,FALSE)*GammaFactor)^GammaPower)+((VLOOKUP(H$2,'Gamma Prediction'!$I$33:$K$62,2,FALSE)^GammaPower+(VLOOKUP(H$2,'Gamma Prediction'!$I$33:$K$62,3,FALSE)*GammaFactor)^GammaPower)))</f>
        <v>0.61870277772185578</v>
      </c>
      <c r="I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Prediction'!$I$33:$K$62,3,FALSE)*GammaFactor)^GammaPower)+((VLOOKUP(I$2,'Gamma Prediction'!$I$33:$K$62,2,FALSE)^GammaPower+(VLOOKUP(I$2,'Gamma Prediction'!$I$33:$K$62,3,FALSE)*GammaFactor)^GammaPower)))</f>
        <v>0.63156412428892728</v>
      </c>
      <c r="J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Prediction'!$I$33:$K$62,3,FALSE)*GammaFactor)^GammaPower)+((VLOOKUP(J$2,'Gamma Prediction'!$I$33:$K$62,2,FALSE)^GammaPower+(VLOOKUP(J$2,'Gamma Prediction'!$I$33:$K$62,3,FALSE)*GammaFactor)^GammaPower)))</f>
        <v>0.59217348674483106</v>
      </c>
      <c r="K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Prediction'!$I$33:$K$62,3,FALSE)*GammaFactor)^GammaPower)+((VLOOKUP(K$2,'Gamma Prediction'!$I$33:$K$62,2,FALSE)^GammaPower+(VLOOKUP(K$2,'Gamma Prediction'!$I$33:$K$62,3,FALSE)*GammaFactor)^GammaPower)))</f>
        <v>0.63238809841753274</v>
      </c>
      <c r="L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Prediction'!$I$33:$K$62,3,FALSE)*GammaFactor)^GammaPower)+((VLOOKUP(L$2,'Gamma Prediction'!$I$33:$K$62,2,FALSE)^GammaPower+(VLOOKUP(L$2,'Gamma Prediction'!$I$33:$K$62,3,FALSE)*GammaFactor)^GammaPower)))</f>
        <v>0.6477285414600672</v>
      </c>
      <c r="M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Prediction'!$I$33:$K$62,3,FALSE)*GammaFactor)^GammaPower)+((VLOOKUP(M$2,'Gamma Prediction'!$I$33:$K$62,2,FALSE)^GammaPower+(VLOOKUP(M$2,'Gamma Prediction'!$I$33:$K$62,3,FALSE)*GammaFactor)^GammaPower)))</f>
        <v>0.60683883950128192</v>
      </c>
      <c r="N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Prediction'!$I$33:$K$62,3,FALSE)*GammaFactor)^GammaPower)+((VLOOKUP(N$2,'Gamma Prediction'!$I$33:$K$62,2,FALSE)^GammaPower+(VLOOKUP(N$2,'Gamma Prediction'!$I$33:$K$62,3,FALSE)*GammaFactor)^GammaPower)))</f>
        <v>0.82135041823724786</v>
      </c>
      <c r="O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Prediction'!$I$33:$K$62,3,FALSE)*GammaFactor)^GammaPower)+((VLOOKUP(O$2,'Gamma Prediction'!$I$33:$K$62,2,FALSE)^GammaPower+(VLOOKUP(O$2,'Gamma Prediction'!$I$33:$K$62,3,FALSE)*GammaFactor)^GammaPower)))</f>
        <v>0.82373697395480316</v>
      </c>
      <c r="P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Prediction'!$I$33:$K$62,3,FALSE)*GammaFactor)^GammaPower)+((VLOOKUP(P$2,'Gamma Prediction'!$I$33:$K$62,2,FALSE)^GammaPower+(VLOOKUP(P$2,'Gamma Prediction'!$I$33:$K$62,3,FALSE)*GammaFactor)^GammaPower)))</f>
        <v>0.73923380314041698</v>
      </c>
      <c r="Q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Prediction'!$I$33:$K$62,3,FALSE)*GammaFactor)^GammaPower)+((VLOOKUP(Q$2,'Gamma Prediction'!$I$33:$K$62,2,FALSE)^GammaPower+(VLOOKUP(Q$2,'Gamma Prediction'!$I$33:$K$62,3,FALSE)*GammaFactor)^GammaPower)))</f>
        <v>0.70553542328968977</v>
      </c>
      <c r="R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Prediction'!$I$33:$K$62,3,FALSE)*GammaFactor)^GammaPower)+((VLOOKUP(R$2,'Gamma Prediction'!$I$33:$K$62,2,FALSE)^GammaPower+(VLOOKUP(R$2,'Gamma Prediction'!$I$33:$K$62,3,FALSE)*GammaFactor)^GammaPower)))</f>
        <v>0.4657226391095049</v>
      </c>
      <c r="S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Prediction'!$I$33:$K$62,3,FALSE)*GammaFactor)^GammaPower)+((VLOOKUP(S$2,'Gamma Prediction'!$I$33:$K$62,2,FALSE)^GammaPower+(VLOOKUP(S$2,'Gamma Prediction'!$I$33:$K$62,3,FALSE)*GammaFactor)^GammaPower)))</f>
        <v>0.5265571973985419</v>
      </c>
      <c r="T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Prediction'!$I$33:$K$62,3,FALSE)*GammaFactor)^GammaPower)+((VLOOKUP(T$2,'Gamma Prediction'!$I$33:$K$62,2,FALSE)^GammaPower+(VLOOKUP(T$2,'Gamma Prediction'!$I$33:$K$62,3,FALSE)*GammaFactor)^GammaPower)))</f>
        <v>0.51905386770584294</v>
      </c>
      <c r="U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Prediction'!$I$33:$K$62,3,FALSE)*GammaFactor)^GammaPower)+((VLOOKUP(U$2,'Gamma Prediction'!$I$33:$K$62,2,FALSE)^GammaPower+(VLOOKUP(U$2,'Gamma Prediction'!$I$33:$K$62,3,FALSE)*GammaFactor)^GammaPower)))</f>
        <v>0.5</v>
      </c>
      <c r="V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Prediction'!$I$33:$K$62,3,FALSE)*GammaFactor)^GammaPower)+((VLOOKUP(V$2,'Gamma Prediction'!$I$33:$K$62,2,FALSE)^GammaPower+(VLOOKUP(V$2,'Gamma Prediction'!$I$33:$K$62,3,FALSE)*GammaFactor)^GammaPower)))</f>
        <v>0.63493469561292992</v>
      </c>
      <c r="W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Prediction'!$I$33:$K$62,3,FALSE)*GammaFactor)^GammaPower)+((VLOOKUP(W$2,'Gamma Prediction'!$I$33:$K$62,2,FALSE)^GammaPower+(VLOOKUP(W$2,'Gamma Prediction'!$I$33:$K$62,3,FALSE)*GammaFactor)^GammaPower)))</f>
        <v>0.63209014585790446</v>
      </c>
      <c r="X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Prediction'!$I$33:$K$62,3,FALSE)*GammaFactor)^GammaPower)+((VLOOKUP(X$2,'Gamma Prediction'!$I$33:$K$62,2,FALSE)^GammaPower+(VLOOKUP(X$2,'Gamma Prediction'!$I$33:$K$62,3,FALSE)*GammaFactor)^GammaPower)))</f>
        <v>0.51909911899039551</v>
      </c>
      <c r="Y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Prediction'!$I$33:$K$62,3,FALSE)*GammaFactor)^GammaPower)+((VLOOKUP(Y$2,'Gamma Prediction'!$I$33:$K$62,2,FALSE)^GammaPower+(VLOOKUP(Y$2,'Gamma Prediction'!$I$33:$K$62,3,FALSE)*GammaFactor)^GammaPower)))</f>
        <v>0.60376296903983762</v>
      </c>
      <c r="Z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Prediction'!$I$33:$K$62,3,FALSE)*GammaFactor)^GammaPower)+((VLOOKUP(Z$2,'Gamma Prediction'!$I$33:$K$62,2,FALSE)^GammaPower+(VLOOKUP(Z$2,'Gamma Prediction'!$I$33:$K$62,3,FALSE)*GammaFactor)^GammaPower)))</f>
        <v>0.59035772001150943</v>
      </c>
      <c r="AA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Prediction'!$I$33:$K$62,3,FALSE)*GammaFactor)^GammaPower)+((VLOOKUP(AA$2,'Gamma Prediction'!$I$33:$K$62,2,FALSE)^GammaPower+(VLOOKUP(AA$2,'Gamma Prediction'!$I$33:$K$62,3,FALSE)*GammaFactor)^GammaPower)))</f>
        <v>0.609419865256007</v>
      </c>
      <c r="AB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Prediction'!$I$33:$K$62,3,FALSE)*GammaFactor)^GammaPower)+((VLOOKUP(AB$2,'Gamma Prediction'!$I$33:$K$62,2,FALSE)^GammaPower+(VLOOKUP(AB$2,'Gamma Prediction'!$I$33:$K$62,3,FALSE)*GammaFactor)^GammaPower)))</f>
        <v>0.61940049741044045</v>
      </c>
      <c r="AC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Prediction'!$I$33:$K$62,3,FALSE)*GammaFactor)^GammaPower)+((VLOOKUP(AC$2,'Gamma Prediction'!$I$33:$K$62,2,FALSE)^GammaPower+(VLOOKUP(AC$2,'Gamma Prediction'!$I$33:$K$62,3,FALSE)*GammaFactor)^GammaPower)))</f>
        <v>0.75027695726278332</v>
      </c>
      <c r="AD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Prediction'!$I$33:$K$62,3,FALSE)*GammaFactor)^GammaPower)+((VLOOKUP(AD$2,'Gamma Prediction'!$I$33:$K$62,2,FALSE)^GammaPower+(VLOOKUP(AD$2,'Gamma Prediction'!$I$33:$K$62,3,FALSE)*GammaFactor)^GammaPower)))</f>
        <v>0.75901473566224908</v>
      </c>
      <c r="AE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Prediction'!$I$33:$K$62,3,FALSE)*GammaFactor)^GammaPower)+((VLOOKUP(AE$2,'Gamma Prediction'!$I$33:$K$62,2,FALSE)^GammaPower+(VLOOKUP(AE$2,'Gamma Prediction'!$I$33:$K$62,3,FALSE)*GammaFactor)^GammaPower)))</f>
        <v>0.77736178839187897</v>
      </c>
      <c r="AF21" s="55">
        <f>((VLOOKUP($B21,'Gamma Prediction'!$I$33:$K$62,2,FALSE)^GammaPower+(VLOOKUP($B21,'Gamma Prediction'!$I$33:$K$62,3,FALSE)*GammaFactor)^GammaPower))/((VLOOKUP($B21,'Gamma Prediction'!$I$33:$K$62,2,FALSE)^GammaPower+(VLOOKUP($B21,'Gamma Prediction'!$I$33:$K$62,3,FALSE)*GammaFactor)^GammaPower)+((VLOOKUP(AF$2,'Gamma Prediction'!$I$33:$K$62,2,FALSE)^GammaPower+(VLOOKUP(AF$2,'Gamma Prediction'!$I$33:$K$62,3,FALSE)*GammaFactor)^GammaPower)))</f>
        <v>0.88694411656758088</v>
      </c>
    </row>
    <row r="22" spans="2:32" x14ac:dyDescent="0.25">
      <c r="B22" t="s">
        <v>35</v>
      </c>
      <c r="C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Prediction'!$I$33:$K$62,3,FALSE)*GammaFactor)^GammaPower)+((VLOOKUP(C$2,'Gamma Prediction'!$I$33:$K$62,2,FALSE)^GammaPower+(VLOOKUP(C$2,'Gamma Prediction'!$I$33:$K$62,3,FALSE)*GammaFactor)^GammaPower)))</f>
        <v>0.41343921735961547</v>
      </c>
      <c r="D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Prediction'!$I$33:$K$62,3,FALSE)*GammaFactor)^GammaPower)+((VLOOKUP(D$2,'Gamma Prediction'!$I$33:$K$62,2,FALSE)^GammaPower+(VLOOKUP(D$2,'Gamma Prediction'!$I$33:$K$62,3,FALSE)*GammaFactor)^GammaPower)))</f>
        <v>0.39115851934754464</v>
      </c>
      <c r="E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Prediction'!$I$33:$K$62,3,FALSE)*GammaFactor)^GammaPower)+((VLOOKUP(E$2,'Gamma Prediction'!$I$33:$K$62,2,FALSE)^GammaPower+(VLOOKUP(E$2,'Gamma Prediction'!$I$33:$K$62,3,FALSE)*GammaFactor)^GammaPower)))</f>
        <v>0.37107763590551435</v>
      </c>
      <c r="F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Prediction'!$I$33:$K$62,3,FALSE)*GammaFactor)^GammaPower)+((VLOOKUP(F$2,'Gamma Prediction'!$I$33:$K$62,2,FALSE)^GammaPower+(VLOOKUP(F$2,'Gamma Prediction'!$I$33:$K$62,3,FALSE)*GammaFactor)^GammaPower)))</f>
        <v>0.45475386648763777</v>
      </c>
      <c r="G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Prediction'!$I$33:$K$62,3,FALSE)*GammaFactor)^GammaPower)+((VLOOKUP(G$2,'Gamma Prediction'!$I$33:$K$62,2,FALSE)^GammaPower+(VLOOKUP(G$2,'Gamma Prediction'!$I$33:$K$62,3,FALSE)*GammaFactor)^GammaPower)))</f>
        <v>0.47332897780343869</v>
      </c>
      <c r="H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Prediction'!$I$33:$K$62,3,FALSE)*GammaFactor)^GammaPower)+((VLOOKUP(H$2,'Gamma Prediction'!$I$33:$K$62,2,FALSE)^GammaPower+(VLOOKUP(H$2,'Gamma Prediction'!$I$33:$K$62,3,FALSE)*GammaFactor)^GammaPower)))</f>
        <v>0.48265693828572082</v>
      </c>
      <c r="I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Prediction'!$I$33:$K$62,3,FALSE)*GammaFactor)^GammaPower)+((VLOOKUP(I$2,'Gamma Prediction'!$I$33:$K$62,2,FALSE)^GammaPower+(VLOOKUP(I$2,'Gamma Prediction'!$I$33:$K$62,3,FALSE)*GammaFactor)^GammaPower)))</f>
        <v>0.49637178842799812</v>
      </c>
      <c r="J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Prediction'!$I$33:$K$62,3,FALSE)*GammaFactor)^GammaPower)+((VLOOKUP(J$2,'Gamma Prediction'!$I$33:$K$62,2,FALSE)^GammaPower+(VLOOKUP(J$2,'Gamma Prediction'!$I$33:$K$62,3,FALSE)*GammaFactor)^GammaPower)))</f>
        <v>0.45500006196677439</v>
      </c>
      <c r="K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Prediction'!$I$33:$K$62,3,FALSE)*GammaFactor)^GammaPower)+((VLOOKUP(K$2,'Gamma Prediction'!$I$33:$K$62,2,FALSE)^GammaPower+(VLOOKUP(K$2,'Gamma Prediction'!$I$33:$K$62,3,FALSE)*GammaFactor)^GammaPower)))</f>
        <v>0.49725743268139533</v>
      </c>
      <c r="L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Prediction'!$I$33:$K$62,3,FALSE)*GammaFactor)^GammaPower)+((VLOOKUP(L$2,'Gamma Prediction'!$I$33:$K$62,2,FALSE)^GammaPower+(VLOOKUP(L$2,'Gamma Prediction'!$I$33:$K$62,3,FALSE)*GammaFactor)^GammaPower)))</f>
        <v>0.5139023470281131</v>
      </c>
      <c r="M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Prediction'!$I$33:$K$62,3,FALSE)*GammaFactor)^GammaPower)+((VLOOKUP(M$2,'Gamma Prediction'!$I$33:$K$62,2,FALSE)^GammaPower+(VLOOKUP(M$2,'Gamma Prediction'!$I$33:$K$62,3,FALSE)*GammaFactor)^GammaPower)))</f>
        <v>0.47018485140195981</v>
      </c>
      <c r="N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Prediction'!$I$33:$K$62,3,FALSE)*GammaFactor)^GammaPower)+((VLOOKUP(N$2,'Gamma Prediction'!$I$33:$K$62,2,FALSE)^GammaPower+(VLOOKUP(N$2,'Gamma Prediction'!$I$33:$K$62,3,FALSE)*GammaFactor)^GammaPower)))</f>
        <v>0.72553343281266569</v>
      </c>
      <c r="O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Prediction'!$I$33:$K$62,3,FALSE)*GammaFactor)^GammaPower)+((VLOOKUP(O$2,'Gamma Prediction'!$I$33:$K$62,2,FALSE)^GammaPower+(VLOOKUP(O$2,'Gamma Prediction'!$I$33:$K$62,3,FALSE)*GammaFactor)^GammaPower)))</f>
        <v>0.7287773167819761</v>
      </c>
      <c r="P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Prediction'!$I$33:$K$62,3,FALSE)*GammaFactor)^GammaPower)+((VLOOKUP(P$2,'Gamma Prediction'!$I$33:$K$62,2,FALSE)^GammaPower+(VLOOKUP(P$2,'Gamma Prediction'!$I$33:$K$62,3,FALSE)*GammaFactor)^GammaPower)))</f>
        <v>0.61976340946274788</v>
      </c>
      <c r="Q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Prediction'!$I$33:$K$62,3,FALSE)*GammaFactor)^GammaPower)+((VLOOKUP(Q$2,'Gamma Prediction'!$I$33:$K$62,2,FALSE)^GammaPower+(VLOOKUP(Q$2,'Gamma Prediction'!$I$33:$K$62,3,FALSE)*GammaFactor)^GammaPower)))</f>
        <v>0.57941012473452636</v>
      </c>
      <c r="R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Prediction'!$I$33:$K$62,3,FALSE)*GammaFactor)^GammaPower)+((VLOOKUP(R$2,'Gamma Prediction'!$I$33:$K$62,2,FALSE)^GammaPower+(VLOOKUP(R$2,'Gamma Prediction'!$I$33:$K$62,3,FALSE)*GammaFactor)^GammaPower)))</f>
        <v>0.33386163956956372</v>
      </c>
      <c r="S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Prediction'!$I$33:$K$62,3,FALSE)*GammaFactor)^GammaPower)+((VLOOKUP(S$2,'Gamma Prediction'!$I$33:$K$62,2,FALSE)^GammaPower+(VLOOKUP(S$2,'Gamma Prediction'!$I$33:$K$62,3,FALSE)*GammaFactor)^GammaPower)))</f>
        <v>0.39004643291992197</v>
      </c>
      <c r="T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Prediction'!$I$33:$K$62,3,FALSE)*GammaFactor)^GammaPower)+((VLOOKUP(T$2,'Gamma Prediction'!$I$33:$K$62,2,FALSE)^GammaPower+(VLOOKUP(T$2,'Gamma Prediction'!$I$33:$K$62,3,FALSE)*GammaFactor)^GammaPower)))</f>
        <v>0.38291505750613114</v>
      </c>
      <c r="U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Prediction'!$I$33:$K$62,3,FALSE)*GammaFactor)^GammaPower)+((VLOOKUP(U$2,'Gamma Prediction'!$I$33:$K$62,2,FALSE)^GammaPower+(VLOOKUP(U$2,'Gamma Prediction'!$I$33:$K$62,3,FALSE)*GammaFactor)^GammaPower)))</f>
        <v>0.36506530438707008</v>
      </c>
      <c r="V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Prediction'!$I$33:$K$62,3,FALSE)*GammaFactor)^GammaPower)+((VLOOKUP(V$2,'Gamma Prediction'!$I$33:$K$62,2,FALSE)^GammaPower+(VLOOKUP(V$2,'Gamma Prediction'!$I$33:$K$62,3,FALSE)*GammaFactor)^GammaPower)))</f>
        <v>0.5</v>
      </c>
      <c r="W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Prediction'!$I$33:$K$62,3,FALSE)*GammaFactor)^GammaPower)+((VLOOKUP(W$2,'Gamma Prediction'!$I$33:$K$62,2,FALSE)^GammaPower+(VLOOKUP(W$2,'Gamma Prediction'!$I$33:$K$62,3,FALSE)*GammaFactor)^GammaPower)))</f>
        <v>0.49693708203726222</v>
      </c>
      <c r="X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Prediction'!$I$33:$K$62,3,FALSE)*GammaFactor)^GammaPower)+((VLOOKUP(X$2,'Gamma Prediction'!$I$33:$K$62,2,FALSE)^GammaPower+(VLOOKUP(X$2,'Gamma Prediction'!$I$33:$K$62,3,FALSE)*GammaFactor)^GammaPower)))</f>
        <v>0.38295789067007052</v>
      </c>
      <c r="Y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Prediction'!$I$33:$K$62,3,FALSE)*GammaFactor)^GammaPower)+((VLOOKUP(Y$2,'Gamma Prediction'!$I$33:$K$62,2,FALSE)^GammaPower+(VLOOKUP(Y$2,'Gamma Prediction'!$I$33:$K$62,3,FALSE)*GammaFactor)^GammaPower)))</f>
        <v>0.46697893185465067</v>
      </c>
      <c r="Z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Prediction'!$I$33:$K$62,3,FALSE)*GammaFactor)^GammaPower)+((VLOOKUP(Z$2,'Gamma Prediction'!$I$33:$K$62,2,FALSE)^GammaPower+(VLOOKUP(Z$2,'Gamma Prediction'!$I$33:$K$62,3,FALSE)*GammaFactor)^GammaPower)))</f>
        <v>0.45313756373011066</v>
      </c>
      <c r="AA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Prediction'!$I$33:$K$62,3,FALSE)*GammaFactor)^GammaPower)+((VLOOKUP(AA$2,'Gamma Prediction'!$I$33:$K$62,2,FALSE)^GammaPower+(VLOOKUP(AA$2,'Gamma Prediction'!$I$33:$K$62,3,FALSE)*GammaFactor)^GammaPower)))</f>
        <v>0.47288373323255273</v>
      </c>
      <c r="AB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Prediction'!$I$33:$K$62,3,FALSE)*GammaFactor)^GammaPower)+((VLOOKUP(AB$2,'Gamma Prediction'!$I$33:$K$62,2,FALSE)^GammaPower+(VLOOKUP(AB$2,'Gamma Prediction'!$I$33:$K$62,3,FALSE)*GammaFactor)^GammaPower)))</f>
        <v>0.48339573887603893</v>
      </c>
      <c r="AC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Prediction'!$I$33:$K$62,3,FALSE)*GammaFactor)^GammaPower)+((VLOOKUP(AC$2,'Gamma Prediction'!$I$33:$K$62,2,FALSE)^GammaPower+(VLOOKUP(AC$2,'Gamma Prediction'!$I$33:$K$62,3,FALSE)*GammaFactor)^GammaPower)))</f>
        <v>0.6333566331056617</v>
      </c>
      <c r="AD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Prediction'!$I$33:$K$62,3,FALSE)*GammaFactor)^GammaPower)+((VLOOKUP(AD$2,'Gamma Prediction'!$I$33:$K$62,2,FALSE)^GammaPower+(VLOOKUP(AD$2,'Gamma Prediction'!$I$33:$K$62,3,FALSE)*GammaFactor)^GammaPower)))</f>
        <v>0.64424562083661807</v>
      </c>
      <c r="AE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Prediction'!$I$33:$K$62,3,FALSE)*GammaFactor)^GammaPower)+((VLOOKUP(AE$2,'Gamma Prediction'!$I$33:$K$62,2,FALSE)^GammaPower+(VLOOKUP(AE$2,'Gamma Prediction'!$I$33:$K$62,3,FALSE)*GammaFactor)^GammaPower)))</f>
        <v>0.66750274123970199</v>
      </c>
      <c r="AF22" s="55">
        <f>((VLOOKUP($B22,'Gamma Prediction'!$I$33:$K$62,2,FALSE)^GammaPower+(VLOOKUP($B22,'Gamma Prediction'!$I$33:$K$62,3,FALSE)*GammaFactor)^GammaPower))/((VLOOKUP($B22,'Gamma Prediction'!$I$33:$K$62,2,FALSE)^GammaPower+(VLOOKUP($B22,'Gamma Prediction'!$I$33:$K$62,3,FALSE)*GammaFactor)^GammaPower)+((VLOOKUP(AF$2,'Gamma Prediction'!$I$33:$K$62,2,FALSE)^GammaPower+(VLOOKUP(AF$2,'Gamma Prediction'!$I$33:$K$62,3,FALSE)*GammaFactor)^GammaPower)))</f>
        <v>0.81853507125592861</v>
      </c>
    </row>
    <row r="23" spans="2:32" x14ac:dyDescent="0.25">
      <c r="B23" t="s">
        <v>36</v>
      </c>
      <c r="C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Prediction'!$I$33:$K$62,3,FALSE)*GammaFactor)^GammaPower)+((VLOOKUP(C$2,'Gamma Prediction'!$I$33:$K$62,2,FALSE)^GammaPower+(VLOOKUP(C$2,'Gamma Prediction'!$I$33:$K$62,3,FALSE)*GammaFactor)^GammaPower)))</f>
        <v>0.41641349063354266</v>
      </c>
      <c r="D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Prediction'!$I$33:$K$62,3,FALSE)*GammaFactor)^GammaPower)+((VLOOKUP(D$2,'Gamma Prediction'!$I$33:$K$62,2,FALSE)^GammaPower+(VLOOKUP(D$2,'Gamma Prediction'!$I$33:$K$62,3,FALSE)*GammaFactor)^GammaPower)))</f>
        <v>0.39408019429748364</v>
      </c>
      <c r="E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Prediction'!$I$33:$K$62,3,FALSE)*GammaFactor)^GammaPower)+((VLOOKUP(E$2,'Gamma Prediction'!$I$33:$K$62,2,FALSE)^GammaPower+(VLOOKUP(E$2,'Gamma Prediction'!$I$33:$K$62,3,FALSE)*GammaFactor)^GammaPower)))</f>
        <v>0.37394144254901823</v>
      </c>
      <c r="F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Prediction'!$I$33:$K$62,3,FALSE)*GammaFactor)^GammaPower)+((VLOOKUP(F$2,'Gamma Prediction'!$I$33:$K$62,2,FALSE)^GammaPower+(VLOOKUP(F$2,'Gamma Prediction'!$I$33:$K$62,3,FALSE)*GammaFactor)^GammaPower)))</f>
        <v>0.45779338760392535</v>
      </c>
      <c r="G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Prediction'!$I$33:$K$62,3,FALSE)*GammaFactor)^GammaPower)+((VLOOKUP(G$2,'Gamma Prediction'!$I$33:$K$62,2,FALSE)^GammaPower+(VLOOKUP(G$2,'Gamma Prediction'!$I$33:$K$62,3,FALSE)*GammaFactor)^GammaPower)))</f>
        <v>0.4763841789515772</v>
      </c>
      <c r="H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Prediction'!$I$33:$K$62,3,FALSE)*GammaFactor)^GammaPower)+((VLOOKUP(H$2,'Gamma Prediction'!$I$33:$K$62,2,FALSE)^GammaPower+(VLOOKUP(H$2,'Gamma Prediction'!$I$33:$K$62,3,FALSE)*GammaFactor)^GammaPower)))</f>
        <v>0.485716821337217</v>
      </c>
      <c r="I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Prediction'!$I$33:$K$62,3,FALSE)*GammaFactor)^GammaPower)+((VLOOKUP(I$2,'Gamma Prediction'!$I$33:$K$62,2,FALSE)^GammaPower+(VLOOKUP(I$2,'Gamma Prediction'!$I$33:$K$62,3,FALSE)*GammaFactor)^GammaPower)))</f>
        <v>0.49943468126138091</v>
      </c>
      <c r="J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Prediction'!$I$33:$K$62,3,FALSE)*GammaFactor)^GammaPower)+((VLOOKUP(J$2,'Gamma Prediction'!$I$33:$K$62,2,FALSE)^GammaPower+(VLOOKUP(J$2,'Gamma Prediction'!$I$33:$K$62,3,FALSE)*GammaFactor)^GammaPower)))</f>
        <v>0.4580398462698238</v>
      </c>
      <c r="K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Prediction'!$I$33:$K$62,3,FALSE)*GammaFactor)^GammaPower)+((VLOOKUP(K$2,'Gamma Prediction'!$I$33:$K$62,2,FALSE)^GammaPower+(VLOOKUP(K$2,'Gamma Prediction'!$I$33:$K$62,3,FALSE)*GammaFactor)^GammaPower)))</f>
        <v>0.50032036140860781</v>
      </c>
      <c r="L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Prediction'!$I$33:$K$62,3,FALSE)*GammaFactor)^GammaPower)+((VLOOKUP(L$2,'Gamma Prediction'!$I$33:$K$62,2,FALSE)^GammaPower+(VLOOKUP(L$2,'Gamma Prediction'!$I$33:$K$62,3,FALSE)*GammaFactor)^GammaPower)))</f>
        <v>0.51696237584036708</v>
      </c>
      <c r="M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Prediction'!$I$33:$K$62,3,FALSE)*GammaFactor)^GammaPower)+((VLOOKUP(M$2,'Gamma Prediction'!$I$33:$K$62,2,FALSE)^GammaPower+(VLOOKUP(M$2,'Gamma Prediction'!$I$33:$K$62,3,FALSE)*GammaFactor)^GammaPower)))</f>
        <v>0.4732379935940329</v>
      </c>
      <c r="N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Prediction'!$I$33:$K$62,3,FALSE)*GammaFactor)^GammaPower)+((VLOOKUP(N$2,'Gamma Prediction'!$I$33:$K$62,2,FALSE)^GammaPower+(VLOOKUP(N$2,'Gamma Prediction'!$I$33:$K$62,3,FALSE)*GammaFactor)^GammaPower)))</f>
        <v>0.72796644265264276</v>
      </c>
      <c r="O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Prediction'!$I$33:$K$62,3,FALSE)*GammaFactor)^GammaPower)+((VLOOKUP(O$2,'Gamma Prediction'!$I$33:$K$62,2,FALSE)^GammaPower+(VLOOKUP(O$2,'Gamma Prediction'!$I$33:$K$62,3,FALSE)*GammaFactor)^GammaPower)))</f>
        <v>0.73119222499099235</v>
      </c>
      <c r="P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Prediction'!$I$33:$K$62,3,FALSE)*GammaFactor)^GammaPower)+((VLOOKUP(P$2,'Gamma Prediction'!$I$33:$K$62,2,FALSE)^GammaPower+(VLOOKUP(P$2,'Gamma Prediction'!$I$33:$K$62,3,FALSE)*GammaFactor)^GammaPower)))</f>
        <v>0.62264636816510543</v>
      </c>
      <c r="Q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Prediction'!$I$33:$K$62,3,FALSE)*GammaFactor)^GammaPower)+((VLOOKUP(Q$2,'Gamma Prediction'!$I$33:$K$62,2,FALSE)^GammaPower+(VLOOKUP(Q$2,'Gamma Prediction'!$I$33:$K$62,3,FALSE)*GammaFactor)^GammaPower)))</f>
        <v>0.58239288210282758</v>
      </c>
      <c r="R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Prediction'!$I$33:$K$62,3,FALSE)*GammaFactor)^GammaPower)+((VLOOKUP(R$2,'Gamma Prediction'!$I$33:$K$62,2,FALSE)^GammaPower+(VLOOKUP(R$2,'Gamma Prediction'!$I$33:$K$62,3,FALSE)*GammaFactor)^GammaPower)))</f>
        <v>0.3365919449014616</v>
      </c>
      <c r="S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Prediction'!$I$33:$K$62,3,FALSE)*GammaFactor)^GammaPower)+((VLOOKUP(S$2,'Gamma Prediction'!$I$33:$K$62,2,FALSE)^GammaPower+(VLOOKUP(S$2,'Gamma Prediction'!$I$33:$K$62,3,FALSE)*GammaFactor)^GammaPower)))</f>
        <v>0.39296516264530629</v>
      </c>
      <c r="T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Prediction'!$I$33:$K$62,3,FALSE)*GammaFactor)^GammaPower)+((VLOOKUP(T$2,'Gamma Prediction'!$I$33:$K$62,2,FALSE)^GammaPower+(VLOOKUP(T$2,'Gamma Prediction'!$I$33:$K$62,3,FALSE)*GammaFactor)^GammaPower)))</f>
        <v>0.38581417747146857</v>
      </c>
      <c r="U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Prediction'!$I$33:$K$62,3,FALSE)*GammaFactor)^GammaPower)+((VLOOKUP(U$2,'Gamma Prediction'!$I$33:$K$62,2,FALSE)^GammaPower+(VLOOKUP(U$2,'Gamma Prediction'!$I$33:$K$62,3,FALSE)*GammaFactor)^GammaPower)))</f>
        <v>0.36790985414209559</v>
      </c>
      <c r="V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Prediction'!$I$33:$K$62,3,FALSE)*GammaFactor)^GammaPower)+((VLOOKUP(V$2,'Gamma Prediction'!$I$33:$K$62,2,FALSE)^GammaPower+(VLOOKUP(V$2,'Gamma Prediction'!$I$33:$K$62,3,FALSE)*GammaFactor)^GammaPower)))</f>
        <v>0.50306291796273772</v>
      </c>
      <c r="W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Prediction'!$I$33:$K$62,3,FALSE)*GammaFactor)^GammaPower)+((VLOOKUP(W$2,'Gamma Prediction'!$I$33:$K$62,2,FALSE)^GammaPower+(VLOOKUP(W$2,'Gamma Prediction'!$I$33:$K$62,3,FALSE)*GammaFactor)^GammaPower)))</f>
        <v>0.5</v>
      </c>
      <c r="X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Prediction'!$I$33:$K$62,3,FALSE)*GammaFactor)^GammaPower)+((VLOOKUP(X$2,'Gamma Prediction'!$I$33:$K$62,2,FALSE)^GammaPower+(VLOOKUP(X$2,'Gamma Prediction'!$I$33:$K$62,3,FALSE)*GammaFactor)^GammaPower)))</f>
        <v>0.38585713215296086</v>
      </c>
      <c r="Y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Prediction'!$I$33:$K$62,3,FALSE)*GammaFactor)^GammaPower)+((VLOOKUP(Y$2,'Gamma Prediction'!$I$33:$K$62,2,FALSE)^GammaPower+(VLOOKUP(Y$2,'Gamma Prediction'!$I$33:$K$62,3,FALSE)*GammaFactor)^GammaPower)))</f>
        <v>0.47002972494427719</v>
      </c>
      <c r="Z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Prediction'!$I$33:$K$62,3,FALSE)*GammaFactor)^GammaPower)+((VLOOKUP(Z$2,'Gamma Prediction'!$I$33:$K$62,2,FALSE)^GammaPower+(VLOOKUP(Z$2,'Gamma Prediction'!$I$33:$K$62,3,FALSE)*GammaFactor)^GammaPower)))</f>
        <v>0.45617532005124428</v>
      </c>
      <c r="AA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Prediction'!$I$33:$K$62,3,FALSE)*GammaFactor)^GammaPower)+((VLOOKUP(AA$2,'Gamma Prediction'!$I$33:$K$62,2,FALSE)^GammaPower+(VLOOKUP(AA$2,'Gamma Prediction'!$I$33:$K$62,3,FALSE)*GammaFactor)^GammaPower)))</f>
        <v>0.4759386575456705</v>
      </c>
      <c r="AB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Prediction'!$I$33:$K$62,3,FALSE)*GammaFactor)^GammaPower)+((VLOOKUP(AB$2,'Gamma Prediction'!$I$33:$K$62,2,FALSE)^GammaPower+(VLOOKUP(AB$2,'Gamma Prediction'!$I$33:$K$62,3,FALSE)*GammaFactor)^GammaPower)))</f>
        <v>0.48645590156339225</v>
      </c>
      <c r="AC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Prediction'!$I$33:$K$62,3,FALSE)*GammaFactor)^GammaPower)+((VLOOKUP(AC$2,'Gamma Prediction'!$I$33:$K$62,2,FALSE)^GammaPower+(VLOOKUP(AC$2,'Gamma Prediction'!$I$33:$K$62,3,FALSE)*GammaFactor)^GammaPower)))</f>
        <v>0.63619702668570044</v>
      </c>
      <c r="AD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Prediction'!$I$33:$K$62,3,FALSE)*GammaFactor)^GammaPower)+((VLOOKUP(AD$2,'Gamma Prediction'!$I$33:$K$62,2,FALSE)^GammaPower+(VLOOKUP(AD$2,'Gamma Prediction'!$I$33:$K$62,3,FALSE)*GammaFactor)^GammaPower)))</f>
        <v>0.64704866704070074</v>
      </c>
      <c r="AE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Prediction'!$I$33:$K$62,3,FALSE)*GammaFactor)^GammaPower)+((VLOOKUP(AE$2,'Gamma Prediction'!$I$33:$K$62,2,FALSE)^GammaPower+(VLOOKUP(AE$2,'Gamma Prediction'!$I$33:$K$62,3,FALSE)*GammaFactor)^GammaPower)))</f>
        <v>0.67021634316010203</v>
      </c>
      <c r="AF23" s="55">
        <f>((VLOOKUP($B23,'Gamma Prediction'!$I$33:$K$62,2,FALSE)^GammaPower+(VLOOKUP($B23,'Gamma Prediction'!$I$33:$K$62,3,FALSE)*GammaFactor)^GammaPower))/((VLOOKUP($B23,'Gamma Prediction'!$I$33:$K$62,2,FALSE)^GammaPower+(VLOOKUP($B23,'Gamma Prediction'!$I$33:$K$62,3,FALSE)*GammaFactor)^GammaPower)+((VLOOKUP(AF$2,'Gamma Prediction'!$I$33:$K$62,2,FALSE)^GammaPower+(VLOOKUP(AF$2,'Gamma Prediction'!$I$33:$K$62,3,FALSE)*GammaFactor)^GammaPower)))</f>
        <v>0.82034780399014295</v>
      </c>
    </row>
    <row r="24" spans="2:32" x14ac:dyDescent="0.25">
      <c r="B24" t="s">
        <v>37</v>
      </c>
      <c r="C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Prediction'!$I$33:$K$62,3,FALSE)*GammaFactor)^GammaPower)+((VLOOKUP(C$2,'Gamma Prediction'!$I$33:$K$62,2,FALSE)^GammaPower+(VLOOKUP(C$2,'Gamma Prediction'!$I$33:$K$62,3,FALSE)*GammaFactor)^GammaPower)))</f>
        <v>0.5317687563786393</v>
      </c>
      <c r="D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Prediction'!$I$33:$K$62,3,FALSE)*GammaFactor)^GammaPower)+((VLOOKUP(D$2,'Gamma Prediction'!$I$33:$K$62,2,FALSE)^GammaPower+(VLOOKUP(D$2,'Gamma Prediction'!$I$33:$K$62,3,FALSE)*GammaFactor)^GammaPower)))</f>
        <v>0.50864093755220618</v>
      </c>
      <c r="E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Prediction'!$I$33:$K$62,3,FALSE)*GammaFactor)^GammaPower)+((VLOOKUP(E$2,'Gamma Prediction'!$I$33:$K$62,2,FALSE)^GammaPower+(VLOOKUP(E$2,'Gamma Prediction'!$I$33:$K$62,3,FALSE)*GammaFactor)^GammaPower)))</f>
        <v>0.48735662417433151</v>
      </c>
      <c r="F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Prediction'!$I$33:$K$62,3,FALSE)*GammaFactor)^GammaPower)+((VLOOKUP(F$2,'Gamma Prediction'!$I$33:$K$62,2,FALSE)^GammaPower+(VLOOKUP(F$2,'Gamma Prediction'!$I$33:$K$62,3,FALSE)*GammaFactor)^GammaPower)))</f>
        <v>0.57334972931614014</v>
      </c>
      <c r="G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Prediction'!$I$33:$K$62,3,FALSE)*GammaFactor)^GammaPower)+((VLOOKUP(G$2,'Gamma Prediction'!$I$33:$K$62,2,FALSE)^GammaPower+(VLOOKUP(G$2,'Gamma Prediction'!$I$33:$K$62,3,FALSE)*GammaFactor)^GammaPower)))</f>
        <v>0.59151377672353944</v>
      </c>
      <c r="H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Prediction'!$I$33:$K$62,3,FALSE)*GammaFactor)^GammaPower)+((VLOOKUP(H$2,'Gamma Prediction'!$I$33:$K$62,2,FALSE)^GammaPower+(VLOOKUP(H$2,'Gamma Prediction'!$I$33:$K$62,3,FALSE)*GammaFactor)^GammaPower)))</f>
        <v>0.60051517800019161</v>
      </c>
      <c r="I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Prediction'!$I$33:$K$62,3,FALSE)*GammaFactor)^GammaPower)+((VLOOKUP(I$2,'Gamma Prediction'!$I$33:$K$62,2,FALSE)^GammaPower+(VLOOKUP(I$2,'Gamma Prediction'!$I$33:$K$62,3,FALSE)*GammaFactor)^GammaPower)))</f>
        <v>0.61360687199732267</v>
      </c>
      <c r="J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Prediction'!$I$33:$K$62,3,FALSE)*GammaFactor)^GammaPower)+((VLOOKUP(J$2,'Gamma Prediction'!$I$33:$K$62,2,FALSE)^GammaPower+(VLOOKUP(J$2,'Gamma Prediction'!$I$33:$K$62,3,FALSE)*GammaFactor)^GammaPower)))</f>
        <v>0.57359258684897041</v>
      </c>
      <c r="K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Prediction'!$I$33:$K$62,3,FALSE)*GammaFactor)^GammaPower)+((VLOOKUP(K$2,'Gamma Prediction'!$I$33:$K$62,2,FALSE)^GammaPower+(VLOOKUP(K$2,'Gamma Prediction'!$I$33:$K$62,3,FALSE)*GammaFactor)^GammaPower)))</f>
        <v>0.61444648941030133</v>
      </c>
      <c r="L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Prediction'!$I$33:$K$62,3,FALSE)*GammaFactor)^GammaPower)+((VLOOKUP(L$2,'Gamma Prediction'!$I$33:$K$62,2,FALSE)^GammaPower+(VLOOKUP(L$2,'Gamma Prediction'!$I$33:$K$62,3,FALSE)*GammaFactor)^GammaPower)))</f>
        <v>0.63009769727084974</v>
      </c>
      <c r="M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Prediction'!$I$33:$K$62,3,FALSE)*GammaFactor)^GammaPower)+((VLOOKUP(M$2,'Gamma Prediction'!$I$33:$K$62,2,FALSE)^GammaPower+(VLOOKUP(M$2,'Gamma Prediction'!$I$33:$K$62,3,FALSE)*GammaFactor)^GammaPower)))</f>
        <v>0.58846175516105659</v>
      </c>
      <c r="N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Prediction'!$I$33:$K$62,3,FALSE)*GammaFactor)^GammaPower)+((VLOOKUP(N$2,'Gamma Prediction'!$I$33:$K$62,2,FALSE)^GammaPower+(VLOOKUP(N$2,'Gamma Prediction'!$I$33:$K$62,3,FALSE)*GammaFactor)^GammaPower)))</f>
        <v>0.80985833357620496</v>
      </c>
      <c r="O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Prediction'!$I$33:$K$62,3,FALSE)*GammaFactor)^GammaPower)+((VLOOKUP(O$2,'Gamma Prediction'!$I$33:$K$62,2,FALSE)^GammaPower+(VLOOKUP(O$2,'Gamma Prediction'!$I$33:$K$62,3,FALSE)*GammaFactor)^GammaPower)))</f>
        <v>0.81236333874238842</v>
      </c>
      <c r="P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Prediction'!$I$33:$K$62,3,FALSE)*GammaFactor)^GammaPower)+((VLOOKUP(P$2,'Gamma Prediction'!$I$33:$K$62,2,FALSE)^GammaPower+(VLOOKUP(P$2,'Gamma Prediction'!$I$33:$K$62,3,FALSE)*GammaFactor)^GammaPower)))</f>
        <v>0.72423290360655923</v>
      </c>
      <c r="Q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Prediction'!$I$33:$K$62,3,FALSE)*GammaFactor)^GammaPower)+((VLOOKUP(Q$2,'Gamma Prediction'!$I$33:$K$62,2,FALSE)^GammaPower+(VLOOKUP(Q$2,'Gamma Prediction'!$I$33:$K$62,3,FALSE)*GammaFactor)^GammaPower)))</f>
        <v>0.68941046184860566</v>
      </c>
      <c r="R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Prediction'!$I$33:$K$62,3,FALSE)*GammaFactor)^GammaPower)+((VLOOKUP(R$2,'Gamma Prediction'!$I$33:$K$62,2,FALSE)^GammaPower+(VLOOKUP(R$2,'Gamma Prediction'!$I$33:$K$62,3,FALSE)*GammaFactor)^GammaPower)))</f>
        <v>0.44676293041361981</v>
      </c>
      <c r="S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Prediction'!$I$33:$K$62,3,FALSE)*GammaFactor)^GammaPower)+((VLOOKUP(S$2,'Gamma Prediction'!$I$33:$K$62,2,FALSE)^GammaPower+(VLOOKUP(S$2,'Gamma Prediction'!$I$33:$K$62,3,FALSE)*GammaFactor)^GammaPower)))</f>
        <v>0.50747324068900979</v>
      </c>
      <c r="T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Prediction'!$I$33:$K$62,3,FALSE)*GammaFactor)^GammaPower)+((VLOOKUP(T$2,'Gamma Prediction'!$I$33:$K$62,2,FALSE)^GammaPower+(VLOOKUP(T$2,'Gamma Prediction'!$I$33:$K$62,3,FALSE)*GammaFactor)^GammaPower)))</f>
        <v>0.49995468274946675</v>
      </c>
      <c r="U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Prediction'!$I$33:$K$62,3,FALSE)*GammaFactor)^GammaPower)+((VLOOKUP(U$2,'Gamma Prediction'!$I$33:$K$62,2,FALSE)^GammaPower+(VLOOKUP(U$2,'Gamma Prediction'!$I$33:$K$62,3,FALSE)*GammaFactor)^GammaPower)))</f>
        <v>0.4809008810096046</v>
      </c>
      <c r="V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Prediction'!$I$33:$K$62,3,FALSE)*GammaFactor)^GammaPower)+((VLOOKUP(V$2,'Gamma Prediction'!$I$33:$K$62,2,FALSE)^GammaPower+(VLOOKUP(V$2,'Gamma Prediction'!$I$33:$K$62,3,FALSE)*GammaFactor)^GammaPower)))</f>
        <v>0.61704210932992942</v>
      </c>
      <c r="W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Prediction'!$I$33:$K$62,3,FALSE)*GammaFactor)^GammaPower)+((VLOOKUP(W$2,'Gamma Prediction'!$I$33:$K$62,2,FALSE)^GammaPower+(VLOOKUP(W$2,'Gamma Prediction'!$I$33:$K$62,3,FALSE)*GammaFactor)^GammaPower)))</f>
        <v>0.6141428678470392</v>
      </c>
      <c r="X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Prediction'!$I$33:$K$62,3,FALSE)*GammaFactor)^GammaPower)+((VLOOKUP(X$2,'Gamma Prediction'!$I$33:$K$62,2,FALSE)^GammaPower+(VLOOKUP(X$2,'Gamma Prediction'!$I$33:$K$62,3,FALSE)*GammaFactor)^GammaPower)))</f>
        <v>0.5</v>
      </c>
      <c r="Y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Prediction'!$I$33:$K$62,3,FALSE)*GammaFactor)^GammaPower)+((VLOOKUP(Y$2,'Gamma Prediction'!$I$33:$K$62,2,FALSE)^GammaPower+(VLOOKUP(Y$2,'Gamma Prediction'!$I$33:$K$62,3,FALSE)*GammaFactor)^GammaPower)))</f>
        <v>0.58534035371539228</v>
      </c>
      <c r="Z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Prediction'!$I$33:$K$62,3,FALSE)*GammaFactor)^GammaPower)+((VLOOKUP(Z$2,'Gamma Prediction'!$I$33:$K$62,2,FALSE)^GammaPower+(VLOOKUP(Z$2,'Gamma Prediction'!$I$33:$K$62,3,FALSE)*GammaFactor)^GammaPower)))</f>
        <v>0.57175391914185436</v>
      </c>
      <c r="AA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Prediction'!$I$33:$K$62,3,FALSE)*GammaFactor)^GammaPower)+((VLOOKUP(AA$2,'Gamma Prediction'!$I$33:$K$62,2,FALSE)^GammaPower+(VLOOKUP(AA$2,'Gamma Prediction'!$I$33:$K$62,3,FALSE)*GammaFactor)^GammaPower)))</f>
        <v>0.59108212838237328</v>
      </c>
      <c r="AB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Prediction'!$I$33:$K$62,3,FALSE)*GammaFactor)^GammaPower)+((VLOOKUP(AB$2,'Gamma Prediction'!$I$33:$K$62,2,FALSE)^GammaPower+(VLOOKUP(AB$2,'Gamma Prediction'!$I$33:$K$62,3,FALSE)*GammaFactor)^GammaPower)))</f>
        <v>0.60122472783756875</v>
      </c>
      <c r="AC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Prediction'!$I$33:$K$62,3,FALSE)*GammaFactor)^GammaPower)+((VLOOKUP(AC$2,'Gamma Prediction'!$I$33:$K$62,2,FALSE)^GammaPower+(VLOOKUP(AC$2,'Gamma Prediction'!$I$33:$K$62,3,FALSE)*GammaFactor)^GammaPower)))</f>
        <v>0.73568418530947721</v>
      </c>
      <c r="AD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Prediction'!$I$33:$K$62,3,FALSE)*GammaFactor)^GammaPower)+((VLOOKUP(AD$2,'Gamma Prediction'!$I$33:$K$62,2,FALSE)^GammaPower+(VLOOKUP(AD$2,'Gamma Prediction'!$I$33:$K$62,3,FALSE)*GammaFactor)^GammaPower)))</f>
        <v>0.74475885921462515</v>
      </c>
      <c r="AE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Prediction'!$I$33:$K$62,3,FALSE)*GammaFactor)^GammaPower)+((VLOOKUP(AE$2,'Gamma Prediction'!$I$33:$K$62,2,FALSE)^GammaPower+(VLOOKUP(AE$2,'Gamma Prediction'!$I$33:$K$62,3,FALSE)*GammaFactor)^GammaPower)))</f>
        <v>0.76385358523590685</v>
      </c>
      <c r="AF24" s="55">
        <f>((VLOOKUP($B24,'Gamma Prediction'!$I$33:$K$62,2,FALSE)^GammaPower+(VLOOKUP($B24,'Gamma Prediction'!$I$33:$K$62,3,FALSE)*GammaFactor)^GammaPower))/((VLOOKUP($B24,'Gamma Prediction'!$I$33:$K$62,2,FALSE)^GammaPower+(VLOOKUP($B24,'Gamma Prediction'!$I$33:$K$62,3,FALSE)*GammaFactor)^GammaPower)+((VLOOKUP(AF$2,'Gamma Prediction'!$I$33:$K$62,2,FALSE)^GammaPower+(VLOOKUP(AF$2,'Gamma Prediction'!$I$33:$K$62,3,FALSE)*GammaFactor)^GammaPower)))</f>
        <v>0.87905016270017311</v>
      </c>
    </row>
    <row r="25" spans="2:32" x14ac:dyDescent="0.25">
      <c r="B25" t="s">
        <v>39</v>
      </c>
      <c r="C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Prediction'!$I$33:$K$62,3,FALSE)*GammaFactor)^GammaPower)+((VLOOKUP(C$2,'Gamma Prediction'!$I$33:$K$62,2,FALSE)^GammaPower+(VLOOKUP(C$2,'Gamma Prediction'!$I$33:$K$62,3,FALSE)*GammaFactor)^GammaPower)))</f>
        <v>0.44584106922639555</v>
      </c>
      <c r="D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Prediction'!$I$33:$K$62,3,FALSE)*GammaFactor)^GammaPower)+((VLOOKUP(D$2,'Gamma Prediction'!$I$33:$K$62,2,FALSE)^GammaPower+(VLOOKUP(D$2,'Gamma Prediction'!$I$33:$K$62,3,FALSE)*GammaFactor)^GammaPower)))</f>
        <v>0.42307367559094922</v>
      </c>
      <c r="E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Prediction'!$I$33:$K$62,3,FALSE)*GammaFactor)^GammaPower)+((VLOOKUP(E$2,'Gamma Prediction'!$I$33:$K$62,2,FALSE)^GammaPower+(VLOOKUP(E$2,'Gamma Prediction'!$I$33:$K$62,3,FALSE)*GammaFactor)^GammaPower)))</f>
        <v>0.4024373470310848</v>
      </c>
      <c r="F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Prediction'!$I$33:$K$62,3,FALSE)*GammaFactor)^GammaPower)+((VLOOKUP(F$2,'Gamma Prediction'!$I$33:$K$62,2,FALSE)^GammaPower+(VLOOKUP(F$2,'Gamma Prediction'!$I$33:$K$62,3,FALSE)*GammaFactor)^GammaPower)))</f>
        <v>0.48770143468472232</v>
      </c>
      <c r="G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Prediction'!$I$33:$K$62,3,FALSE)*GammaFactor)^GammaPower)+((VLOOKUP(G$2,'Gamma Prediction'!$I$33:$K$62,2,FALSE)^GammaPower+(VLOOKUP(G$2,'Gamma Prediction'!$I$33:$K$62,3,FALSE)*GammaFactor)^GammaPower)))</f>
        <v>0.50637249511839166</v>
      </c>
      <c r="H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Prediction'!$I$33:$K$62,3,FALSE)*GammaFactor)^GammaPower)+((VLOOKUP(H$2,'Gamma Prediction'!$I$33:$K$62,2,FALSE)^GammaPower+(VLOOKUP(H$2,'Gamma Prediction'!$I$33:$K$62,3,FALSE)*GammaFactor)^GammaPower)))</f>
        <v>0.51571400321622385</v>
      </c>
      <c r="I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Prediction'!$I$33:$K$62,3,FALSE)*GammaFactor)^GammaPower)+((VLOOKUP(I$2,'Gamma Prediction'!$I$33:$K$62,2,FALSE)^GammaPower+(VLOOKUP(I$2,'Gamma Prediction'!$I$33:$K$62,3,FALSE)*GammaFactor)^GammaPower)))</f>
        <v>0.52940694925641352</v>
      </c>
      <c r="J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Prediction'!$I$33:$K$62,3,FALSE)*GammaFactor)^GammaPower)+((VLOOKUP(J$2,'Gamma Prediction'!$I$33:$K$62,2,FALSE)^GammaPower+(VLOOKUP(J$2,'Gamma Prediction'!$I$33:$K$62,3,FALSE)*GammaFactor)^GammaPower)))</f>
        <v>0.48794950456920999</v>
      </c>
      <c r="K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Prediction'!$I$33:$K$62,3,FALSE)*GammaFactor)^GammaPower)+((VLOOKUP(K$2,'Gamma Prediction'!$I$33:$K$62,2,FALSE)^GammaPower+(VLOOKUP(K$2,'Gamma Prediction'!$I$33:$K$62,3,FALSE)*GammaFactor)^GammaPower)))</f>
        <v>0.53028947318868835</v>
      </c>
      <c r="L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Prediction'!$I$33:$K$62,3,FALSE)*GammaFactor)^GammaPower)+((VLOOKUP(L$2,'Gamma Prediction'!$I$33:$K$62,2,FALSE)^GammaPower+(VLOOKUP(L$2,'Gamma Prediction'!$I$33:$K$62,3,FALSE)*GammaFactor)^GammaPower)))</f>
        <v>0.5468374085116513</v>
      </c>
      <c r="M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Prediction'!$I$33:$K$62,3,FALSE)*GammaFactor)^GammaPower)+((VLOOKUP(M$2,'Gamma Prediction'!$I$33:$K$62,2,FALSE)^GammaPower+(VLOOKUP(M$2,'Gamma Prediction'!$I$33:$K$62,3,FALSE)*GammaFactor)^GammaPower)))</f>
        <v>0.50321859473454666</v>
      </c>
      <c r="N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Prediction'!$I$33:$K$62,3,FALSE)*GammaFactor)^GammaPower)+((VLOOKUP(N$2,'Gamma Prediction'!$I$33:$K$62,2,FALSE)^GammaPower+(VLOOKUP(N$2,'Gamma Prediction'!$I$33:$K$62,3,FALSE)*GammaFactor)^GammaPower)))</f>
        <v>0.75107511893517165</v>
      </c>
      <c r="O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Prediction'!$I$33:$K$62,3,FALSE)*GammaFactor)^GammaPower)+((VLOOKUP(O$2,'Gamma Prediction'!$I$33:$K$62,2,FALSE)^GammaPower+(VLOOKUP(O$2,'Gamma Prediction'!$I$33:$K$62,3,FALSE)*GammaFactor)^GammaPower)))</f>
        <v>0.75411943300500961</v>
      </c>
      <c r="P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Prediction'!$I$33:$K$62,3,FALSE)*GammaFactor)^GammaPower)+((VLOOKUP(P$2,'Gamma Prediction'!$I$33:$K$62,2,FALSE)^GammaPower+(VLOOKUP(P$2,'Gamma Prediction'!$I$33:$K$62,3,FALSE)*GammaFactor)^GammaPower)))</f>
        <v>0.65040523778406789</v>
      </c>
      <c r="Q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Prediction'!$I$33:$K$62,3,FALSE)*GammaFactor)^GammaPower)+((VLOOKUP(Q$2,'Gamma Prediction'!$I$33:$K$62,2,FALSE)^GammaPower+(VLOOKUP(Q$2,'Gamma Prediction'!$I$33:$K$62,3,FALSE)*GammaFactor)^GammaPower)))</f>
        <v>0.6112641621579995</v>
      </c>
      <c r="R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Prediction'!$I$33:$K$62,3,FALSE)*GammaFactor)^GammaPower)+((VLOOKUP(R$2,'Gamma Prediction'!$I$33:$K$62,2,FALSE)^GammaPower+(VLOOKUP(R$2,'Gamma Prediction'!$I$33:$K$62,3,FALSE)*GammaFactor)^GammaPower)))</f>
        <v>0.36389600566573332</v>
      </c>
      <c r="S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Prediction'!$I$33:$K$62,3,FALSE)*GammaFactor)^GammaPower)+((VLOOKUP(S$2,'Gamma Prediction'!$I$33:$K$62,2,FALSE)^GammaPower+(VLOOKUP(S$2,'Gamma Prediction'!$I$33:$K$62,3,FALSE)*GammaFactor)^GammaPower)))</f>
        <v>0.42193373399481532</v>
      </c>
      <c r="T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Prediction'!$I$33:$K$62,3,FALSE)*GammaFactor)^GammaPower)+((VLOOKUP(T$2,'Gamma Prediction'!$I$33:$K$62,2,FALSE)^GammaPower+(VLOOKUP(T$2,'Gamma Prediction'!$I$33:$K$62,3,FALSE)*GammaFactor)^GammaPower)))</f>
        <v>0.41461564989246641</v>
      </c>
      <c r="U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Prediction'!$I$33:$K$62,3,FALSE)*GammaFactor)^GammaPower)+((VLOOKUP(U$2,'Gamma Prediction'!$I$33:$K$62,2,FALSE)^GammaPower+(VLOOKUP(U$2,'Gamma Prediction'!$I$33:$K$62,3,FALSE)*GammaFactor)^GammaPower)))</f>
        <v>0.39623703096016244</v>
      </c>
      <c r="V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Prediction'!$I$33:$K$62,3,FALSE)*GammaFactor)^GammaPower)+((VLOOKUP(V$2,'Gamma Prediction'!$I$33:$K$62,2,FALSE)^GammaPower+(VLOOKUP(V$2,'Gamma Prediction'!$I$33:$K$62,3,FALSE)*GammaFactor)^GammaPower)))</f>
        <v>0.53302106814534922</v>
      </c>
      <c r="W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Prediction'!$I$33:$K$62,3,FALSE)*GammaFactor)^GammaPower)+((VLOOKUP(W$2,'Gamma Prediction'!$I$33:$K$62,2,FALSE)^GammaPower+(VLOOKUP(W$2,'Gamma Prediction'!$I$33:$K$62,3,FALSE)*GammaFactor)^GammaPower)))</f>
        <v>0.52997027505572281</v>
      </c>
      <c r="X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Prediction'!$I$33:$K$62,3,FALSE)*GammaFactor)^GammaPower)+((VLOOKUP(X$2,'Gamma Prediction'!$I$33:$K$62,2,FALSE)^GammaPower+(VLOOKUP(X$2,'Gamma Prediction'!$I$33:$K$62,3,FALSE)*GammaFactor)^GammaPower)))</f>
        <v>0.41465964628460772</v>
      </c>
      <c r="Y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Prediction'!$I$33:$K$62,3,FALSE)*GammaFactor)^GammaPower)+((VLOOKUP(Y$2,'Gamma Prediction'!$I$33:$K$62,2,FALSE)^GammaPower+(VLOOKUP(Y$2,'Gamma Prediction'!$I$33:$K$62,3,FALSE)*GammaFactor)^GammaPower)))</f>
        <v>0.5</v>
      </c>
      <c r="Z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Prediction'!$I$33:$K$62,3,FALSE)*GammaFactor)^GammaPower)+((VLOOKUP(Z$2,'Gamma Prediction'!$I$33:$K$62,2,FALSE)^GammaPower+(VLOOKUP(Z$2,'Gamma Prediction'!$I$33:$K$62,3,FALSE)*GammaFactor)^GammaPower)))</f>
        <v>0.48607242308793847</v>
      </c>
      <c r="AA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Prediction'!$I$33:$K$62,3,FALSE)*GammaFactor)^GammaPower)+((VLOOKUP(AA$2,'Gamma Prediction'!$I$33:$K$62,2,FALSE)^GammaPower+(VLOOKUP(AA$2,'Gamma Prediction'!$I$33:$K$62,3,FALSE)*GammaFactor)^GammaPower)))</f>
        <v>0.50592602622526239</v>
      </c>
      <c r="AB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Prediction'!$I$33:$K$62,3,FALSE)*GammaFactor)^GammaPower)+((VLOOKUP(AB$2,'Gamma Prediction'!$I$33:$K$62,2,FALSE)^GammaPower+(VLOOKUP(AB$2,'Gamma Prediction'!$I$33:$K$62,3,FALSE)*GammaFactor)^GammaPower)))</f>
        <v>0.51645289087236446</v>
      </c>
      <c r="AC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Prediction'!$I$33:$K$62,3,FALSE)*GammaFactor)^GammaPower)+((VLOOKUP(AC$2,'Gamma Prediction'!$I$33:$K$62,2,FALSE)^GammaPower+(VLOOKUP(AC$2,'Gamma Prediction'!$I$33:$K$62,3,FALSE)*GammaFactor)^GammaPower)))</f>
        <v>0.66349779968898148</v>
      </c>
      <c r="AD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Prediction'!$I$33:$K$62,3,FALSE)*GammaFactor)^GammaPower)+((VLOOKUP(AD$2,'Gamma Prediction'!$I$33:$K$62,2,FALSE)^GammaPower+(VLOOKUP(AD$2,'Gamma Prediction'!$I$33:$K$62,3,FALSE)*GammaFactor)^GammaPower)))</f>
        <v>0.67395244644496055</v>
      </c>
      <c r="AE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Prediction'!$I$33:$K$62,3,FALSE)*GammaFactor)^GammaPower)+((VLOOKUP(AE$2,'Gamma Prediction'!$I$33:$K$62,2,FALSE)^GammaPower+(VLOOKUP(AE$2,'Gamma Prediction'!$I$33:$K$62,3,FALSE)*GammaFactor)^GammaPower)))</f>
        <v>0.69618335511344775</v>
      </c>
      <c r="AF25" s="55">
        <f>((VLOOKUP($B25,'Gamma Prediction'!$I$33:$K$62,2,FALSE)^GammaPower+(VLOOKUP($B25,'Gamma Prediction'!$I$33:$K$62,3,FALSE)*GammaFactor)^GammaPower))/((VLOOKUP($B25,'Gamma Prediction'!$I$33:$K$62,2,FALSE)^GammaPower+(VLOOKUP($B25,'Gamma Prediction'!$I$33:$K$62,3,FALSE)*GammaFactor)^GammaPower)+((VLOOKUP(AF$2,'Gamma Prediction'!$I$33:$K$62,2,FALSE)^GammaPower+(VLOOKUP(AF$2,'Gamma Prediction'!$I$33:$K$62,3,FALSE)*GammaFactor)^GammaPower)))</f>
        <v>0.83736214235352446</v>
      </c>
    </row>
    <row r="26" spans="2:32" x14ac:dyDescent="0.25">
      <c r="B26" t="s">
        <v>40</v>
      </c>
      <c r="C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Prediction'!$I$33:$K$62,3,FALSE)*GammaFactor)^GammaPower)+((VLOOKUP(C$2,'Gamma Prediction'!$I$33:$K$62,2,FALSE)^GammaPower+(VLOOKUP(C$2,'Gamma Prediction'!$I$33:$K$62,3,FALSE)*GammaFactor)^GammaPower)))</f>
        <v>0.45964689231034739</v>
      </c>
      <c r="D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Prediction'!$I$33:$K$62,3,FALSE)*GammaFactor)^GammaPower)+((VLOOKUP(D$2,'Gamma Prediction'!$I$33:$K$62,2,FALSE)^GammaPower+(VLOOKUP(D$2,'Gamma Prediction'!$I$33:$K$62,3,FALSE)*GammaFactor)^GammaPower)))</f>
        <v>0.43673010371888166</v>
      </c>
      <c r="E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Prediction'!$I$33:$K$62,3,FALSE)*GammaFactor)^GammaPower)+((VLOOKUP(E$2,'Gamma Prediction'!$I$33:$K$62,2,FALSE)^GammaPower+(VLOOKUP(E$2,'Gamma Prediction'!$I$33:$K$62,3,FALSE)*GammaFactor)^GammaPower)))</f>
        <v>0.41590786253883566</v>
      </c>
      <c r="F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Prediction'!$I$33:$K$62,3,FALSE)*GammaFactor)^GammaPower)+((VLOOKUP(F$2,'Gamma Prediction'!$I$33:$K$62,2,FALSE)^GammaPower+(VLOOKUP(F$2,'Gamma Prediction'!$I$33:$K$62,3,FALSE)*GammaFactor)^GammaPower)))</f>
        <v>0.50163012849049748</v>
      </c>
      <c r="G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Prediction'!$I$33:$K$62,3,FALSE)*GammaFactor)^GammaPower)+((VLOOKUP(G$2,'Gamma Prediction'!$I$33:$K$62,2,FALSE)^GammaPower+(VLOOKUP(G$2,'Gamma Prediction'!$I$33:$K$62,3,FALSE)*GammaFactor)^GammaPower)))</f>
        <v>0.5202928677851173</v>
      </c>
      <c r="H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Prediction'!$I$33:$K$62,3,FALSE)*GammaFactor)^GammaPower)+((VLOOKUP(H$2,'Gamma Prediction'!$I$33:$K$62,2,FALSE)^GammaPower+(VLOOKUP(H$2,'Gamma Prediction'!$I$33:$K$62,3,FALSE)*GammaFactor)^GammaPower)))</f>
        <v>0.52961565363876439</v>
      </c>
      <c r="I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Prediction'!$I$33:$K$62,3,FALSE)*GammaFactor)^GammaPower)+((VLOOKUP(I$2,'Gamma Prediction'!$I$33:$K$62,2,FALSE)^GammaPower+(VLOOKUP(I$2,'Gamma Prediction'!$I$33:$K$62,3,FALSE)*GammaFactor)^GammaPower)))</f>
        <v>0.54326364862262289</v>
      </c>
      <c r="J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Prediction'!$I$33:$K$62,3,FALSE)*GammaFactor)^GammaPower)+((VLOOKUP(J$2,'Gamma Prediction'!$I$33:$K$62,2,FALSE)^GammaPower+(VLOOKUP(J$2,'Gamma Prediction'!$I$33:$K$62,3,FALSE)*GammaFactor)^GammaPower)))</f>
        <v>0.50187834248171714</v>
      </c>
      <c r="K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Prediction'!$I$33:$K$62,3,FALSE)*GammaFactor)^GammaPower)+((VLOOKUP(K$2,'Gamma Prediction'!$I$33:$K$62,2,FALSE)^GammaPower+(VLOOKUP(K$2,'Gamma Prediction'!$I$33:$K$62,3,FALSE)*GammaFactor)^GammaPower)))</f>
        <v>0.54414256235764069</v>
      </c>
      <c r="L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Prediction'!$I$33:$K$62,3,FALSE)*GammaFactor)^GammaPower)+((VLOOKUP(L$2,'Gamma Prediction'!$I$33:$K$62,2,FALSE)^GammaPower+(VLOOKUP(L$2,'Gamma Prediction'!$I$33:$K$62,3,FALSE)*GammaFactor)^GammaPower)))</f>
        <v>0.56060684238756964</v>
      </c>
      <c r="M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Prediction'!$I$33:$K$62,3,FALSE)*GammaFactor)^GammaPower)+((VLOOKUP(M$2,'Gamma Prediction'!$I$33:$K$62,2,FALSE)^GammaPower+(VLOOKUP(M$2,'Gamma Prediction'!$I$33:$K$62,3,FALSE)*GammaFactor)^GammaPower)))</f>
        <v>0.51714309773656153</v>
      </c>
      <c r="N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Prediction'!$I$33:$K$62,3,FALSE)*GammaFactor)^GammaPower)+((VLOOKUP(N$2,'Gamma Prediction'!$I$33:$K$62,2,FALSE)^GammaPower+(VLOOKUP(N$2,'Gamma Prediction'!$I$33:$K$62,3,FALSE)*GammaFactor)^GammaPower)))</f>
        <v>0.76134711042683545</v>
      </c>
      <c r="O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Prediction'!$I$33:$K$62,3,FALSE)*GammaFactor)^GammaPower)+((VLOOKUP(O$2,'Gamma Prediction'!$I$33:$K$62,2,FALSE)^GammaPower+(VLOOKUP(O$2,'Gamma Prediction'!$I$33:$K$62,3,FALSE)*GammaFactor)^GammaPower)))</f>
        <v>0.7643052219153863</v>
      </c>
      <c r="P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Prediction'!$I$33:$K$62,3,FALSE)*GammaFactor)^GammaPower)+((VLOOKUP(P$2,'Gamma Prediction'!$I$33:$K$62,2,FALSE)^GammaPower+(VLOOKUP(P$2,'Gamma Prediction'!$I$33:$K$62,3,FALSE)*GammaFactor)^GammaPower)))</f>
        <v>0.66296729186436676</v>
      </c>
      <c r="Q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Prediction'!$I$33:$K$62,3,FALSE)*GammaFactor)^GammaPower)+((VLOOKUP(Q$2,'Gamma Prediction'!$I$33:$K$62,2,FALSE)^GammaPower+(VLOOKUP(Q$2,'Gamma Prediction'!$I$33:$K$62,3,FALSE)*GammaFactor)^GammaPower)))</f>
        <v>0.62442051097992357</v>
      </c>
      <c r="R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Prediction'!$I$33:$K$62,3,FALSE)*GammaFactor)^GammaPower)+((VLOOKUP(R$2,'Gamma Prediction'!$I$33:$K$62,2,FALSE)^GammaPower+(VLOOKUP(R$2,'Gamma Prediction'!$I$33:$K$62,3,FALSE)*GammaFactor)^GammaPower)))</f>
        <v>0.37689011475061418</v>
      </c>
      <c r="S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Prediction'!$I$33:$K$62,3,FALSE)*GammaFactor)^GammaPower)+((VLOOKUP(S$2,'Gamma Prediction'!$I$33:$K$62,2,FALSE)^GammaPower+(VLOOKUP(S$2,'Gamma Prediction'!$I$33:$K$62,3,FALSE)*GammaFactor)^GammaPower)))</f>
        <v>0.43558114715120455</v>
      </c>
      <c r="T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Prediction'!$I$33:$K$62,3,FALSE)*GammaFactor)^GammaPower)+((VLOOKUP(T$2,'Gamma Prediction'!$I$33:$K$62,2,FALSE)^GammaPower+(VLOOKUP(T$2,'Gamma Prediction'!$I$33:$K$62,3,FALSE)*GammaFactor)^GammaPower)))</f>
        <v>0.42820169747099673</v>
      </c>
      <c r="U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Prediction'!$I$33:$K$62,3,FALSE)*GammaFactor)^GammaPower)+((VLOOKUP(U$2,'Gamma Prediction'!$I$33:$K$62,2,FALSE)^GammaPower+(VLOOKUP(U$2,'Gamma Prediction'!$I$33:$K$62,3,FALSE)*GammaFactor)^GammaPower)))</f>
        <v>0.40964227998849062</v>
      </c>
      <c r="V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Prediction'!$I$33:$K$62,3,FALSE)*GammaFactor)^GammaPower)+((VLOOKUP(V$2,'Gamma Prediction'!$I$33:$K$62,2,FALSE)^GammaPower+(VLOOKUP(V$2,'Gamma Prediction'!$I$33:$K$62,3,FALSE)*GammaFactor)^GammaPower)))</f>
        <v>0.54686243626988928</v>
      </c>
      <c r="W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Prediction'!$I$33:$K$62,3,FALSE)*GammaFactor)^GammaPower)+((VLOOKUP(W$2,'Gamma Prediction'!$I$33:$K$62,2,FALSE)^GammaPower+(VLOOKUP(W$2,'Gamma Prediction'!$I$33:$K$62,3,FALSE)*GammaFactor)^GammaPower)))</f>
        <v>0.54382467994875572</v>
      </c>
      <c r="X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Prediction'!$I$33:$K$62,3,FALSE)*GammaFactor)^GammaPower)+((VLOOKUP(X$2,'Gamma Prediction'!$I$33:$K$62,2,FALSE)^GammaPower+(VLOOKUP(X$2,'Gamma Prediction'!$I$33:$K$62,3,FALSE)*GammaFactor)^GammaPower)))</f>
        <v>0.42824608085814564</v>
      </c>
      <c r="Y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Prediction'!$I$33:$K$62,3,FALSE)*GammaFactor)^GammaPower)+((VLOOKUP(Y$2,'Gamma Prediction'!$I$33:$K$62,2,FALSE)^GammaPower+(VLOOKUP(Y$2,'Gamma Prediction'!$I$33:$K$62,3,FALSE)*GammaFactor)^GammaPower)))</f>
        <v>0.51392757691206159</v>
      </c>
      <c r="Z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Prediction'!$I$33:$K$62,3,FALSE)*GammaFactor)^GammaPower)+((VLOOKUP(Z$2,'Gamma Prediction'!$I$33:$K$62,2,FALSE)^GammaPower+(VLOOKUP(Z$2,'Gamma Prediction'!$I$33:$K$62,3,FALSE)*GammaFactor)^GammaPower)))</f>
        <v>0.5</v>
      </c>
      <c r="AA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Prediction'!$I$33:$K$62,3,FALSE)*GammaFactor)^GammaPower)+((VLOOKUP(AA$2,'Gamma Prediction'!$I$33:$K$62,2,FALSE)^GammaPower+(VLOOKUP(AA$2,'Gamma Prediction'!$I$33:$K$62,3,FALSE)*GammaFactor)^GammaPower)))</f>
        <v>0.51984705081719818</v>
      </c>
      <c r="AB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Prediction'!$I$33:$K$62,3,FALSE)*GammaFactor)^GammaPower)+((VLOOKUP(AB$2,'Gamma Prediction'!$I$33:$K$62,2,FALSE)^GammaPower+(VLOOKUP(AB$2,'Gamma Prediction'!$I$33:$K$62,3,FALSE)*GammaFactor)^GammaPower)))</f>
        <v>0.53035264668165882</v>
      </c>
      <c r="AC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Prediction'!$I$33:$K$62,3,FALSE)*GammaFactor)^GammaPower)+((VLOOKUP(AC$2,'Gamma Prediction'!$I$33:$K$62,2,FALSE)^GammaPower+(VLOOKUP(AC$2,'Gamma Prediction'!$I$33:$K$62,3,FALSE)*GammaFactor)^GammaPower)))</f>
        <v>0.67582388253044956</v>
      </c>
      <c r="AD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Prediction'!$I$33:$K$62,3,FALSE)*GammaFactor)^GammaPower)+((VLOOKUP(AD$2,'Gamma Prediction'!$I$33:$K$62,2,FALSE)^GammaPower+(VLOOKUP(AD$2,'Gamma Prediction'!$I$33:$K$62,3,FALSE)*GammaFactor)^GammaPower)))</f>
        <v>0.68607676380207516</v>
      </c>
      <c r="AE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Prediction'!$I$33:$K$62,3,FALSE)*GammaFactor)^GammaPower)+((VLOOKUP(AE$2,'Gamma Prediction'!$I$33:$K$62,2,FALSE)^GammaPower+(VLOOKUP(AE$2,'Gamma Prediction'!$I$33:$K$62,3,FALSE)*GammaFactor)^GammaPower)))</f>
        <v>0.70783936517903701</v>
      </c>
      <c r="AF26" s="55">
        <f>((VLOOKUP($B26,'Gamma Prediction'!$I$33:$K$62,2,FALSE)^GammaPower+(VLOOKUP($B26,'Gamma Prediction'!$I$33:$K$62,3,FALSE)*GammaFactor)^GammaPower))/((VLOOKUP($B26,'Gamma Prediction'!$I$33:$K$62,2,FALSE)^GammaPower+(VLOOKUP($B26,'Gamma Prediction'!$I$33:$K$62,3,FALSE)*GammaFactor)^GammaPower)+((VLOOKUP(AF$2,'Gamma Prediction'!$I$33:$K$62,2,FALSE)^GammaPower+(VLOOKUP(AF$2,'Gamma Prediction'!$I$33:$K$62,3,FALSE)*GammaFactor)^GammaPower)))</f>
        <v>0.84480918620958201</v>
      </c>
    </row>
    <row r="27" spans="2:32" x14ac:dyDescent="0.25">
      <c r="B27" t="s">
        <v>41</v>
      </c>
      <c r="C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Prediction'!$I$33:$K$62,3,FALSE)*GammaFactor)^GammaPower)+((VLOOKUP(C$2,'Gamma Prediction'!$I$33:$K$62,2,FALSE)^GammaPower+(VLOOKUP(C$2,'Gamma Prediction'!$I$33:$K$62,3,FALSE)*GammaFactor)^GammaPower)))</f>
        <v>0.4399920805066746</v>
      </c>
      <c r="D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Prediction'!$I$33:$K$62,3,FALSE)*GammaFactor)^GammaPower)+((VLOOKUP(D$2,'Gamma Prediction'!$I$33:$K$62,2,FALSE)^GammaPower+(VLOOKUP(D$2,'Gamma Prediction'!$I$33:$K$62,3,FALSE)*GammaFactor)^GammaPower)))</f>
        <v>0.41729845312752861</v>
      </c>
      <c r="E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Prediction'!$I$33:$K$62,3,FALSE)*GammaFactor)^GammaPower)+((VLOOKUP(E$2,'Gamma Prediction'!$I$33:$K$62,2,FALSE)^GammaPower+(VLOOKUP(E$2,'Gamma Prediction'!$I$33:$K$62,3,FALSE)*GammaFactor)^GammaPower)))</f>
        <v>0.39675010017511525</v>
      </c>
      <c r="F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Prediction'!$I$33:$K$62,3,FALSE)*GammaFactor)^GammaPower)+((VLOOKUP(F$2,'Gamma Prediction'!$I$33:$K$62,2,FALSE)^GammaPower+(VLOOKUP(F$2,'Gamma Prediction'!$I$33:$K$62,3,FALSE)*GammaFactor)^GammaPower)))</f>
        <v>0.4817807198621098</v>
      </c>
      <c r="G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Prediction'!$I$33:$K$62,3,FALSE)*GammaFactor)^GammaPower)+((VLOOKUP(G$2,'Gamma Prediction'!$I$33:$K$62,2,FALSE)^GammaPower+(VLOOKUP(G$2,'Gamma Prediction'!$I$33:$K$62,3,FALSE)*GammaFactor)^GammaPower)))</f>
        <v>0.50044653634436098</v>
      </c>
      <c r="H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Prediction'!$I$33:$K$62,3,FALSE)*GammaFactor)^GammaPower)+((VLOOKUP(H$2,'Gamma Prediction'!$I$33:$K$62,2,FALSE)^GammaPower+(VLOOKUP(H$2,'Gamma Prediction'!$I$33:$K$62,3,FALSE)*GammaFactor)^GammaPower)))</f>
        <v>0.50979162423763447</v>
      </c>
      <c r="I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Prediction'!$I$33:$K$62,3,FALSE)*GammaFactor)^GammaPower)+((VLOOKUP(I$2,'Gamma Prediction'!$I$33:$K$62,2,FALSE)^GammaPower+(VLOOKUP(I$2,'Gamma Prediction'!$I$33:$K$62,3,FALSE)*GammaFactor)^GammaPower)))</f>
        <v>0.52349730218773438</v>
      </c>
      <c r="J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Prediction'!$I$33:$K$62,3,FALSE)*GammaFactor)^GammaPower)+((VLOOKUP(J$2,'Gamma Prediction'!$I$33:$K$62,2,FALSE)^GammaPower+(VLOOKUP(J$2,'Gamma Prediction'!$I$33:$K$62,3,FALSE)*GammaFactor)^GammaPower)))</f>
        <v>0.48202861180283507</v>
      </c>
      <c r="K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Prediction'!$I$33:$K$62,3,FALSE)*GammaFactor)^GammaPower)+((VLOOKUP(K$2,'Gamma Prediction'!$I$33:$K$62,2,FALSE)^GammaPower+(VLOOKUP(K$2,'Gamma Prediction'!$I$33:$K$62,3,FALSE)*GammaFactor)^GammaPower)))</f>
        <v>0.52438095211767166</v>
      </c>
      <c r="L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Prediction'!$I$33:$K$62,3,FALSE)*GammaFactor)^GammaPower)+((VLOOKUP(L$2,'Gamma Prediction'!$I$33:$K$62,2,FALSE)^GammaPower+(VLOOKUP(L$2,'Gamma Prediction'!$I$33:$K$62,3,FALSE)*GammaFactor)^GammaPower)))</f>
        <v>0.5409568541768508</v>
      </c>
      <c r="M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Prediction'!$I$33:$K$62,3,FALSE)*GammaFactor)^GammaPower)+((VLOOKUP(M$2,'Gamma Prediction'!$I$33:$K$62,2,FALSE)^GammaPower+(VLOOKUP(M$2,'Gamma Prediction'!$I$33:$K$62,3,FALSE)*GammaFactor)^GammaPower)))</f>
        <v>0.49729236193299686</v>
      </c>
      <c r="N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Prediction'!$I$33:$K$62,3,FALSE)*GammaFactor)^GammaPower)+((VLOOKUP(N$2,'Gamma Prediction'!$I$33:$K$62,2,FALSE)^GammaPower+(VLOOKUP(N$2,'Gamma Prediction'!$I$33:$K$62,3,FALSE)*GammaFactor)^GammaPower)))</f>
        <v>0.74661683550868962</v>
      </c>
      <c r="O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Prediction'!$I$33:$K$62,3,FALSE)*GammaFactor)^GammaPower)+((VLOOKUP(O$2,'Gamma Prediction'!$I$33:$K$62,2,FALSE)^GammaPower+(VLOOKUP(O$2,'Gamma Prediction'!$I$33:$K$62,3,FALSE)*GammaFactor)^GammaPower)))</f>
        <v>0.74969750306123017</v>
      </c>
      <c r="P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Prediction'!$I$33:$K$62,3,FALSE)*GammaFactor)^GammaPower)+((VLOOKUP(P$2,'Gamma Prediction'!$I$33:$K$62,2,FALSE)^GammaPower+(VLOOKUP(P$2,'Gamma Prediction'!$I$33:$K$62,3,FALSE)*GammaFactor)^GammaPower)))</f>
        <v>0.64499615497287666</v>
      </c>
      <c r="Q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Prediction'!$I$33:$K$62,3,FALSE)*GammaFactor)^GammaPower)+((VLOOKUP(Q$2,'Gamma Prediction'!$I$33:$K$62,2,FALSE)^GammaPower+(VLOOKUP(Q$2,'Gamma Prediction'!$I$33:$K$62,3,FALSE)*GammaFactor)^GammaPower)))</f>
        <v>0.60561669122890671</v>
      </c>
      <c r="R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Prediction'!$I$33:$K$62,3,FALSE)*GammaFactor)^GammaPower)+((VLOOKUP(R$2,'Gamma Prediction'!$I$33:$K$62,2,FALSE)^GammaPower+(VLOOKUP(R$2,'Gamma Prediction'!$I$33:$K$62,3,FALSE)*GammaFactor)^GammaPower)))</f>
        <v>0.35842672644265317</v>
      </c>
      <c r="S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Prediction'!$I$33:$K$62,3,FALSE)*GammaFactor)^GammaPower)+((VLOOKUP(S$2,'Gamma Prediction'!$I$33:$K$62,2,FALSE)^GammaPower+(VLOOKUP(S$2,'Gamma Prediction'!$I$33:$K$62,3,FALSE)*GammaFactor)^GammaPower)))</f>
        <v>0.416162847661951</v>
      </c>
      <c r="T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Prediction'!$I$33:$K$62,3,FALSE)*GammaFactor)^GammaPower)+((VLOOKUP(T$2,'Gamma Prediction'!$I$33:$K$62,2,FALSE)^GammaPower+(VLOOKUP(T$2,'Gamma Prediction'!$I$33:$K$62,3,FALSE)*GammaFactor)^GammaPower)))</f>
        <v>0.40887405888978107</v>
      </c>
      <c r="U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Prediction'!$I$33:$K$62,3,FALSE)*GammaFactor)^GammaPower)+((VLOOKUP(U$2,'Gamma Prediction'!$I$33:$K$62,2,FALSE)^GammaPower+(VLOOKUP(U$2,'Gamma Prediction'!$I$33:$K$62,3,FALSE)*GammaFactor)^GammaPower)))</f>
        <v>0.39058013474399295</v>
      </c>
      <c r="V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Prediction'!$I$33:$K$62,3,FALSE)*GammaFactor)^GammaPower)+((VLOOKUP(V$2,'Gamma Prediction'!$I$33:$K$62,2,FALSE)^GammaPower+(VLOOKUP(V$2,'Gamma Prediction'!$I$33:$K$62,3,FALSE)*GammaFactor)^GammaPower)))</f>
        <v>0.52711626676744738</v>
      </c>
      <c r="W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Prediction'!$I$33:$K$62,3,FALSE)*GammaFactor)^GammaPower)+((VLOOKUP(W$2,'Gamma Prediction'!$I$33:$K$62,2,FALSE)^GammaPower+(VLOOKUP(W$2,'Gamma Prediction'!$I$33:$K$62,3,FALSE)*GammaFactor)^GammaPower)))</f>
        <v>0.52406134245432956</v>
      </c>
      <c r="X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Prediction'!$I$33:$K$62,3,FALSE)*GammaFactor)^GammaPower)+((VLOOKUP(X$2,'Gamma Prediction'!$I$33:$K$62,2,FALSE)^GammaPower+(VLOOKUP(X$2,'Gamma Prediction'!$I$33:$K$62,3,FALSE)*GammaFactor)^GammaPower)))</f>
        <v>0.40891787161762672</v>
      </c>
      <c r="Y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Prediction'!$I$33:$K$62,3,FALSE)*GammaFactor)^GammaPower)+((VLOOKUP(Y$2,'Gamma Prediction'!$I$33:$K$62,2,FALSE)^GammaPower+(VLOOKUP(Y$2,'Gamma Prediction'!$I$33:$K$62,3,FALSE)*GammaFactor)^GammaPower)))</f>
        <v>0.49407397377473761</v>
      </c>
      <c r="Z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Prediction'!$I$33:$K$62,3,FALSE)*GammaFactor)^GammaPower)+((VLOOKUP(Z$2,'Gamma Prediction'!$I$33:$K$62,2,FALSE)^GammaPower+(VLOOKUP(Z$2,'Gamma Prediction'!$I$33:$K$62,3,FALSE)*GammaFactor)^GammaPower)))</f>
        <v>0.48015294918280188</v>
      </c>
      <c r="AA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Prediction'!$I$33:$K$62,3,FALSE)*GammaFactor)^GammaPower)+((VLOOKUP(AA$2,'Gamma Prediction'!$I$33:$K$62,2,FALSE)^GammaPower+(VLOOKUP(AA$2,'Gamma Prediction'!$I$33:$K$62,3,FALSE)*GammaFactor)^GammaPower)))</f>
        <v>0.5</v>
      </c>
      <c r="AB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Prediction'!$I$33:$K$62,3,FALSE)*GammaFactor)^GammaPower)+((VLOOKUP(AB$2,'Gamma Prediction'!$I$33:$K$62,2,FALSE)^GammaPower+(VLOOKUP(AB$2,'Gamma Prediction'!$I$33:$K$62,3,FALSE)*GammaFactor)^GammaPower)))</f>
        <v>0.51053097173714923</v>
      </c>
      <c r="AC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Prediction'!$I$33:$K$62,3,FALSE)*GammaFactor)^GammaPower)+((VLOOKUP(AC$2,'Gamma Prediction'!$I$33:$K$62,2,FALSE)^GammaPower+(VLOOKUP(AC$2,'Gamma Prediction'!$I$33:$K$62,3,FALSE)*GammaFactor)^GammaPower)))</f>
        <v>0.65818482968511327</v>
      </c>
      <c r="AD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Prediction'!$I$33:$K$62,3,FALSE)*GammaFactor)^GammaPower)+((VLOOKUP(AD$2,'Gamma Prediction'!$I$33:$K$62,2,FALSE)^GammaPower+(VLOOKUP(AD$2,'Gamma Prediction'!$I$33:$K$62,3,FALSE)*GammaFactor)^GammaPower)))</f>
        <v>0.66872212685063281</v>
      </c>
      <c r="AE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Prediction'!$I$33:$K$62,3,FALSE)*GammaFactor)^GammaPower)+((VLOOKUP(AE$2,'Gamma Prediction'!$I$33:$K$62,2,FALSE)^GammaPower+(VLOOKUP(AE$2,'Gamma Prediction'!$I$33:$K$62,3,FALSE)*GammaFactor)^GammaPower)))</f>
        <v>0.69114622589833774</v>
      </c>
      <c r="AF27" s="55">
        <f>((VLOOKUP($B27,'Gamma Prediction'!$I$33:$K$62,2,FALSE)^GammaPower+(VLOOKUP($B27,'Gamma Prediction'!$I$33:$K$62,3,FALSE)*GammaFactor)^GammaPower))/((VLOOKUP($B27,'Gamma Prediction'!$I$33:$K$62,2,FALSE)^GammaPower+(VLOOKUP($B27,'Gamma Prediction'!$I$33:$K$62,3,FALSE)*GammaFactor)^GammaPower)+((VLOOKUP(AF$2,'Gamma Prediction'!$I$33:$K$62,2,FALSE)^GammaPower+(VLOOKUP(AF$2,'Gamma Prediction'!$I$33:$K$62,3,FALSE)*GammaFactor)^GammaPower)))</f>
        <v>0.83410793303687392</v>
      </c>
    </row>
    <row r="28" spans="2:32" x14ac:dyDescent="0.25">
      <c r="B28" t="s">
        <v>44</v>
      </c>
      <c r="C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Prediction'!$I$33:$K$62,3,FALSE)*GammaFactor)^GammaPower)+((VLOOKUP(C$2,'Gamma Prediction'!$I$33:$K$62,2,FALSE)^GammaPower+(VLOOKUP(C$2,'Gamma Prediction'!$I$33:$K$62,3,FALSE)*GammaFactor)^GammaPower)))</f>
        <v>0.42963896505884225</v>
      </c>
      <c r="D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Prediction'!$I$33:$K$62,3,FALSE)*GammaFactor)^GammaPower)+((VLOOKUP(D$2,'Gamma Prediction'!$I$33:$K$62,2,FALSE)^GammaPower+(VLOOKUP(D$2,'Gamma Prediction'!$I$33:$K$62,3,FALSE)*GammaFactor)^GammaPower)))</f>
        <v>0.40709114894066412</v>
      </c>
      <c r="E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Prediction'!$I$33:$K$62,3,FALSE)*GammaFactor)^GammaPower)+((VLOOKUP(E$2,'Gamma Prediction'!$I$33:$K$62,2,FALSE)^GammaPower+(VLOOKUP(E$2,'Gamma Prediction'!$I$33:$K$62,3,FALSE)*GammaFactor)^GammaPower)))</f>
        <v>0.38671185112332784</v>
      </c>
      <c r="F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Prediction'!$I$33:$K$62,3,FALSE)*GammaFactor)^GammaPower)+((VLOOKUP(F$2,'Gamma Prediction'!$I$33:$K$62,2,FALSE)^GammaPower+(VLOOKUP(F$2,'Gamma Prediction'!$I$33:$K$62,3,FALSE)*GammaFactor)^GammaPower)))</f>
        <v>0.47127179607048136</v>
      </c>
      <c r="G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Prediction'!$I$33:$K$62,3,FALSE)*GammaFactor)^GammaPower)+((VLOOKUP(G$2,'Gamma Prediction'!$I$33:$K$62,2,FALSE)^GammaPower+(VLOOKUP(G$2,'Gamma Prediction'!$I$33:$K$62,3,FALSE)*GammaFactor)^GammaPower)))</f>
        <v>0.48991537491696197</v>
      </c>
      <c r="H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Prediction'!$I$33:$K$62,3,FALSE)*GammaFactor)^GammaPower)+((VLOOKUP(H$2,'Gamma Prediction'!$I$33:$K$62,2,FALSE)^GammaPower+(VLOOKUP(H$2,'Gamma Prediction'!$I$33:$K$62,3,FALSE)*GammaFactor)^GammaPower)))</f>
        <v>0.4992603474224418</v>
      </c>
      <c r="I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Prediction'!$I$33:$K$62,3,FALSE)*GammaFactor)^GammaPower)+((VLOOKUP(I$2,'Gamma Prediction'!$I$33:$K$62,2,FALSE)^GammaPower+(VLOOKUP(I$2,'Gamma Prediction'!$I$33:$K$62,3,FALSE)*GammaFactor)^GammaPower)))</f>
        <v>0.51297917721034814</v>
      </c>
      <c r="J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Prediction'!$I$33:$K$62,3,FALSE)*GammaFactor)^GammaPower)+((VLOOKUP(J$2,'Gamma Prediction'!$I$33:$K$62,2,FALSE)^GammaPower+(VLOOKUP(J$2,'Gamma Prediction'!$I$33:$K$62,3,FALSE)*GammaFactor)^GammaPower)))</f>
        <v>0.47151920073490938</v>
      </c>
      <c r="K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Prediction'!$I$33:$K$62,3,FALSE)*GammaFactor)^GammaPower)+((VLOOKUP(K$2,'Gamma Prediction'!$I$33:$K$62,2,FALSE)^GammaPower+(VLOOKUP(K$2,'Gamma Prediction'!$I$33:$K$62,3,FALSE)*GammaFactor)^GammaPower)))</f>
        <v>0.51386421921746894</v>
      </c>
      <c r="L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Prediction'!$I$33:$K$62,3,FALSE)*GammaFactor)^GammaPower)+((VLOOKUP(L$2,'Gamma Prediction'!$I$33:$K$62,2,FALSE)^GammaPower+(VLOOKUP(L$2,'Gamma Prediction'!$I$33:$K$62,3,FALSE)*GammaFactor)^GammaPower)))</f>
        <v>0.5304784657753252</v>
      </c>
      <c r="M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Prediction'!$I$33:$K$62,3,FALSE)*GammaFactor)^GammaPower)+((VLOOKUP(M$2,'Gamma Prediction'!$I$33:$K$62,2,FALSE)^GammaPower+(VLOOKUP(M$2,'Gamma Prediction'!$I$33:$K$62,3,FALSE)*GammaFactor)^GammaPower)))</f>
        <v>0.48676289996970334</v>
      </c>
      <c r="N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Prediction'!$I$33:$K$62,3,FALSE)*GammaFactor)^GammaPower)+((VLOOKUP(N$2,'Gamma Prediction'!$I$33:$K$62,2,FALSE)^GammaPower+(VLOOKUP(N$2,'Gamma Prediction'!$I$33:$K$62,3,FALSE)*GammaFactor)^GammaPower)))</f>
        <v>0.73856417812148234</v>
      </c>
      <c r="O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Prediction'!$I$33:$K$62,3,FALSE)*GammaFactor)^GammaPower)+((VLOOKUP(O$2,'Gamma Prediction'!$I$33:$K$62,2,FALSE)^GammaPower+(VLOOKUP(O$2,'Gamma Prediction'!$I$33:$K$62,3,FALSE)*GammaFactor)^GammaPower)))</f>
        <v>0.74170888077777386</v>
      </c>
      <c r="P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Prediction'!$I$33:$K$62,3,FALSE)*GammaFactor)^GammaPower)+((VLOOKUP(P$2,'Gamma Prediction'!$I$33:$K$62,2,FALSE)^GammaPower+(VLOOKUP(P$2,'Gamma Prediction'!$I$33:$K$62,3,FALSE)*GammaFactor)^GammaPower)))</f>
        <v>0.63529151698505471</v>
      </c>
      <c r="Q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Prediction'!$I$33:$K$62,3,FALSE)*GammaFactor)^GammaPower)+((VLOOKUP(Q$2,'Gamma Prediction'!$I$33:$K$62,2,FALSE)^GammaPower+(VLOOKUP(Q$2,'Gamma Prediction'!$I$33:$K$62,3,FALSE)*GammaFactor)^GammaPower)))</f>
        <v>0.59551064497218065</v>
      </c>
      <c r="R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Prediction'!$I$33:$K$62,3,FALSE)*GammaFactor)^GammaPower)+((VLOOKUP(R$2,'Gamma Prediction'!$I$33:$K$62,2,FALSE)^GammaPower+(VLOOKUP(R$2,'Gamma Prediction'!$I$33:$K$62,3,FALSE)*GammaFactor)^GammaPower)))</f>
        <v>0.34879746862706662</v>
      </c>
      <c r="S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Prediction'!$I$33:$K$62,3,FALSE)*GammaFactor)^GammaPower)+((VLOOKUP(S$2,'Gamma Prediction'!$I$33:$K$62,2,FALSE)^GammaPower+(VLOOKUP(S$2,'Gamma Prediction'!$I$33:$K$62,3,FALSE)*GammaFactor)^GammaPower)))</f>
        <v>0.40596396856385703</v>
      </c>
      <c r="T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Prediction'!$I$33:$K$62,3,FALSE)*GammaFactor)^GammaPower)+((VLOOKUP(T$2,'Gamma Prediction'!$I$33:$K$62,2,FALSE)^GammaPower+(VLOOKUP(T$2,'Gamma Prediction'!$I$33:$K$62,3,FALSE)*GammaFactor)^GammaPower)))</f>
        <v>0.39873181307228056</v>
      </c>
      <c r="U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Prediction'!$I$33:$K$62,3,FALSE)*GammaFactor)^GammaPower)+((VLOOKUP(U$2,'Gamma Prediction'!$I$33:$K$62,2,FALSE)^GammaPower+(VLOOKUP(U$2,'Gamma Prediction'!$I$33:$K$62,3,FALSE)*GammaFactor)^GammaPower)))</f>
        <v>0.38059950258955949</v>
      </c>
      <c r="V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Prediction'!$I$33:$K$62,3,FALSE)*GammaFactor)^GammaPower)+((VLOOKUP(V$2,'Gamma Prediction'!$I$33:$K$62,2,FALSE)^GammaPower+(VLOOKUP(V$2,'Gamma Prediction'!$I$33:$K$62,3,FALSE)*GammaFactor)^GammaPower)))</f>
        <v>0.51660426112396107</v>
      </c>
      <c r="W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Prediction'!$I$33:$K$62,3,FALSE)*GammaFactor)^GammaPower)+((VLOOKUP(W$2,'Gamma Prediction'!$I$33:$K$62,2,FALSE)^GammaPower+(VLOOKUP(W$2,'Gamma Prediction'!$I$33:$K$62,3,FALSE)*GammaFactor)^GammaPower)))</f>
        <v>0.51354409843660787</v>
      </c>
      <c r="X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Prediction'!$I$33:$K$62,3,FALSE)*GammaFactor)^GammaPower)+((VLOOKUP(X$2,'Gamma Prediction'!$I$33:$K$62,2,FALSE)^GammaPower+(VLOOKUP(X$2,'Gamma Prediction'!$I$33:$K$62,3,FALSE)*GammaFactor)^GammaPower)))</f>
        <v>0.39877527216243125</v>
      </c>
      <c r="Y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Prediction'!$I$33:$K$62,3,FALSE)*GammaFactor)^GammaPower)+((VLOOKUP(Y$2,'Gamma Prediction'!$I$33:$K$62,2,FALSE)^GammaPower+(VLOOKUP(Y$2,'Gamma Prediction'!$I$33:$K$62,3,FALSE)*GammaFactor)^GammaPower)))</f>
        <v>0.48354710912763565</v>
      </c>
      <c r="Z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Prediction'!$I$33:$K$62,3,FALSE)*GammaFactor)^GammaPower)+((VLOOKUP(Z$2,'Gamma Prediction'!$I$33:$K$62,2,FALSE)^GammaPower+(VLOOKUP(Z$2,'Gamma Prediction'!$I$33:$K$62,3,FALSE)*GammaFactor)^GammaPower)))</f>
        <v>0.46964735331834123</v>
      </c>
      <c r="AA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Prediction'!$I$33:$K$62,3,FALSE)*GammaFactor)^GammaPower)+((VLOOKUP(AA$2,'Gamma Prediction'!$I$33:$K$62,2,FALSE)^GammaPower+(VLOOKUP(AA$2,'Gamma Prediction'!$I$33:$K$62,3,FALSE)*GammaFactor)^GammaPower)))</f>
        <v>0.48946902826285066</v>
      </c>
      <c r="AB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Prediction'!$I$33:$K$62,3,FALSE)*GammaFactor)^GammaPower)+((VLOOKUP(AB$2,'Gamma Prediction'!$I$33:$K$62,2,FALSE)^GammaPower+(VLOOKUP(AB$2,'Gamma Prediction'!$I$33:$K$62,3,FALSE)*GammaFactor)^GammaPower)))</f>
        <v>0.5</v>
      </c>
      <c r="AC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Prediction'!$I$33:$K$62,3,FALSE)*GammaFactor)^GammaPower)+((VLOOKUP(AC$2,'Gamma Prediction'!$I$33:$K$62,2,FALSE)^GammaPower+(VLOOKUP(AC$2,'Gamma Prediction'!$I$33:$K$62,3,FALSE)*GammaFactor)^GammaPower)))</f>
        <v>0.64864432860396548</v>
      </c>
      <c r="AD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Prediction'!$I$33:$K$62,3,FALSE)*GammaFactor)^GammaPower)+((VLOOKUP(AD$2,'Gamma Prediction'!$I$33:$K$62,2,FALSE)^GammaPower+(VLOOKUP(AD$2,'Gamma Prediction'!$I$33:$K$62,3,FALSE)*GammaFactor)^GammaPower)))</f>
        <v>0.65932350418849051</v>
      </c>
      <c r="AE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Prediction'!$I$33:$K$62,3,FALSE)*GammaFactor)^GammaPower)+((VLOOKUP(AE$2,'Gamma Prediction'!$I$33:$K$62,2,FALSE)^GammaPower+(VLOOKUP(AE$2,'Gamma Prediction'!$I$33:$K$62,3,FALSE)*GammaFactor)^GammaPower)))</f>
        <v>0.68208134070798276</v>
      </c>
      <c r="AF28" s="55">
        <f>((VLOOKUP($B28,'Gamma Prediction'!$I$33:$K$62,2,FALSE)^GammaPower+(VLOOKUP($B28,'Gamma Prediction'!$I$33:$K$62,3,FALSE)*GammaFactor)^GammaPower))/((VLOOKUP($B28,'Gamma Prediction'!$I$33:$K$62,2,FALSE)^GammaPower+(VLOOKUP($B28,'Gamma Prediction'!$I$33:$K$62,3,FALSE)*GammaFactor)^GammaPower)+((VLOOKUP(AF$2,'Gamma Prediction'!$I$33:$K$62,2,FALSE)^GammaPower+(VLOOKUP(AF$2,'Gamma Prediction'!$I$33:$K$62,3,FALSE)*GammaFactor)^GammaPower)))</f>
        <v>0.82819596665403583</v>
      </c>
    </row>
    <row r="29" spans="2:32" x14ac:dyDescent="0.25">
      <c r="B29" t="s">
        <v>43</v>
      </c>
      <c r="C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Prediction'!$I$33:$K$62,3,FALSE)*GammaFactor)^GammaPower)+((VLOOKUP(C$2,'Gamma Prediction'!$I$33:$K$62,2,FALSE)^GammaPower+(VLOOKUP(C$2,'Gamma Prediction'!$I$33:$K$62,3,FALSE)*GammaFactor)^GammaPower)))</f>
        <v>0.28978883629525831</v>
      </c>
      <c r="D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Prediction'!$I$33:$K$62,3,FALSE)*GammaFactor)^GammaPower)+((VLOOKUP(D$2,'Gamma Prediction'!$I$33:$K$62,2,FALSE)^GammaPower+(VLOOKUP(D$2,'Gamma Prediction'!$I$33:$K$62,3,FALSE)*GammaFactor)^GammaPower)))</f>
        <v>0.27109203838752671</v>
      </c>
      <c r="E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Prediction'!$I$33:$K$62,3,FALSE)*GammaFactor)^GammaPower)+((VLOOKUP(E$2,'Gamma Prediction'!$I$33:$K$62,2,FALSE)^GammaPower+(VLOOKUP(E$2,'Gamma Prediction'!$I$33:$K$62,3,FALSE)*GammaFactor)^GammaPower)))</f>
        <v>0.25459748346674083</v>
      </c>
      <c r="F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Prediction'!$I$33:$K$62,3,FALSE)*GammaFactor)^GammaPower)+((VLOOKUP(F$2,'Gamma Prediction'!$I$33:$K$62,2,FALSE)^GammaPower+(VLOOKUP(F$2,'Gamma Prediction'!$I$33:$K$62,3,FALSE)*GammaFactor)^GammaPower)))</f>
        <v>0.32560631020755421</v>
      </c>
      <c r="G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Prediction'!$I$33:$K$62,3,FALSE)*GammaFactor)^GammaPower)+((VLOOKUP(G$2,'Gamma Prediction'!$I$33:$K$62,2,FALSE)^GammaPower+(VLOOKUP(G$2,'Gamma Prediction'!$I$33:$K$62,3,FALSE)*GammaFactor)^GammaPower)))</f>
        <v>0.34221712651224462</v>
      </c>
      <c r="H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Prediction'!$I$33:$K$62,3,FALSE)*GammaFactor)^GammaPower)+((VLOOKUP(H$2,'Gamma Prediction'!$I$33:$K$62,2,FALSE)^GammaPower+(VLOOKUP(H$2,'Gamma Prediction'!$I$33:$K$62,3,FALSE)*GammaFactor)^GammaPower)))</f>
        <v>0.35068168612258976</v>
      </c>
      <c r="I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Prediction'!$I$33:$K$62,3,FALSE)*GammaFactor)^GammaPower)+((VLOOKUP(I$2,'Gamma Prediction'!$I$33:$K$62,2,FALSE)^GammaPower+(VLOOKUP(I$2,'Gamma Prediction'!$I$33:$K$62,3,FALSE)*GammaFactor)^GammaPower)))</f>
        <v>0.3632797615277944</v>
      </c>
      <c r="J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Prediction'!$I$33:$K$62,3,FALSE)*GammaFactor)^GammaPower)+((VLOOKUP(J$2,'Gamma Prediction'!$I$33:$K$62,2,FALSE)^GammaPower+(VLOOKUP(J$2,'Gamma Prediction'!$I$33:$K$62,3,FALSE)*GammaFactor)^GammaPower)))</f>
        <v>0.32582436873949733</v>
      </c>
      <c r="K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Prediction'!$I$33:$K$62,3,FALSE)*GammaFactor)^GammaPower)+((VLOOKUP(K$2,'Gamma Prediction'!$I$33:$K$62,2,FALSE)^GammaPower+(VLOOKUP(K$2,'Gamma Prediction'!$I$33:$K$62,3,FALSE)*GammaFactor)^GammaPower)))</f>
        <v>0.36409961615322689</v>
      </c>
      <c r="L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Prediction'!$I$33:$K$62,3,FALSE)*GammaFactor)^GammaPower)+((VLOOKUP(L$2,'Gamma Prediction'!$I$33:$K$62,2,FALSE)^GammaPower+(VLOOKUP(L$2,'Gamma Prediction'!$I$33:$K$62,3,FALSE)*GammaFactor)^GammaPower)))</f>
        <v>0.37965323667484818</v>
      </c>
      <c r="M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Prediction'!$I$33:$K$62,3,FALSE)*GammaFactor)^GammaPower)+((VLOOKUP(M$2,'Gamma Prediction'!$I$33:$K$62,2,FALSE)^GammaPower+(VLOOKUP(M$2,'Gamma Prediction'!$I$33:$K$62,3,FALSE)*GammaFactor)^GammaPower)))</f>
        <v>0.33938270646365803</v>
      </c>
      <c r="N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Prediction'!$I$33:$K$62,3,FALSE)*GammaFactor)^GammaPower)+((VLOOKUP(N$2,'Gamma Prediction'!$I$33:$K$62,2,FALSE)^GammaPower+(VLOOKUP(N$2,'Gamma Prediction'!$I$33:$K$62,3,FALSE)*GammaFactor)^GammaPower)))</f>
        <v>0.6047827416102125</v>
      </c>
      <c r="O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Prediction'!$I$33:$K$62,3,FALSE)*GammaFactor)^GammaPower)+((VLOOKUP(O$2,'Gamma Prediction'!$I$33:$K$62,2,FALSE)^GammaPower+(VLOOKUP(O$2,'Gamma Prediction'!$I$33:$K$62,3,FALSE)*GammaFactor)^GammaPower)))</f>
        <v>0.60868403693854156</v>
      </c>
      <c r="P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Prediction'!$I$33:$K$62,3,FALSE)*GammaFactor)^GammaPower)+((VLOOKUP(P$2,'Gamma Prediction'!$I$33:$K$62,2,FALSE)^GammaPower+(VLOOKUP(P$2,'Gamma Prediction'!$I$33:$K$62,3,FALSE)*GammaFactor)^GammaPower)))</f>
        <v>0.48547910955843815</v>
      </c>
      <c r="Q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Prediction'!$I$33:$K$62,3,FALSE)*GammaFactor)^GammaPower)+((VLOOKUP(Q$2,'Gamma Prediction'!$I$33:$K$62,2,FALSE)^GammaPower+(VLOOKUP(Q$2,'Gamma Prediction'!$I$33:$K$62,3,FALSE)*GammaFactor)^GammaPower)))</f>
        <v>0.44366726706003828</v>
      </c>
      <c r="R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Prediction'!$I$33:$K$62,3,FALSE)*GammaFactor)^GammaPower)+((VLOOKUP(R$2,'Gamma Prediction'!$I$33:$K$62,2,FALSE)^GammaPower+(VLOOKUP(R$2,'Gamma Prediction'!$I$33:$K$62,3,FALSE)*GammaFactor)^GammaPower)))</f>
        <v>0.22488630043079261</v>
      </c>
      <c r="S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Prediction'!$I$33:$K$62,3,FALSE)*GammaFactor)^GammaPower)+((VLOOKUP(S$2,'Gamma Prediction'!$I$33:$K$62,2,FALSE)^GammaPower+(VLOOKUP(S$2,'Gamma Prediction'!$I$33:$K$62,3,FALSE)*GammaFactor)^GammaPower)))</f>
        <v>0.27016983323343169</v>
      </c>
      <c r="T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Prediction'!$I$33:$K$62,3,FALSE)*GammaFactor)^GammaPower)+((VLOOKUP(T$2,'Gamma Prediction'!$I$33:$K$62,2,FALSE)^GammaPower+(VLOOKUP(T$2,'Gamma Prediction'!$I$33:$K$62,3,FALSE)*GammaFactor)^GammaPower)))</f>
        <v>0.26428056790145421</v>
      </c>
      <c r="U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Prediction'!$I$33:$K$62,3,FALSE)*GammaFactor)^GammaPower)+((VLOOKUP(U$2,'Gamma Prediction'!$I$33:$K$62,2,FALSE)^GammaPower+(VLOOKUP(U$2,'Gamma Prediction'!$I$33:$K$62,3,FALSE)*GammaFactor)^GammaPower)))</f>
        <v>0.24972304273721668</v>
      </c>
      <c r="V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Prediction'!$I$33:$K$62,3,FALSE)*GammaFactor)^GammaPower)+((VLOOKUP(V$2,'Gamma Prediction'!$I$33:$K$62,2,FALSE)^GammaPower+(VLOOKUP(V$2,'Gamma Prediction'!$I$33:$K$62,3,FALSE)*GammaFactor)^GammaPower)))</f>
        <v>0.3666433668943383</v>
      </c>
      <c r="W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Prediction'!$I$33:$K$62,3,FALSE)*GammaFactor)^GammaPower)+((VLOOKUP(W$2,'Gamma Prediction'!$I$33:$K$62,2,FALSE)^GammaPower+(VLOOKUP(W$2,'Gamma Prediction'!$I$33:$K$62,3,FALSE)*GammaFactor)^GammaPower)))</f>
        <v>0.3638029733142995</v>
      </c>
      <c r="X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Prediction'!$I$33:$K$62,3,FALSE)*GammaFactor)^GammaPower)+((VLOOKUP(X$2,'Gamma Prediction'!$I$33:$K$62,2,FALSE)^GammaPower+(VLOOKUP(X$2,'Gamma Prediction'!$I$33:$K$62,3,FALSE)*GammaFactor)^GammaPower)))</f>
        <v>0.26431581469052273</v>
      </c>
      <c r="Y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Prediction'!$I$33:$K$62,3,FALSE)*GammaFactor)^GammaPower)+((VLOOKUP(Y$2,'Gamma Prediction'!$I$33:$K$62,2,FALSE)^GammaPower+(VLOOKUP(Y$2,'Gamma Prediction'!$I$33:$K$62,3,FALSE)*GammaFactor)^GammaPower)))</f>
        <v>0.33650220031101841</v>
      </c>
      <c r="Z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Prediction'!$I$33:$K$62,3,FALSE)*GammaFactor)^GammaPower)+((VLOOKUP(Z$2,'Gamma Prediction'!$I$33:$K$62,2,FALSE)^GammaPower+(VLOOKUP(Z$2,'Gamma Prediction'!$I$33:$K$62,3,FALSE)*GammaFactor)^GammaPower)))</f>
        <v>0.32417611746955044</v>
      </c>
      <c r="AA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Prediction'!$I$33:$K$62,3,FALSE)*GammaFactor)^GammaPower)+((VLOOKUP(AA$2,'Gamma Prediction'!$I$33:$K$62,2,FALSE)^GammaPower+(VLOOKUP(AA$2,'Gamma Prediction'!$I$33:$K$62,3,FALSE)*GammaFactor)^GammaPower)))</f>
        <v>0.34181517031488673</v>
      </c>
      <c r="AB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Prediction'!$I$33:$K$62,3,FALSE)*GammaFactor)^GammaPower)+((VLOOKUP(AB$2,'Gamma Prediction'!$I$33:$K$62,2,FALSE)^GammaPower+(VLOOKUP(AB$2,'Gamma Prediction'!$I$33:$K$62,3,FALSE)*GammaFactor)^GammaPower)))</f>
        <v>0.35135567139603457</v>
      </c>
      <c r="AC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Prediction'!$I$33:$K$62,3,FALSE)*GammaFactor)^GammaPower)+((VLOOKUP(AC$2,'Gamma Prediction'!$I$33:$K$62,2,FALSE)^GammaPower+(VLOOKUP(AC$2,'Gamma Prediction'!$I$33:$K$62,3,FALSE)*GammaFactor)^GammaPower)))</f>
        <v>0.5</v>
      </c>
      <c r="AD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Prediction'!$I$33:$K$62,3,FALSE)*GammaFactor)^GammaPower)+((VLOOKUP(AD$2,'Gamma Prediction'!$I$33:$K$62,2,FALSE)^GammaPower+(VLOOKUP(AD$2,'Gamma Prediction'!$I$33:$K$62,3,FALSE)*GammaFactor)^GammaPower)))</f>
        <v>0.5117966764067422</v>
      </c>
      <c r="AE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Prediction'!$I$33:$K$62,3,FALSE)*GammaFactor)^GammaPower)+((VLOOKUP(AE$2,'Gamma Prediction'!$I$33:$K$62,2,FALSE)^GammaPower+(VLOOKUP(AE$2,'Gamma Prediction'!$I$33:$K$62,3,FALSE)*GammaFactor)^GammaPower)))</f>
        <v>0.53749642933480846</v>
      </c>
      <c r="AF29" s="55">
        <f>((VLOOKUP($B29,'Gamma Prediction'!$I$33:$K$62,2,FALSE)^GammaPower+(VLOOKUP($B29,'Gamma Prediction'!$I$33:$K$62,3,FALSE)*GammaFactor)^GammaPower))/((VLOOKUP($B29,'Gamma Prediction'!$I$33:$K$62,2,FALSE)^GammaPower+(VLOOKUP($B29,'Gamma Prediction'!$I$33:$K$62,3,FALSE)*GammaFactor)^GammaPower)+((VLOOKUP(AF$2,'Gamma Prediction'!$I$33:$K$62,2,FALSE)^GammaPower+(VLOOKUP(AF$2,'Gamma Prediction'!$I$33:$K$62,3,FALSE)*GammaFactor)^GammaPower)))</f>
        <v>0.72308372179237324</v>
      </c>
    </row>
    <row r="30" spans="2:32" x14ac:dyDescent="0.25">
      <c r="B30" t="s">
        <v>46</v>
      </c>
      <c r="C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Prediction'!$I$33:$K$62,3,FALSE)*GammaFactor)^GammaPower)+((VLOOKUP(C$2,'Gamma Prediction'!$I$33:$K$62,2,FALSE)^GammaPower+(VLOOKUP(C$2,'Gamma Prediction'!$I$33:$K$62,3,FALSE)*GammaFactor)^GammaPower)))</f>
        <v>0.28017266509991207</v>
      </c>
      <c r="D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Prediction'!$I$33:$K$62,3,FALSE)*GammaFactor)^GammaPower)+((VLOOKUP(D$2,'Gamma Prediction'!$I$33:$K$62,2,FALSE)^GammaPower+(VLOOKUP(D$2,'Gamma Prediction'!$I$33:$K$62,3,FALSE)*GammaFactor)^GammaPower)))</f>
        <v>0.26186752905300648</v>
      </c>
      <c r="E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Prediction'!$I$33:$K$62,3,FALSE)*GammaFactor)^GammaPower)+((VLOOKUP(E$2,'Gamma Prediction'!$I$33:$K$62,2,FALSE)^GammaPower+(VLOOKUP(E$2,'Gamma Prediction'!$I$33:$K$62,3,FALSE)*GammaFactor)^GammaPower)))</f>
        <v>0.24574501276709171</v>
      </c>
      <c r="F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Prediction'!$I$33:$K$62,3,FALSE)*GammaFactor)^GammaPower)+((VLOOKUP(F$2,'Gamma Prediction'!$I$33:$K$62,2,FALSE)^GammaPower+(VLOOKUP(F$2,'Gamma Prediction'!$I$33:$K$62,3,FALSE)*GammaFactor)^GammaPower)))</f>
        <v>0.31532930074910592</v>
      </c>
      <c r="G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Prediction'!$I$33:$K$62,3,FALSE)*GammaFactor)^GammaPower)+((VLOOKUP(G$2,'Gamma Prediction'!$I$33:$K$62,2,FALSE)^GammaPower+(VLOOKUP(G$2,'Gamma Prediction'!$I$33:$K$62,3,FALSE)*GammaFactor)^GammaPower)))</f>
        <v>0.33167368229640481</v>
      </c>
      <c r="H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Prediction'!$I$33:$K$62,3,FALSE)*GammaFactor)^GammaPower)+((VLOOKUP(H$2,'Gamma Prediction'!$I$33:$K$62,2,FALSE)^GammaPower+(VLOOKUP(H$2,'Gamma Prediction'!$I$33:$K$62,3,FALSE)*GammaFactor)^GammaPower)))</f>
        <v>0.34001225764193588</v>
      </c>
      <c r="I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Prediction'!$I$33:$K$62,3,FALSE)*GammaFactor)^GammaPower)+((VLOOKUP(I$2,'Gamma Prediction'!$I$33:$K$62,2,FALSE)^GammaPower+(VLOOKUP(I$2,'Gamma Prediction'!$I$33:$K$62,3,FALSE)*GammaFactor)^GammaPower)))</f>
        <v>0.35243508213351538</v>
      </c>
      <c r="J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Prediction'!$I$33:$K$62,3,FALSE)*GammaFactor)^GammaPower)+((VLOOKUP(J$2,'Gamma Prediction'!$I$33:$K$62,2,FALSE)^GammaPower+(VLOOKUP(J$2,'Gamma Prediction'!$I$33:$K$62,3,FALSE)*GammaFactor)^GammaPower)))</f>
        <v>0.315543697043838</v>
      </c>
      <c r="K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Prediction'!$I$33:$K$62,3,FALSE)*GammaFactor)^GammaPower)+((VLOOKUP(K$2,'Gamma Prediction'!$I$33:$K$62,2,FALSE)^GammaPower+(VLOOKUP(K$2,'Gamma Prediction'!$I$33:$K$62,3,FALSE)*GammaFactor)^GammaPower)))</f>
        <v>0.35324404042738694</v>
      </c>
      <c r="L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Prediction'!$I$33:$K$62,3,FALSE)*GammaFactor)^GammaPower)+((VLOOKUP(L$2,'Gamma Prediction'!$I$33:$K$62,2,FALSE)^GammaPower+(VLOOKUP(L$2,'Gamma Prediction'!$I$33:$K$62,3,FALSE)*GammaFactor)^GammaPower)))</f>
        <v>0.36860273476049316</v>
      </c>
      <c r="M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Prediction'!$I$33:$K$62,3,FALSE)*GammaFactor)^GammaPower)+((VLOOKUP(M$2,'Gamma Prediction'!$I$33:$K$62,2,FALSE)^GammaPower+(VLOOKUP(M$2,'Gamma Prediction'!$I$33:$K$62,3,FALSE)*GammaFactor)^GammaPower)))</f>
        <v>0.32888292651916584</v>
      </c>
      <c r="N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Prediction'!$I$33:$K$62,3,FALSE)*GammaFactor)^GammaPower)+((VLOOKUP(N$2,'Gamma Prediction'!$I$33:$K$62,2,FALSE)^GammaPower+(VLOOKUP(N$2,'Gamma Prediction'!$I$33:$K$62,3,FALSE)*GammaFactor)^GammaPower)))</f>
        <v>0.59344810556693084</v>
      </c>
      <c r="O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Prediction'!$I$33:$K$62,3,FALSE)*GammaFactor)^GammaPower)+((VLOOKUP(O$2,'Gamma Prediction'!$I$33:$K$62,2,FALSE)^GammaPower+(VLOOKUP(O$2,'Gamma Prediction'!$I$33:$K$62,3,FALSE)*GammaFactor)^GammaPower)))</f>
        <v>0.59738680306953917</v>
      </c>
      <c r="P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Prediction'!$I$33:$K$62,3,FALSE)*GammaFactor)^GammaPower)+((VLOOKUP(P$2,'Gamma Prediction'!$I$33:$K$62,2,FALSE)^GammaPower+(VLOOKUP(P$2,'Gamma Prediction'!$I$33:$K$62,3,FALSE)*GammaFactor)^GammaPower)))</f>
        <v>0.47370045341646344</v>
      </c>
      <c r="Q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Prediction'!$I$33:$K$62,3,FALSE)*GammaFactor)^GammaPower)+((VLOOKUP(Q$2,'Gamma Prediction'!$I$33:$K$62,2,FALSE)^GammaPower+(VLOOKUP(Q$2,'Gamma Prediction'!$I$33:$K$62,3,FALSE)*GammaFactor)^GammaPower)))</f>
        <v>0.43205120914527012</v>
      </c>
      <c r="R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Prediction'!$I$33:$K$62,3,FALSE)*GammaFactor)^GammaPower)+((VLOOKUP(R$2,'Gamma Prediction'!$I$33:$K$62,2,FALSE)^GammaPower+(VLOOKUP(R$2,'Gamma Prediction'!$I$33:$K$62,3,FALSE)*GammaFactor)^GammaPower)))</f>
        <v>0.21676647921398795</v>
      </c>
      <c r="S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Prediction'!$I$33:$K$62,3,FALSE)*GammaFactor)^GammaPower)+((VLOOKUP(S$2,'Gamma Prediction'!$I$33:$K$62,2,FALSE)^GammaPower+(VLOOKUP(S$2,'Gamma Prediction'!$I$33:$K$62,3,FALSE)*GammaFactor)^GammaPower)))</f>
        <v>0.2609654692038969</v>
      </c>
      <c r="T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Prediction'!$I$33:$K$62,3,FALSE)*GammaFactor)^GammaPower)+((VLOOKUP(T$2,'Gamma Prediction'!$I$33:$K$62,2,FALSE)^GammaPower+(VLOOKUP(T$2,'Gamma Prediction'!$I$33:$K$62,3,FALSE)*GammaFactor)^GammaPower)))</f>
        <v>0.25520668432741039</v>
      </c>
      <c r="U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Prediction'!$I$33:$K$62,3,FALSE)*GammaFactor)^GammaPower)+((VLOOKUP(U$2,'Gamma Prediction'!$I$33:$K$62,2,FALSE)^GammaPower+(VLOOKUP(U$2,'Gamma Prediction'!$I$33:$K$62,3,FALSE)*GammaFactor)^GammaPower)))</f>
        <v>0.24098526433775086</v>
      </c>
      <c r="V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Prediction'!$I$33:$K$62,3,FALSE)*GammaFactor)^GammaPower)+((VLOOKUP(V$2,'Gamma Prediction'!$I$33:$K$62,2,FALSE)^GammaPower+(VLOOKUP(V$2,'Gamma Prediction'!$I$33:$K$62,3,FALSE)*GammaFactor)^GammaPower)))</f>
        <v>0.35575437916338198</v>
      </c>
      <c r="W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Prediction'!$I$33:$K$62,3,FALSE)*GammaFactor)^GammaPower)+((VLOOKUP(W$2,'Gamma Prediction'!$I$33:$K$62,2,FALSE)^GammaPower+(VLOOKUP(W$2,'Gamma Prediction'!$I$33:$K$62,3,FALSE)*GammaFactor)^GammaPower)))</f>
        <v>0.35295133295929926</v>
      </c>
      <c r="X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Prediction'!$I$33:$K$62,3,FALSE)*GammaFactor)^GammaPower)+((VLOOKUP(X$2,'Gamma Prediction'!$I$33:$K$62,2,FALSE)^GammaPower+(VLOOKUP(X$2,'Gamma Prediction'!$I$33:$K$62,3,FALSE)*GammaFactor)^GammaPower)))</f>
        <v>0.25524114078537491</v>
      </c>
      <c r="Y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Prediction'!$I$33:$K$62,3,FALSE)*GammaFactor)^GammaPower)+((VLOOKUP(Y$2,'Gamma Prediction'!$I$33:$K$62,2,FALSE)^GammaPower+(VLOOKUP(Y$2,'Gamma Prediction'!$I$33:$K$62,3,FALSE)*GammaFactor)^GammaPower)))</f>
        <v>0.3260475535550395</v>
      </c>
      <c r="Z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Prediction'!$I$33:$K$62,3,FALSE)*GammaFactor)^GammaPower)+((VLOOKUP(Z$2,'Gamma Prediction'!$I$33:$K$62,2,FALSE)^GammaPower+(VLOOKUP(Z$2,'Gamma Prediction'!$I$33:$K$62,3,FALSE)*GammaFactor)^GammaPower)))</f>
        <v>0.31392323619792484</v>
      </c>
      <c r="AA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Prediction'!$I$33:$K$62,3,FALSE)*GammaFactor)^GammaPower)+((VLOOKUP(AA$2,'Gamma Prediction'!$I$33:$K$62,2,FALSE)^GammaPower+(VLOOKUP(AA$2,'Gamma Prediction'!$I$33:$K$62,3,FALSE)*GammaFactor)^GammaPower)))</f>
        <v>0.33127787314936724</v>
      </c>
      <c r="AB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Prediction'!$I$33:$K$62,3,FALSE)*GammaFactor)^GammaPower)+((VLOOKUP(AB$2,'Gamma Prediction'!$I$33:$K$62,2,FALSE)^GammaPower+(VLOOKUP(AB$2,'Gamma Prediction'!$I$33:$K$62,3,FALSE)*GammaFactor)^GammaPower)))</f>
        <v>0.34067649581150949</v>
      </c>
      <c r="AC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Prediction'!$I$33:$K$62,3,FALSE)*GammaFactor)^GammaPower)+((VLOOKUP(AC$2,'Gamma Prediction'!$I$33:$K$62,2,FALSE)^GammaPower+(VLOOKUP(AC$2,'Gamma Prediction'!$I$33:$K$62,3,FALSE)*GammaFactor)^GammaPower)))</f>
        <v>0.48820332359325774</v>
      </c>
      <c r="AD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Prediction'!$I$33:$K$62,3,FALSE)*GammaFactor)^GammaPower)+((VLOOKUP(AD$2,'Gamma Prediction'!$I$33:$K$62,2,FALSE)^GammaPower+(VLOOKUP(AD$2,'Gamma Prediction'!$I$33:$K$62,3,FALSE)*GammaFactor)^GammaPower)))</f>
        <v>0.5</v>
      </c>
      <c r="AE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Prediction'!$I$33:$K$62,3,FALSE)*GammaFactor)^GammaPower)+((VLOOKUP(AE$2,'Gamma Prediction'!$I$33:$K$62,2,FALSE)^GammaPower+(VLOOKUP(AE$2,'Gamma Prediction'!$I$33:$K$62,3,FALSE)*GammaFactor)^GammaPower)))</f>
        <v>0.52574530494500771</v>
      </c>
      <c r="AF30" s="55">
        <f>((VLOOKUP($B30,'Gamma Prediction'!$I$33:$K$62,2,FALSE)^GammaPower+(VLOOKUP($B30,'Gamma Prediction'!$I$33:$K$62,3,FALSE)*GammaFactor)^GammaPower))/((VLOOKUP($B30,'Gamma Prediction'!$I$33:$K$62,2,FALSE)^GammaPower+(VLOOKUP($B30,'Gamma Prediction'!$I$33:$K$62,3,FALSE)*GammaFactor)^GammaPower)+((VLOOKUP(AF$2,'Gamma Prediction'!$I$33:$K$62,2,FALSE)^GammaPower+(VLOOKUP(AF$2,'Gamma Prediction'!$I$33:$K$62,3,FALSE)*GammaFactor)^GammaPower)))</f>
        <v>0.71353483820485464</v>
      </c>
    </row>
    <row r="31" spans="2:32" x14ac:dyDescent="0.25">
      <c r="B31" t="s">
        <v>47</v>
      </c>
      <c r="C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Prediction'!$I$33:$K$62,3,FALSE)*GammaFactor)^GammaPower)+((VLOOKUP(C$2,'Gamma Prediction'!$I$33:$K$62,2,FALSE)^GammaPower+(VLOOKUP(C$2,'Gamma Prediction'!$I$33:$K$62,3,FALSE)*GammaFactor)^GammaPower)))</f>
        <v>0.25986358913725616</v>
      </c>
      <c r="D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Prediction'!$I$33:$K$62,3,FALSE)*GammaFactor)^GammaPower)+((VLOOKUP(D$2,'Gamma Prediction'!$I$33:$K$62,2,FALSE)^GammaPower+(VLOOKUP(D$2,'Gamma Prediction'!$I$33:$K$62,3,FALSE)*GammaFactor)^GammaPower)))</f>
        <v>0.24243845037436856</v>
      </c>
      <c r="E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Prediction'!$I$33:$K$62,3,FALSE)*GammaFactor)^GammaPower)+((VLOOKUP(E$2,'Gamma Prediction'!$I$33:$K$62,2,FALSE)^GammaPower+(VLOOKUP(E$2,'Gamma Prediction'!$I$33:$K$62,3,FALSE)*GammaFactor)^GammaPower)))</f>
        <v>0.22714402905949874</v>
      </c>
      <c r="F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Prediction'!$I$33:$K$62,3,FALSE)*GammaFactor)^GammaPower)+((VLOOKUP(F$2,'Gamma Prediction'!$I$33:$K$62,2,FALSE)^GammaPower+(VLOOKUP(F$2,'Gamma Prediction'!$I$33:$K$62,3,FALSE)*GammaFactor)^GammaPower)))</f>
        <v>0.29351092529449596</v>
      </c>
      <c r="G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Prediction'!$I$33:$K$62,3,FALSE)*GammaFactor)^GammaPower)+((VLOOKUP(G$2,'Gamma Prediction'!$I$33:$K$62,2,FALSE)^GammaPower+(VLOOKUP(G$2,'Gamma Prediction'!$I$33:$K$62,3,FALSE)*GammaFactor)^GammaPower)))</f>
        <v>0.30923518048512572</v>
      </c>
      <c r="H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Prediction'!$I$33:$K$62,3,FALSE)*GammaFactor)^GammaPower)+((VLOOKUP(H$2,'Gamma Prediction'!$I$33:$K$62,2,FALSE)^GammaPower+(VLOOKUP(H$2,'Gamma Prediction'!$I$33:$K$62,3,FALSE)*GammaFactor)^GammaPower)))</f>
        <v>0.31727744076991249</v>
      </c>
      <c r="I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Prediction'!$I$33:$K$62,3,FALSE)*GammaFactor)^GammaPower)+((VLOOKUP(I$2,'Gamma Prediction'!$I$33:$K$62,2,FALSE)^GammaPower+(VLOOKUP(I$2,'Gamma Prediction'!$I$33:$K$62,3,FALSE)*GammaFactor)^GammaPower)))</f>
        <v>0.32928404768770358</v>
      </c>
      <c r="J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Prediction'!$I$33:$K$62,3,FALSE)*GammaFactor)^GammaPower)+((VLOOKUP(J$2,'Gamma Prediction'!$I$33:$K$62,2,FALSE)^GammaPower+(VLOOKUP(J$2,'Gamma Prediction'!$I$33:$K$62,3,FALSE)*GammaFactor)^GammaPower)))</f>
        <v>0.29371685089297944</v>
      </c>
      <c r="K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Prediction'!$I$33:$K$62,3,FALSE)*GammaFactor)^GammaPower)+((VLOOKUP(K$2,'Gamma Prediction'!$I$33:$K$62,2,FALSE)^GammaPower+(VLOOKUP(K$2,'Gamma Prediction'!$I$33:$K$62,3,FALSE)*GammaFactor)^GammaPower)))</f>
        <v>0.33006695194398927</v>
      </c>
      <c r="L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Prediction'!$I$33:$K$62,3,FALSE)*GammaFactor)^GammaPower)+((VLOOKUP(L$2,'Gamma Prediction'!$I$33:$K$62,2,FALSE)^GammaPower+(VLOOKUP(L$2,'Gamma Prediction'!$I$33:$K$62,3,FALSE)*GammaFactor)^GammaPower)))</f>
        <v>0.34495540805989178</v>
      </c>
      <c r="M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Prediction'!$I$33:$K$62,3,FALSE)*GammaFactor)^GammaPower)+((VLOOKUP(M$2,'Gamma Prediction'!$I$33:$K$62,2,FALSE)^GammaPower+(VLOOKUP(M$2,'Gamma Prediction'!$I$33:$K$62,3,FALSE)*GammaFactor)^GammaPower)))</f>
        <v>0.30654662692006174</v>
      </c>
      <c r="N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Prediction'!$I$33:$K$62,3,FALSE)*GammaFactor)^GammaPower)+((VLOOKUP(N$2,'Gamma Prediction'!$I$33:$K$62,2,FALSE)^GammaPower+(VLOOKUP(N$2,'Gamma Prediction'!$I$33:$K$62,3,FALSE)*GammaFactor)^GammaPower)))</f>
        <v>0.56836066261552465</v>
      </c>
      <c r="O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Prediction'!$I$33:$K$62,3,FALSE)*GammaFactor)^GammaPower)+((VLOOKUP(O$2,'Gamma Prediction'!$I$33:$K$62,2,FALSE)^GammaPower+(VLOOKUP(O$2,'Gamma Prediction'!$I$33:$K$62,3,FALSE)*GammaFactor)^GammaPower)))</f>
        <v>0.57236727033048052</v>
      </c>
      <c r="P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Prediction'!$I$33:$K$62,3,FALSE)*GammaFactor)^GammaPower)+((VLOOKUP(P$2,'Gamma Prediction'!$I$33:$K$62,2,FALSE)^GammaPower+(VLOOKUP(P$2,'Gamma Prediction'!$I$33:$K$62,3,FALSE)*GammaFactor)^GammaPower)))</f>
        <v>0.44809572390483493</v>
      </c>
      <c r="Q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Prediction'!$I$33:$K$62,3,FALSE)*GammaFactor)^GammaPower)+((VLOOKUP(Q$2,'Gamma Prediction'!$I$33:$K$62,2,FALSE)^GammaPower+(VLOOKUP(Q$2,'Gamma Prediction'!$I$33:$K$62,3,FALSE)*GammaFactor)^GammaPower)))</f>
        <v>0.40695696810469711</v>
      </c>
      <c r="R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Prediction'!$I$33:$K$62,3,FALSE)*GammaFactor)^GammaPower)+((VLOOKUP(R$2,'Gamma Prediction'!$I$33:$K$62,2,FALSE)^GammaPower+(VLOOKUP(R$2,'Gamma Prediction'!$I$33:$K$62,3,FALSE)*GammaFactor)^GammaPower)))</f>
        <v>0.19977797040496775</v>
      </c>
      <c r="S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Prediction'!$I$33:$K$62,3,FALSE)*GammaFactor)^GammaPower)+((VLOOKUP(S$2,'Gamma Prediction'!$I$33:$K$62,2,FALSE)^GammaPower+(VLOOKUP(S$2,'Gamma Prediction'!$I$33:$K$62,3,FALSE)*GammaFactor)^GammaPower)))</f>
        <v>0.2415814136372115</v>
      </c>
      <c r="T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Prediction'!$I$33:$K$62,3,FALSE)*GammaFactor)^GammaPower)+((VLOOKUP(T$2,'Gamma Prediction'!$I$33:$K$62,2,FALSE)^GammaPower+(VLOOKUP(T$2,'Gamma Prediction'!$I$33:$K$62,3,FALSE)*GammaFactor)^GammaPower)))</f>
        <v>0.2361137187922551</v>
      </c>
      <c r="U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Prediction'!$I$33:$K$62,3,FALSE)*GammaFactor)^GammaPower)+((VLOOKUP(U$2,'Gamma Prediction'!$I$33:$K$62,2,FALSE)^GammaPower+(VLOOKUP(U$2,'Gamma Prediction'!$I$33:$K$62,3,FALSE)*GammaFactor)^GammaPower)))</f>
        <v>0.22263821160812108</v>
      </c>
      <c r="V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Prediction'!$I$33:$K$62,3,FALSE)*GammaFactor)^GammaPower)+((VLOOKUP(V$2,'Gamma Prediction'!$I$33:$K$62,2,FALSE)^GammaPower+(VLOOKUP(V$2,'Gamma Prediction'!$I$33:$K$62,3,FALSE)*GammaFactor)^GammaPower)))</f>
        <v>0.33249725876029795</v>
      </c>
      <c r="W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Prediction'!$I$33:$K$62,3,FALSE)*GammaFactor)^GammaPower)+((VLOOKUP(W$2,'Gamma Prediction'!$I$33:$K$62,2,FALSE)^GammaPower+(VLOOKUP(W$2,'Gamma Prediction'!$I$33:$K$62,3,FALSE)*GammaFactor)^GammaPower)))</f>
        <v>0.32978365683989797</v>
      </c>
      <c r="X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Prediction'!$I$33:$K$62,3,FALSE)*GammaFactor)^GammaPower)+((VLOOKUP(X$2,'Gamma Prediction'!$I$33:$K$62,2,FALSE)^GammaPower+(VLOOKUP(X$2,'Gamma Prediction'!$I$33:$K$62,3,FALSE)*GammaFactor)^GammaPower)))</f>
        <v>0.23614641476409318</v>
      </c>
      <c r="Y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Prediction'!$I$33:$K$62,3,FALSE)*GammaFactor)^GammaPower)+((VLOOKUP(Y$2,'Gamma Prediction'!$I$33:$K$62,2,FALSE)^GammaPower+(VLOOKUP(Y$2,'Gamma Prediction'!$I$33:$K$62,3,FALSE)*GammaFactor)^GammaPower)))</f>
        <v>0.3038166448865523</v>
      </c>
      <c r="Z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Prediction'!$I$33:$K$62,3,FALSE)*GammaFactor)^GammaPower)+((VLOOKUP(Z$2,'Gamma Prediction'!$I$33:$K$62,2,FALSE)^GammaPower+(VLOOKUP(Z$2,'Gamma Prediction'!$I$33:$K$62,3,FALSE)*GammaFactor)^GammaPower)))</f>
        <v>0.29216063482096294</v>
      </c>
      <c r="AA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Prediction'!$I$33:$K$62,3,FALSE)*GammaFactor)^GammaPower)+((VLOOKUP(AA$2,'Gamma Prediction'!$I$33:$K$62,2,FALSE)^GammaPower+(VLOOKUP(AA$2,'Gamma Prediction'!$I$33:$K$62,3,FALSE)*GammaFactor)^GammaPower)))</f>
        <v>0.30885377410166226</v>
      </c>
      <c r="AB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Prediction'!$I$33:$K$62,3,FALSE)*GammaFactor)^GammaPower)+((VLOOKUP(AB$2,'Gamma Prediction'!$I$33:$K$62,2,FALSE)^GammaPower+(VLOOKUP(AB$2,'Gamma Prediction'!$I$33:$K$62,3,FALSE)*GammaFactor)^GammaPower)))</f>
        <v>0.31791865929201724</v>
      </c>
      <c r="AC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Prediction'!$I$33:$K$62,3,FALSE)*GammaFactor)^GammaPower)+((VLOOKUP(AC$2,'Gamma Prediction'!$I$33:$K$62,2,FALSE)^GammaPower+(VLOOKUP(AC$2,'Gamma Prediction'!$I$33:$K$62,3,FALSE)*GammaFactor)^GammaPower)))</f>
        <v>0.46250357066519138</v>
      </c>
      <c r="AD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Prediction'!$I$33:$K$62,3,FALSE)*GammaFactor)^GammaPower)+((VLOOKUP(AD$2,'Gamma Prediction'!$I$33:$K$62,2,FALSE)^GammaPower+(VLOOKUP(AD$2,'Gamma Prediction'!$I$33:$K$62,3,FALSE)*GammaFactor)^GammaPower)))</f>
        <v>0.47425469505499235</v>
      </c>
      <c r="AE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Prediction'!$I$33:$K$62,3,FALSE)*GammaFactor)^GammaPower)+((VLOOKUP(AE$2,'Gamma Prediction'!$I$33:$K$62,2,FALSE)^GammaPower+(VLOOKUP(AE$2,'Gamma Prediction'!$I$33:$K$62,3,FALSE)*GammaFactor)^GammaPower)))</f>
        <v>0.5</v>
      </c>
      <c r="AF31" s="55">
        <f>((VLOOKUP($B31,'Gamma Prediction'!$I$33:$K$62,2,FALSE)^GammaPower+(VLOOKUP($B31,'Gamma Prediction'!$I$33:$K$62,3,FALSE)*GammaFactor)^GammaPower))/((VLOOKUP($B31,'Gamma Prediction'!$I$33:$K$62,2,FALSE)^GammaPower+(VLOOKUP($B31,'Gamma Prediction'!$I$33:$K$62,3,FALSE)*GammaFactor)^GammaPower)+((VLOOKUP(AF$2,'Gamma Prediction'!$I$33:$K$62,2,FALSE)^GammaPower+(VLOOKUP(AF$2,'Gamma Prediction'!$I$33:$K$62,3,FALSE)*GammaFactor)^GammaPower)))</f>
        <v>0.69201188971147354</v>
      </c>
    </row>
    <row r="32" spans="2:32" x14ac:dyDescent="0.25">
      <c r="B32" t="s">
        <v>48</v>
      </c>
      <c r="C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Prediction'!$I$33:$K$62,3,FALSE)*GammaFactor)^GammaPower)+((VLOOKUP(C$2,'Gamma Prediction'!$I$33:$K$62,2,FALSE)^GammaPower+(VLOOKUP(C$2,'Gamma Prediction'!$I$33:$K$62,3,FALSE)*GammaFactor)^GammaPower)))</f>
        <v>0.13514429366813271</v>
      </c>
      <c r="D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Prediction'!$I$33:$K$62,3,FALSE)*GammaFactor)^GammaPower)+((VLOOKUP(D$2,'Gamma Prediction'!$I$33:$K$62,2,FALSE)^GammaPower+(VLOOKUP(D$2,'Gamma Prediction'!$I$33:$K$62,3,FALSE)*GammaFactor)^GammaPower)))</f>
        <v>0.12467347372470809</v>
      </c>
      <c r="E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Prediction'!$I$33:$K$62,3,FALSE)*GammaFactor)^GammaPower)+((VLOOKUP(E$2,'Gamma Prediction'!$I$33:$K$62,2,FALSE)^GammaPower+(VLOOKUP(E$2,'Gamma Prediction'!$I$33:$K$62,3,FALSE)*GammaFactor)^GammaPower)))</f>
        <v>0.11567395134021428</v>
      </c>
      <c r="F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Prediction'!$I$33:$K$62,3,FALSE)*GammaFactor)^GammaPower)+((VLOOKUP(F$2,'Gamma Prediction'!$I$33:$K$62,2,FALSE)^GammaPower+(VLOOKUP(F$2,'Gamma Prediction'!$I$33:$K$62,3,FALSE)*GammaFactor)^GammaPower)))</f>
        <v>0.15604762276190973</v>
      </c>
      <c r="G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Prediction'!$I$33:$K$62,3,FALSE)*GammaFactor)^GammaPower)+((VLOOKUP(G$2,'Gamma Prediction'!$I$33:$K$62,2,FALSE)^GammaPower+(VLOOKUP(G$2,'Gamma Prediction'!$I$33:$K$62,3,FALSE)*GammaFactor)^GammaPower)))</f>
        <v>0.16613936685318073</v>
      </c>
      <c r="H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Prediction'!$I$33:$K$62,3,FALSE)*GammaFactor)^GammaPower)+((VLOOKUP(H$2,'Gamma Prediction'!$I$33:$K$62,2,FALSE)^GammaPower+(VLOOKUP(H$2,'Gamma Prediction'!$I$33:$K$62,3,FALSE)*GammaFactor)^GammaPower)))</f>
        <v>0.17138346872511803</v>
      </c>
      <c r="I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Prediction'!$I$33:$K$62,3,FALSE)*GammaFactor)^GammaPower)+((VLOOKUP(I$2,'Gamma Prediction'!$I$33:$K$62,2,FALSE)^GammaPower+(VLOOKUP(I$2,'Gamma Prediction'!$I$33:$K$62,3,FALSE)*GammaFactor)^GammaPower)))</f>
        <v>0.17931917668496253</v>
      </c>
      <c r="J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Prediction'!$I$33:$K$62,3,FALSE)*GammaFactor)^GammaPower)+((VLOOKUP(J$2,'Gamma Prediction'!$I$33:$K$62,2,FALSE)^GammaPower+(VLOOKUP(J$2,'Gamma Prediction'!$I$33:$K$62,3,FALSE)*GammaFactor)^GammaPower)))</f>
        <v>0.15617842494815581</v>
      </c>
      <c r="K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Prediction'!$I$33:$K$62,3,FALSE)*GammaFactor)^GammaPower)+((VLOOKUP(K$2,'Gamma Prediction'!$I$33:$K$62,2,FALSE)^GammaPower+(VLOOKUP(K$2,'Gamma Prediction'!$I$33:$K$62,3,FALSE)*GammaFactor)^GammaPower)))</f>
        <v>0.17984112954645046</v>
      </c>
      <c r="L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Prediction'!$I$33:$K$62,3,FALSE)*GammaFactor)^GammaPower)+((VLOOKUP(L$2,'Gamma Prediction'!$I$33:$K$62,2,FALSE)^GammaPower+(VLOOKUP(L$2,'Gamma Prediction'!$I$33:$K$62,3,FALSE)*GammaFactor)^GammaPower)))</f>
        <v>0.18987384356963935</v>
      </c>
      <c r="M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Prediction'!$I$33:$K$62,3,FALSE)*GammaFactor)^GammaPower)+((VLOOKUP(M$2,'Gamma Prediction'!$I$33:$K$62,2,FALSE)^GammaPower+(VLOOKUP(M$2,'Gamma Prediction'!$I$33:$K$62,3,FALSE)*GammaFactor)^GammaPower)))</f>
        <v>0.16439882638667905</v>
      </c>
      <c r="N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Prediction'!$I$33:$K$62,3,FALSE)*GammaFactor)^GammaPower)+((VLOOKUP(N$2,'Gamma Prediction'!$I$33:$K$62,2,FALSE)^GammaPower+(VLOOKUP(N$2,'Gamma Prediction'!$I$33:$K$62,3,FALSE)*GammaFactor)^GammaPower)))</f>
        <v>0.36949680165159493</v>
      </c>
      <c r="O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Prediction'!$I$33:$K$62,3,FALSE)*GammaFactor)^GammaPower)+((VLOOKUP(O$2,'Gamma Prediction'!$I$33:$K$62,2,FALSE)^GammaPower+(VLOOKUP(O$2,'Gamma Prediction'!$I$33:$K$62,3,FALSE)*GammaFactor)^GammaPower)))</f>
        <v>0.37331398097912427</v>
      </c>
      <c r="P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Prediction'!$I$33:$K$62,3,FALSE)*GammaFactor)^GammaPower)+((VLOOKUP(P$2,'Gamma Prediction'!$I$33:$K$62,2,FALSE)^GammaPower+(VLOOKUP(P$2,'Gamma Prediction'!$I$33:$K$62,3,FALSE)*GammaFactor)^GammaPower)))</f>
        <v>0.26543476611185307</v>
      </c>
      <c r="Q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Prediction'!$I$33:$K$62,3,FALSE)*GammaFactor)^GammaPower)+((VLOOKUP(Q$2,'Gamma Prediction'!$I$33:$K$62,2,FALSE)^GammaPower+(VLOOKUP(Q$2,'Gamma Prediction'!$I$33:$K$62,3,FALSE)*GammaFactor)^GammaPower)))</f>
        <v>0.23395690964819674</v>
      </c>
      <c r="R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Prediction'!$I$33:$K$62,3,FALSE)*GammaFactor)^GammaPower)+((VLOOKUP(R$2,'Gamma Prediction'!$I$33:$K$62,2,FALSE)^GammaPower+(VLOOKUP(R$2,'Gamma Prediction'!$I$33:$K$62,3,FALSE)*GammaFactor)^GammaPower)))</f>
        <v>9.9999999569622466E-2</v>
      </c>
      <c r="S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Prediction'!$I$33:$K$62,3,FALSE)*GammaFactor)^GammaPower)+((VLOOKUP(S$2,'Gamma Prediction'!$I$33:$K$62,2,FALSE)^GammaPower+(VLOOKUP(S$2,'Gamma Prediction'!$I$33:$K$62,3,FALSE)*GammaFactor)^GammaPower)))</f>
        <v>0.12416451147625614</v>
      </c>
      <c r="T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Prediction'!$I$33:$K$62,3,FALSE)*GammaFactor)^GammaPower)+((VLOOKUP(T$2,'Gamma Prediction'!$I$33:$K$62,2,FALSE)^GammaPower+(VLOOKUP(T$2,'Gamma Prediction'!$I$33:$K$62,3,FALSE)*GammaFactor)^GammaPower)))</f>
        <v>0.12093056592707249</v>
      </c>
      <c r="U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Prediction'!$I$33:$K$62,3,FALSE)*GammaFactor)^GammaPower)+((VLOOKUP(U$2,'Gamma Prediction'!$I$33:$K$62,2,FALSE)^GammaPower+(VLOOKUP(U$2,'Gamma Prediction'!$I$33:$K$62,3,FALSE)*GammaFactor)^GammaPower)))</f>
        <v>0.11305588343241921</v>
      </c>
      <c r="V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Prediction'!$I$33:$K$62,3,FALSE)*GammaFactor)^GammaPower)+((VLOOKUP(V$2,'Gamma Prediction'!$I$33:$K$62,2,FALSE)^GammaPower+(VLOOKUP(V$2,'Gamma Prediction'!$I$33:$K$62,3,FALSE)*GammaFactor)^GammaPower)))</f>
        <v>0.18146492874407144</v>
      </c>
      <c r="W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Prediction'!$I$33:$K$62,3,FALSE)*GammaFactor)^GammaPower)+((VLOOKUP(W$2,'Gamma Prediction'!$I$33:$K$62,2,FALSE)^GammaPower+(VLOOKUP(W$2,'Gamma Prediction'!$I$33:$K$62,3,FALSE)*GammaFactor)^GammaPower)))</f>
        <v>0.17965219600985693</v>
      </c>
      <c r="X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Prediction'!$I$33:$K$62,3,FALSE)*GammaFactor)^GammaPower)+((VLOOKUP(X$2,'Gamma Prediction'!$I$33:$K$62,2,FALSE)^GammaPower+(VLOOKUP(X$2,'Gamma Prediction'!$I$33:$K$62,3,FALSE)*GammaFactor)^GammaPower)))</f>
        <v>0.12094983729982685</v>
      </c>
      <c r="Y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Prediction'!$I$33:$K$62,3,FALSE)*GammaFactor)^GammaPower)+((VLOOKUP(Y$2,'Gamma Prediction'!$I$33:$K$62,2,FALSE)^GammaPower+(VLOOKUP(Y$2,'Gamma Prediction'!$I$33:$K$62,3,FALSE)*GammaFactor)^GammaPower)))</f>
        <v>0.1626378576464754</v>
      </c>
      <c r="Z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Prediction'!$I$33:$K$62,3,FALSE)*GammaFactor)^GammaPower)+((VLOOKUP(Z$2,'Gamma Prediction'!$I$33:$K$62,2,FALSE)^GammaPower+(VLOOKUP(Z$2,'Gamma Prediction'!$I$33:$K$62,3,FALSE)*GammaFactor)^GammaPower)))</f>
        <v>0.15519081379041796</v>
      </c>
      <c r="AA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Prediction'!$I$33:$K$62,3,FALSE)*GammaFactor)^GammaPower)+((VLOOKUP(AA$2,'Gamma Prediction'!$I$33:$K$62,2,FALSE)^GammaPower+(VLOOKUP(AA$2,'Gamma Prediction'!$I$33:$K$62,3,FALSE)*GammaFactor)^GammaPower)))</f>
        <v>0.16589206696312603</v>
      </c>
      <c r="AB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Prediction'!$I$33:$K$62,3,FALSE)*GammaFactor)^GammaPower)+((VLOOKUP(AB$2,'Gamma Prediction'!$I$33:$K$62,2,FALSE)^GammaPower+(VLOOKUP(AB$2,'Gamma Prediction'!$I$33:$K$62,3,FALSE)*GammaFactor)^GammaPower)))</f>
        <v>0.17180403334596425</v>
      </c>
      <c r="AC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Prediction'!$I$33:$K$62,3,FALSE)*GammaFactor)^GammaPower)+((VLOOKUP(AC$2,'Gamma Prediction'!$I$33:$K$62,2,FALSE)^GammaPower+(VLOOKUP(AC$2,'Gamma Prediction'!$I$33:$K$62,3,FALSE)*GammaFactor)^GammaPower)))</f>
        <v>0.27691627820762676</v>
      </c>
      <c r="AD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Prediction'!$I$33:$K$62,3,FALSE)*GammaFactor)^GammaPower)+((VLOOKUP(AD$2,'Gamma Prediction'!$I$33:$K$62,2,FALSE)^GammaPower+(VLOOKUP(AD$2,'Gamma Prediction'!$I$33:$K$62,3,FALSE)*GammaFactor)^GammaPower)))</f>
        <v>0.28646516179514531</v>
      </c>
      <c r="AE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Prediction'!$I$33:$K$62,3,FALSE)*GammaFactor)^GammaPower)+((VLOOKUP(AE$2,'Gamma Prediction'!$I$33:$K$62,2,FALSE)^GammaPower+(VLOOKUP(AE$2,'Gamma Prediction'!$I$33:$K$62,3,FALSE)*GammaFactor)^GammaPower)))</f>
        <v>0.30798811028852652</v>
      </c>
      <c r="AF32" s="55">
        <f>((VLOOKUP($B32,'Gamma Prediction'!$I$33:$K$62,2,FALSE)^GammaPower+(VLOOKUP($B32,'Gamma Prediction'!$I$33:$K$62,3,FALSE)*GammaFactor)^GammaPower))/((VLOOKUP($B32,'Gamma Prediction'!$I$33:$K$62,2,FALSE)^GammaPower+(VLOOKUP($B32,'Gamma Prediction'!$I$33:$K$62,3,FALSE)*GammaFactor)^GammaPower)+((VLOOKUP(AF$2,'Gamma Prediction'!$I$33:$K$62,2,FALSE)^GammaPower+(VLOOKUP(AF$2,'Gamma Prediction'!$I$33:$K$62,3,FALSE)*GammaFactor)^GammaPower)))</f>
        <v>0.5</v>
      </c>
    </row>
    <row r="35" spans="1:32" x14ac:dyDescent="0.25">
      <c r="A35" t="s">
        <v>119</v>
      </c>
      <c r="C35" t="s">
        <v>113</v>
      </c>
    </row>
    <row r="36" spans="1:32" x14ac:dyDescent="0.25">
      <c r="C36" t="s">
        <v>8</v>
      </c>
      <c r="D36" t="s">
        <v>11</v>
      </c>
      <c r="E36" t="s">
        <v>10</v>
      </c>
      <c r="F36" t="s">
        <v>14</v>
      </c>
      <c r="G36" t="s">
        <v>12</v>
      </c>
      <c r="H36" t="s">
        <v>15</v>
      </c>
      <c r="I36" t="s">
        <v>16</v>
      </c>
      <c r="J36" t="s">
        <v>18</v>
      </c>
      <c r="K36" t="s">
        <v>20</v>
      </c>
      <c r="L36" t="s">
        <v>22</v>
      </c>
      <c r="M36" t="s">
        <v>23</v>
      </c>
      <c r="N36" t="s">
        <v>24</v>
      </c>
      <c r="O36" t="s">
        <v>26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34</v>
      </c>
      <c r="V36" t="s">
        <v>35</v>
      </c>
      <c r="W36" t="s">
        <v>36</v>
      </c>
      <c r="X36" t="s">
        <v>37</v>
      </c>
      <c r="Y36" t="s">
        <v>39</v>
      </c>
      <c r="Z36" t="s">
        <v>40</v>
      </c>
      <c r="AA36" t="s">
        <v>41</v>
      </c>
      <c r="AB36" t="s">
        <v>44</v>
      </c>
      <c r="AC36" t="s">
        <v>43</v>
      </c>
      <c r="AD36" t="s">
        <v>46</v>
      </c>
      <c r="AE36" t="s">
        <v>47</v>
      </c>
      <c r="AF36" t="s">
        <v>48</v>
      </c>
    </row>
    <row r="37" spans="1:32" x14ac:dyDescent="0.25">
      <c r="A37" t="s">
        <v>112</v>
      </c>
      <c r="B37" t="s">
        <v>8</v>
      </c>
      <c r="C37" s="55">
        <f>COMBIN(6,3)*C3^4*(1-C3)^3+COMBIN(4,4)*C3^4+COMBIN(4,3)*C3^4*(1-C3)^1+COMBIN(5,2)*C3^4*(1-C3)^2</f>
        <v>0.5</v>
      </c>
      <c r="D37" s="55">
        <f t="shared" ref="D37:AF46" si="0">COMBIN(6,3)*D3^4*(1-D3)^3+COMBIN(4,4)*D3^4+COMBIN(4,3)*D3^4*(1-D3)^1+COMBIN(5,2)*D3^4*(1-D3)^2</f>
        <v>0.44946074648861911</v>
      </c>
      <c r="E37" s="55">
        <f t="shared" si="0"/>
        <v>0.40376352557633943</v>
      </c>
      <c r="F37" s="55">
        <f t="shared" si="0"/>
        <v>0.59116991835851063</v>
      </c>
      <c r="G37" s="55">
        <f t="shared" si="0"/>
        <v>0.63031418808305306</v>
      </c>
      <c r="H37" s="55">
        <f t="shared" si="0"/>
        <v>0.64940805362669263</v>
      </c>
      <c r="I37" s="55">
        <f t="shared" si="0"/>
        <v>0.67671573719720801</v>
      </c>
      <c r="J37" s="55">
        <f t="shared" si="0"/>
        <v>0.5916976613883963</v>
      </c>
      <c r="K37" s="55">
        <f t="shared" si="0"/>
        <v>0.67844605967769345</v>
      </c>
      <c r="L37" s="55">
        <f t="shared" si="0"/>
        <v>0.71017288748079277</v>
      </c>
      <c r="M37" s="55">
        <f t="shared" si="0"/>
        <v>0.62378945803147601</v>
      </c>
      <c r="N37" s="55">
        <f t="shared" si="0"/>
        <v>0.96026667636882201</v>
      </c>
      <c r="O37" s="55">
        <f t="shared" si="0"/>
        <v>0.96198032092393926</v>
      </c>
      <c r="P37" s="55">
        <f t="shared" si="0"/>
        <v>0.87149920170390338</v>
      </c>
      <c r="Q37" s="55">
        <f t="shared" si="0"/>
        <v>0.81872018991506512</v>
      </c>
      <c r="R37" s="55">
        <f t="shared" si="0"/>
        <v>0.32047684368270196</v>
      </c>
      <c r="S37" s="55">
        <f t="shared" si="0"/>
        <v>0.44692870339340696</v>
      </c>
      <c r="T37" s="55">
        <f t="shared" si="0"/>
        <v>0.43068817738356269</v>
      </c>
      <c r="U37" s="55">
        <f t="shared" si="0"/>
        <v>0.39013223674539116</v>
      </c>
      <c r="V37" s="55">
        <f t="shared" si="0"/>
        <v>0.68377796201554575</v>
      </c>
      <c r="W37" s="55">
        <f t="shared" si="0"/>
        <v>0.67782065355192911</v>
      </c>
      <c r="X37" s="55">
        <f t="shared" si="0"/>
        <v>0.4307857155076435</v>
      </c>
      <c r="Y37" s="55">
        <f t="shared" si="0"/>
        <v>0.61709240773628404</v>
      </c>
      <c r="Z37" s="55">
        <f t="shared" si="0"/>
        <v>0.58769970476486311</v>
      </c>
      <c r="AA37" s="55">
        <f t="shared" si="0"/>
        <v>0.62939285974148684</v>
      </c>
      <c r="AB37" s="55">
        <f t="shared" si="0"/>
        <v>0.65090287946807468</v>
      </c>
      <c r="AC37" s="55">
        <f t="shared" si="0"/>
        <v>0.88681553506993893</v>
      </c>
      <c r="AD37" s="55">
        <f t="shared" si="0"/>
        <v>0.89820558028506192</v>
      </c>
      <c r="AE37" s="55">
        <f t="shared" si="0"/>
        <v>0.91998016337202493</v>
      </c>
      <c r="AF37" s="55">
        <f t="shared" si="0"/>
        <v>0.99170170774434763</v>
      </c>
    </row>
    <row r="38" spans="1:32" x14ac:dyDescent="0.25">
      <c r="B38" t="s">
        <v>11</v>
      </c>
      <c r="C38" s="55">
        <f t="shared" ref="C38:R66" si="1">COMBIN(6,3)*C4^4*(1-C4)^3+COMBIN(4,4)*C4^4+COMBIN(4,3)*C4^4*(1-C4)^1+COMBIN(5,2)*C4^4*(1-C4)^2</f>
        <v>0.55053925351138078</v>
      </c>
      <c r="D38" s="55">
        <f t="shared" si="1"/>
        <v>0.5</v>
      </c>
      <c r="E38" s="55">
        <f t="shared" si="1"/>
        <v>0.45354506997637889</v>
      </c>
      <c r="F38" s="55">
        <f t="shared" si="1"/>
        <v>0.63954535154739289</v>
      </c>
      <c r="G38" s="55">
        <f t="shared" si="1"/>
        <v>0.67691468362047635</v>
      </c>
      <c r="H38" s="55">
        <f t="shared" si="1"/>
        <v>0.69495746825988125</v>
      </c>
      <c r="I38" s="55">
        <f t="shared" si="1"/>
        <v>0.72054865499810239</v>
      </c>
      <c r="J38" s="55">
        <f t="shared" si="1"/>
        <v>0.64005254631989139</v>
      </c>
      <c r="K38" s="55">
        <f t="shared" si="1"/>
        <v>0.72216169086614379</v>
      </c>
      <c r="L38" s="55">
        <f t="shared" si="1"/>
        <v>0.75155563706589057</v>
      </c>
      <c r="M38" s="55">
        <f t="shared" si="1"/>
        <v>0.67072119199104907</v>
      </c>
      <c r="N38" s="55">
        <f t="shared" si="1"/>
        <v>0.96915976361175848</v>
      </c>
      <c r="O38" s="55">
        <f t="shared" si="1"/>
        <v>0.97053332520714275</v>
      </c>
      <c r="P38" s="55">
        <f t="shared" si="1"/>
        <v>0.89525112090439729</v>
      </c>
      <c r="Q38" s="55">
        <f t="shared" si="1"/>
        <v>0.84938020968337613</v>
      </c>
      <c r="R38" s="55">
        <f t="shared" si="1"/>
        <v>0.36693334599982275</v>
      </c>
      <c r="S38" s="55">
        <f t="shared" si="0"/>
        <v>0.49744501709010469</v>
      </c>
      <c r="T38" s="55">
        <f t="shared" si="0"/>
        <v>0.48100458095041254</v>
      </c>
      <c r="U38" s="55">
        <f t="shared" si="0"/>
        <v>0.43954472481672868</v>
      </c>
      <c r="V38" s="55">
        <f t="shared" si="0"/>
        <v>0.72712575105529653</v>
      </c>
      <c r="W38" s="55">
        <f t="shared" si="0"/>
        <v>0.72157879454294838</v>
      </c>
      <c r="X38" s="55">
        <f t="shared" si="0"/>
        <v>0.4811035934401281</v>
      </c>
      <c r="Y38" s="55">
        <f t="shared" si="0"/>
        <v>0.66434937873810984</v>
      </c>
      <c r="Z38" s="55">
        <f t="shared" si="0"/>
        <v>0.63620795700679755</v>
      </c>
      <c r="AA38" s="55">
        <f t="shared" si="0"/>
        <v>0.67604098891502773</v>
      </c>
      <c r="AB38" s="55">
        <f t="shared" si="0"/>
        <v>0.69636484663653997</v>
      </c>
      <c r="AC38" s="55">
        <f t="shared" si="0"/>
        <v>0.90832398275555248</v>
      </c>
      <c r="AD38" s="55">
        <f t="shared" si="0"/>
        <v>0.91796906318914351</v>
      </c>
      <c r="AE38" s="55">
        <f t="shared" si="0"/>
        <v>0.93621124284864066</v>
      </c>
      <c r="AF38" s="55">
        <f t="shared" si="0"/>
        <v>0.99382067563480825</v>
      </c>
    </row>
    <row r="39" spans="1:32" x14ac:dyDescent="0.25">
      <c r="B39" t="s">
        <v>10</v>
      </c>
      <c r="C39" s="55">
        <f t="shared" si="1"/>
        <v>0.59623647442366046</v>
      </c>
      <c r="D39" s="55">
        <f t="shared" si="0"/>
        <v>0.54645493002362111</v>
      </c>
      <c r="E39" s="55">
        <f t="shared" si="0"/>
        <v>0.5</v>
      </c>
      <c r="F39" s="55">
        <f t="shared" si="0"/>
        <v>0.68200826728404329</v>
      </c>
      <c r="G39" s="55">
        <f t="shared" si="0"/>
        <v>0.71729188405939637</v>
      </c>
      <c r="H39" s="55">
        <f t="shared" si="0"/>
        <v>0.73417051016357426</v>
      </c>
      <c r="I39" s="55">
        <f t="shared" si="0"/>
        <v>0.75793171194113873</v>
      </c>
      <c r="J39" s="55">
        <f t="shared" si="0"/>
        <v>0.68249006272430401</v>
      </c>
      <c r="K39" s="55">
        <f t="shared" si="0"/>
        <v>0.75942228605377626</v>
      </c>
      <c r="L39" s="55">
        <f t="shared" si="0"/>
        <v>0.7864340035658508</v>
      </c>
      <c r="M39" s="55">
        <f t="shared" si="0"/>
        <v>0.71147427197805446</v>
      </c>
      <c r="N39" s="55">
        <f t="shared" si="0"/>
        <v>0.97574055384230796</v>
      </c>
      <c r="O39" s="55">
        <f t="shared" si="0"/>
        <v>0.97685089228344957</v>
      </c>
      <c r="P39" s="55">
        <f t="shared" si="0"/>
        <v>0.91395625042317952</v>
      </c>
      <c r="Q39" s="55">
        <f t="shared" si="0"/>
        <v>0.87414116532776631</v>
      </c>
      <c r="R39" s="55">
        <f t="shared" si="0"/>
        <v>0.41154928689958714</v>
      </c>
      <c r="S39" s="55">
        <f t="shared" si="0"/>
        <v>0.54391739137452266</v>
      </c>
      <c r="T39" s="55">
        <f t="shared" si="0"/>
        <v>0.52754082763505483</v>
      </c>
      <c r="U39" s="55">
        <f t="shared" si="0"/>
        <v>0.48586676894376657</v>
      </c>
      <c r="V39" s="55">
        <f t="shared" si="0"/>
        <v>0.76400412574174148</v>
      </c>
      <c r="W39" s="55">
        <f t="shared" si="0"/>
        <v>0.75888374143476067</v>
      </c>
      <c r="X39" s="55">
        <f t="shared" si="0"/>
        <v>0.52763970672278537</v>
      </c>
      <c r="Y39" s="55">
        <f t="shared" si="0"/>
        <v>0.70547658205023844</v>
      </c>
      <c r="Z39" s="55">
        <f t="shared" si="0"/>
        <v>0.67883601877089506</v>
      </c>
      <c r="AA39" s="55">
        <f t="shared" si="0"/>
        <v>0.71647194533591885</v>
      </c>
      <c r="AB39" s="55">
        <f t="shared" si="0"/>
        <v>0.73548272674757043</v>
      </c>
      <c r="AC39" s="55">
        <f t="shared" si="0"/>
        <v>0.92512238727998974</v>
      </c>
      <c r="AD39" s="55">
        <f t="shared" si="0"/>
        <v>0.93330337978914779</v>
      </c>
      <c r="AE39" s="55">
        <f t="shared" si="0"/>
        <v>0.94863138395457924</v>
      </c>
      <c r="AF39" s="55">
        <f t="shared" si="0"/>
        <v>0.99531119383975619</v>
      </c>
    </row>
    <row r="40" spans="1:32" x14ac:dyDescent="0.25">
      <c r="B40" t="s">
        <v>14</v>
      </c>
      <c r="C40" s="55">
        <f t="shared" si="1"/>
        <v>0.4088300816414896</v>
      </c>
      <c r="D40" s="55">
        <f t="shared" si="0"/>
        <v>0.36045464845260722</v>
      </c>
      <c r="E40" s="55">
        <f t="shared" si="0"/>
        <v>0.31799173271595654</v>
      </c>
      <c r="F40" s="55">
        <f t="shared" si="0"/>
        <v>0.5</v>
      </c>
      <c r="G40" s="55">
        <f t="shared" si="0"/>
        <v>0.54077329314701827</v>
      </c>
      <c r="H40" s="55">
        <f t="shared" si="0"/>
        <v>0.56103862752847344</v>
      </c>
      <c r="I40" s="55">
        <f t="shared" si="0"/>
        <v>0.59046966815551949</v>
      </c>
      <c r="J40" s="55">
        <f t="shared" si="0"/>
        <v>0.50054297462220221</v>
      </c>
      <c r="K40" s="55">
        <f t="shared" si="0"/>
        <v>0.59235276948315829</v>
      </c>
      <c r="L40" s="55">
        <f t="shared" si="0"/>
        <v>0.6272804602814338</v>
      </c>
      <c r="M40" s="55">
        <f t="shared" si="0"/>
        <v>0.53390575607304158</v>
      </c>
      <c r="N40" s="55">
        <f t="shared" si="0"/>
        <v>0.93844064314673348</v>
      </c>
      <c r="O40" s="55">
        <f t="shared" si="0"/>
        <v>0.94092699808331581</v>
      </c>
      <c r="P40" s="55">
        <f t="shared" si="0"/>
        <v>0.8186874537702642</v>
      </c>
      <c r="Q40" s="55">
        <f t="shared" si="0"/>
        <v>0.75316319239011076</v>
      </c>
      <c r="R40" s="55">
        <f t="shared" si="0"/>
        <v>0.24367033650217368</v>
      </c>
      <c r="S40" s="55">
        <f t="shared" si="0"/>
        <v>0.35807030526098071</v>
      </c>
      <c r="T40" s="55">
        <f t="shared" si="0"/>
        <v>0.34286529937411281</v>
      </c>
      <c r="U40" s="55">
        <f t="shared" si="0"/>
        <v>0.30555706557597467</v>
      </c>
      <c r="V40" s="55">
        <f t="shared" si="0"/>
        <v>0.59816939254981816</v>
      </c>
      <c r="W40" s="55">
        <f t="shared" si="0"/>
        <v>0.59167188820543215</v>
      </c>
      <c r="X40" s="55">
        <f t="shared" si="0"/>
        <v>0.34295616403876417</v>
      </c>
      <c r="Y40" s="55">
        <f t="shared" si="0"/>
        <v>0.52688684064575209</v>
      </c>
      <c r="Z40" s="55">
        <f t="shared" si="0"/>
        <v>0.49643413182979335</v>
      </c>
      <c r="AA40" s="55">
        <f t="shared" si="0"/>
        <v>0.5398017996564406</v>
      </c>
      <c r="AB40" s="55">
        <f t="shared" si="0"/>
        <v>0.5626358971247728</v>
      </c>
      <c r="AC40" s="55">
        <f t="shared" si="0"/>
        <v>0.83836672954256364</v>
      </c>
      <c r="AD40" s="55">
        <f t="shared" si="0"/>
        <v>0.85322460253866295</v>
      </c>
      <c r="AE40" s="55">
        <f t="shared" si="0"/>
        <v>0.88222098539338978</v>
      </c>
      <c r="AF40" s="55">
        <f t="shared" si="0"/>
        <v>0.98605314378993458</v>
      </c>
    </row>
    <row r="41" spans="1:32" x14ac:dyDescent="0.25">
      <c r="B41" t="s">
        <v>12</v>
      </c>
      <c r="C41" s="55">
        <f t="shared" si="1"/>
        <v>0.36968581191694694</v>
      </c>
      <c r="D41" s="55">
        <f t="shared" si="0"/>
        <v>0.32308531637952365</v>
      </c>
      <c r="E41" s="55">
        <f t="shared" si="0"/>
        <v>0.28270811594060363</v>
      </c>
      <c r="F41" s="55">
        <f t="shared" si="0"/>
        <v>0.45922670685298167</v>
      </c>
      <c r="G41" s="55">
        <f t="shared" si="0"/>
        <v>0.5</v>
      </c>
      <c r="H41" s="55">
        <f t="shared" si="0"/>
        <v>0.52043559743029899</v>
      </c>
      <c r="I41" s="55">
        <f t="shared" si="0"/>
        <v>0.55031862199949733</v>
      </c>
      <c r="J41" s="55">
        <f t="shared" si="0"/>
        <v>0.45976670115311125</v>
      </c>
      <c r="K41" s="55">
        <f t="shared" si="0"/>
        <v>0.55223899276190491</v>
      </c>
      <c r="L41" s="55">
        <f t="shared" si="0"/>
        <v>0.58804325618412712</v>
      </c>
      <c r="M41" s="55">
        <f t="shared" si="0"/>
        <v>0.4931005514109239</v>
      </c>
      <c r="N41" s="55">
        <f t="shared" si="0"/>
        <v>0.92595803062033166</v>
      </c>
      <c r="O41" s="55">
        <f t="shared" si="0"/>
        <v>0.92885324522219936</v>
      </c>
      <c r="P41" s="55">
        <f t="shared" si="0"/>
        <v>0.79113655422019613</v>
      </c>
      <c r="Q41" s="55">
        <f t="shared" si="0"/>
        <v>0.72018641971329889</v>
      </c>
      <c r="R41" s="55">
        <f t="shared" si="0"/>
        <v>0.21326696717172353</v>
      </c>
      <c r="S41" s="55">
        <f t="shared" si="0"/>
        <v>0.32080491809449369</v>
      </c>
      <c r="T41" s="55">
        <f t="shared" si="0"/>
        <v>0.30629946601242125</v>
      </c>
      <c r="U41" s="55">
        <f t="shared" si="0"/>
        <v>0.27097930348483273</v>
      </c>
      <c r="V41" s="55">
        <f t="shared" si="0"/>
        <v>0.55817713703212923</v>
      </c>
      <c r="W41" s="55">
        <f t="shared" si="0"/>
        <v>0.55154451901282953</v>
      </c>
      <c r="X41" s="55">
        <f t="shared" si="0"/>
        <v>0.30638596118537353</v>
      </c>
      <c r="Y41" s="55">
        <f t="shared" si="0"/>
        <v>0.4860624310215092</v>
      </c>
      <c r="Z41" s="55">
        <f t="shared" si="0"/>
        <v>0.45568239984359743</v>
      </c>
      <c r="AA41" s="55">
        <f t="shared" si="0"/>
        <v>0.49902320252578358</v>
      </c>
      <c r="AB41" s="55">
        <f t="shared" si="0"/>
        <v>0.5220511455332919</v>
      </c>
      <c r="AC41" s="55">
        <f t="shared" si="0"/>
        <v>0.81278431634293269</v>
      </c>
      <c r="AD41" s="55">
        <f t="shared" si="0"/>
        <v>0.82924351604153401</v>
      </c>
      <c r="AE41" s="55">
        <f t="shared" si="0"/>
        <v>0.8616755457328793</v>
      </c>
      <c r="AF41" s="55">
        <f t="shared" si="0"/>
        <v>0.98256443087837408</v>
      </c>
    </row>
    <row r="42" spans="1:32" x14ac:dyDescent="0.25">
      <c r="B42" t="s">
        <v>15</v>
      </c>
      <c r="C42" s="55">
        <f t="shared" si="1"/>
        <v>0.35059194637330754</v>
      </c>
      <c r="D42" s="55">
        <f t="shared" si="0"/>
        <v>0.30504253174011864</v>
      </c>
      <c r="E42" s="55">
        <f t="shared" si="0"/>
        <v>0.26582948983642574</v>
      </c>
      <c r="F42" s="55">
        <f t="shared" si="0"/>
        <v>0.43896137247152661</v>
      </c>
      <c r="G42" s="55">
        <f t="shared" si="0"/>
        <v>0.47956440256970095</v>
      </c>
      <c r="H42" s="55">
        <f t="shared" si="0"/>
        <v>0.5</v>
      </c>
      <c r="I42" s="55">
        <f t="shared" si="0"/>
        <v>0.5299862083791349</v>
      </c>
      <c r="J42" s="55">
        <f t="shared" si="0"/>
        <v>0.43949763197446806</v>
      </c>
      <c r="K42" s="55">
        <f t="shared" si="0"/>
        <v>0.53191742365634798</v>
      </c>
      <c r="L42" s="55">
        <f t="shared" si="0"/>
        <v>0.56801795795357224</v>
      </c>
      <c r="M42" s="55">
        <f t="shared" si="0"/>
        <v>0.47267783797991747</v>
      </c>
      <c r="N42" s="55">
        <f t="shared" si="0"/>
        <v>0.91897896799562295</v>
      </c>
      <c r="O42" s="55">
        <f t="shared" si="0"/>
        <v>0.92209361381304855</v>
      </c>
      <c r="P42" s="55">
        <f t="shared" si="0"/>
        <v>0.77640919047137735</v>
      </c>
      <c r="Q42" s="55">
        <f t="shared" si="0"/>
        <v>0.70286420658855009</v>
      </c>
      <c r="R42" s="55">
        <f t="shared" si="0"/>
        <v>0.19897262031063367</v>
      </c>
      <c r="S42" s="55">
        <f t="shared" si="0"/>
        <v>0.30282152554933917</v>
      </c>
      <c r="T42" s="55">
        <f t="shared" si="0"/>
        <v>0.28871154210656763</v>
      </c>
      <c r="U42" s="55">
        <f t="shared" si="0"/>
        <v>0.25448433961081857</v>
      </c>
      <c r="V42" s="55">
        <f t="shared" si="0"/>
        <v>0.53789233626501998</v>
      </c>
      <c r="W42" s="55">
        <f t="shared" si="0"/>
        <v>0.53121896918332323</v>
      </c>
      <c r="X42" s="55">
        <f t="shared" si="0"/>
        <v>0.2887955880996344</v>
      </c>
      <c r="Y42" s="55">
        <f t="shared" si="0"/>
        <v>0.46565955009853333</v>
      </c>
      <c r="Z42" s="55">
        <f t="shared" si="0"/>
        <v>0.4354425652781837</v>
      </c>
      <c r="AA42" s="55">
        <f t="shared" si="0"/>
        <v>0.47858903442253764</v>
      </c>
      <c r="AB42" s="55">
        <f t="shared" si="0"/>
        <v>0.50161798647269462</v>
      </c>
      <c r="AC42" s="55">
        <f t="shared" si="0"/>
        <v>0.79902903547853821</v>
      </c>
      <c r="AD42" s="55">
        <f t="shared" si="0"/>
        <v>0.81628893085223786</v>
      </c>
      <c r="AE42" s="55">
        <f t="shared" si="0"/>
        <v>0.85046625322202496</v>
      </c>
      <c r="AF42" s="55">
        <f t="shared" si="0"/>
        <v>0.98053749023093828</v>
      </c>
    </row>
    <row r="43" spans="1:32" x14ac:dyDescent="0.25">
      <c r="B43" t="s">
        <v>16</v>
      </c>
      <c r="C43" s="55">
        <f t="shared" si="1"/>
        <v>0.32328426280279177</v>
      </c>
      <c r="D43" s="55">
        <f t="shared" si="0"/>
        <v>0.27945134500189778</v>
      </c>
      <c r="E43" s="55">
        <f t="shared" si="0"/>
        <v>0.24206828805886144</v>
      </c>
      <c r="F43" s="55">
        <f t="shared" si="0"/>
        <v>0.4095303318444804</v>
      </c>
      <c r="G43" s="55">
        <f t="shared" si="0"/>
        <v>0.44968137800050256</v>
      </c>
      <c r="H43" s="55">
        <f t="shared" si="0"/>
        <v>0.47001379162086521</v>
      </c>
      <c r="I43" s="55">
        <f t="shared" si="0"/>
        <v>0.5</v>
      </c>
      <c r="J43" s="55">
        <f t="shared" si="0"/>
        <v>0.41005848273920115</v>
      </c>
      <c r="K43" s="55">
        <f t="shared" si="0"/>
        <v>0.50193741783947199</v>
      </c>
      <c r="L43" s="55">
        <f t="shared" si="0"/>
        <v>0.53829328390921405</v>
      </c>
      <c r="M43" s="55">
        <f t="shared" si="0"/>
        <v>0.44284835387384835</v>
      </c>
      <c r="N43" s="55">
        <f t="shared" si="0"/>
        <v>0.90778951539004027</v>
      </c>
      <c r="O43" s="55">
        <f t="shared" si="0"/>
        <v>0.91124330043713508</v>
      </c>
      <c r="P43" s="55">
        <f t="shared" si="0"/>
        <v>0.75368453464522212</v>
      </c>
      <c r="Q43" s="55">
        <f t="shared" si="0"/>
        <v>0.67652636500386953</v>
      </c>
      <c r="R43" s="55">
        <f t="shared" si="0"/>
        <v>0.17912795439312398</v>
      </c>
      <c r="S43" s="55">
        <f t="shared" si="0"/>
        <v>0.27732515446495259</v>
      </c>
      <c r="T43" s="55">
        <f t="shared" si="0"/>
        <v>0.26384211236444988</v>
      </c>
      <c r="U43" s="55">
        <f t="shared" si="0"/>
        <v>0.23131537616011888</v>
      </c>
      <c r="V43" s="55">
        <f t="shared" si="0"/>
        <v>0.50793629491397185</v>
      </c>
      <c r="W43" s="55">
        <f t="shared" si="0"/>
        <v>0.50123663315988942</v>
      </c>
      <c r="X43" s="55">
        <f t="shared" si="0"/>
        <v>0.26392229756821139</v>
      </c>
      <c r="Y43" s="55">
        <f t="shared" si="0"/>
        <v>0.43589435138782923</v>
      </c>
      <c r="Z43" s="55">
        <f t="shared" si="0"/>
        <v>0.4060661527098976</v>
      </c>
      <c r="AA43" s="55">
        <f t="shared" si="0"/>
        <v>0.4487130184238739</v>
      </c>
      <c r="AB43" s="55">
        <f t="shared" si="0"/>
        <v>0.47162717364147977</v>
      </c>
      <c r="AC43" s="55">
        <f t="shared" si="0"/>
        <v>0.77769906750371476</v>
      </c>
      <c r="AD43" s="55">
        <f t="shared" si="0"/>
        <v>0.79612091651279193</v>
      </c>
      <c r="AE43" s="55">
        <f t="shared" si="0"/>
        <v>0.83286746550972557</v>
      </c>
      <c r="AF43" s="55">
        <f t="shared" si="0"/>
        <v>0.9771774977297607</v>
      </c>
    </row>
    <row r="44" spans="1:32" x14ac:dyDescent="0.25">
      <c r="B44" t="s">
        <v>18</v>
      </c>
      <c r="C44" s="55">
        <f t="shared" si="1"/>
        <v>0.40830233861160348</v>
      </c>
      <c r="D44" s="55">
        <f t="shared" si="0"/>
        <v>0.35994745368010855</v>
      </c>
      <c r="E44" s="55">
        <f t="shared" si="0"/>
        <v>0.31750993727569587</v>
      </c>
      <c r="F44" s="55">
        <f t="shared" si="0"/>
        <v>0.4994570253777979</v>
      </c>
      <c r="G44" s="55">
        <f t="shared" si="0"/>
        <v>0.54023329884688875</v>
      </c>
      <c r="H44" s="55">
        <f t="shared" si="0"/>
        <v>0.56050236802553177</v>
      </c>
      <c r="I44" s="55">
        <f t="shared" si="0"/>
        <v>0.58994151726079869</v>
      </c>
      <c r="J44" s="55">
        <f t="shared" si="0"/>
        <v>0.5</v>
      </c>
      <c r="K44" s="55">
        <f t="shared" si="0"/>
        <v>0.59182524632937794</v>
      </c>
      <c r="L44" s="55">
        <f t="shared" si="0"/>
        <v>0.62676698111190532</v>
      </c>
      <c r="M44" s="55">
        <f t="shared" si="0"/>
        <v>0.53336483625994568</v>
      </c>
      <c r="N44" s="55">
        <f t="shared" si="0"/>
        <v>0.93828690797612713</v>
      </c>
      <c r="O44" s="55">
        <f t="shared" si="0"/>
        <v>0.94077843358781166</v>
      </c>
      <c r="P44" s="55">
        <f t="shared" si="0"/>
        <v>0.81833780647319254</v>
      </c>
      <c r="Q44" s="55">
        <f t="shared" si="0"/>
        <v>0.75273979423158821</v>
      </c>
      <c r="R44" s="55">
        <f t="shared" si="0"/>
        <v>0.24325046562941599</v>
      </c>
      <c r="S44" s="55">
        <f t="shared" si="0"/>
        <v>0.35756435195840297</v>
      </c>
      <c r="T44" s="55">
        <f t="shared" si="0"/>
        <v>0.34236777626564074</v>
      </c>
      <c r="U44" s="55">
        <f t="shared" si="0"/>
        <v>0.30508404922614835</v>
      </c>
      <c r="V44" s="55">
        <f t="shared" si="0"/>
        <v>0.5976438915822252</v>
      </c>
      <c r="W44" s="55">
        <f t="shared" si="0"/>
        <v>0.59114413655777365</v>
      </c>
      <c r="X44" s="55">
        <f t="shared" si="0"/>
        <v>0.34245858790320272</v>
      </c>
      <c r="Y44" s="55">
        <f t="shared" si="0"/>
        <v>0.5263451524134205</v>
      </c>
      <c r="Z44" s="55">
        <f t="shared" si="0"/>
        <v>0.49589118380798702</v>
      </c>
      <c r="AA44" s="55">
        <f t="shared" si="0"/>
        <v>0.5392616639925284</v>
      </c>
      <c r="AB44" s="55">
        <f t="shared" si="0"/>
        <v>0.56209999589063819</v>
      </c>
      <c r="AC44" s="55">
        <f t="shared" si="0"/>
        <v>0.83804332539529802</v>
      </c>
      <c r="AD44" s="55">
        <f t="shared" si="0"/>
        <v>0.85292238312806878</v>
      </c>
      <c r="AE44" s="55">
        <f t="shared" si="0"/>
        <v>0.8819637713911197</v>
      </c>
      <c r="AF44" s="55">
        <f t="shared" si="0"/>
        <v>0.98601127278965439</v>
      </c>
    </row>
    <row r="45" spans="1:32" x14ac:dyDescent="0.25">
      <c r="B45" t="s">
        <v>20</v>
      </c>
      <c r="C45" s="55">
        <f t="shared" si="1"/>
        <v>0.32155394032230661</v>
      </c>
      <c r="D45" s="55">
        <f t="shared" si="0"/>
        <v>0.2778383091338561</v>
      </c>
      <c r="E45" s="55">
        <f t="shared" si="0"/>
        <v>0.24057771394622379</v>
      </c>
      <c r="F45" s="55">
        <f t="shared" si="0"/>
        <v>0.40764723051684171</v>
      </c>
      <c r="G45" s="55">
        <f t="shared" si="0"/>
        <v>0.4477610072380952</v>
      </c>
      <c r="H45" s="55">
        <f t="shared" si="0"/>
        <v>0.46808257634365175</v>
      </c>
      <c r="I45" s="55">
        <f t="shared" si="0"/>
        <v>0.49806258216052823</v>
      </c>
      <c r="J45" s="55">
        <f t="shared" si="0"/>
        <v>0.40817475367062184</v>
      </c>
      <c r="K45" s="55">
        <f t="shared" si="0"/>
        <v>0.5</v>
      </c>
      <c r="L45" s="55">
        <f t="shared" si="0"/>
        <v>0.53636489228981266</v>
      </c>
      <c r="M45" s="55">
        <f t="shared" si="0"/>
        <v>0.44093283571646902</v>
      </c>
      <c r="N45" s="55">
        <f t="shared" si="0"/>
        <v>0.90702741405484999</v>
      </c>
      <c r="O45" s="55">
        <f t="shared" si="0"/>
        <v>0.91050375398612549</v>
      </c>
      <c r="P45" s="55">
        <f t="shared" si="0"/>
        <v>0.75217370331085798</v>
      </c>
      <c r="Q45" s="55">
        <f t="shared" si="0"/>
        <v>0.67479152195015357</v>
      </c>
      <c r="R45" s="55">
        <f t="shared" si="0"/>
        <v>0.17789405160865115</v>
      </c>
      <c r="S45" s="55">
        <f t="shared" si="0"/>
        <v>0.2757185182065453</v>
      </c>
      <c r="T45" s="55">
        <f t="shared" si="0"/>
        <v>0.26227762890553807</v>
      </c>
      <c r="U45" s="55">
        <f t="shared" si="0"/>
        <v>0.22986402867052047</v>
      </c>
      <c r="V45" s="55">
        <f t="shared" si="0"/>
        <v>0.50599918551156897</v>
      </c>
      <c r="W45" s="55">
        <f t="shared" si="0"/>
        <v>0.49929920970636266</v>
      </c>
      <c r="X45" s="55">
        <f t="shared" si="0"/>
        <v>0.26235755534279426</v>
      </c>
      <c r="Y45" s="55">
        <f t="shared" si="0"/>
        <v>0.4339843974728127</v>
      </c>
      <c r="Z45" s="55">
        <f t="shared" si="0"/>
        <v>0.40418726018219681</v>
      </c>
      <c r="AA45" s="55">
        <f t="shared" si="0"/>
        <v>0.4467932983390478</v>
      </c>
      <c r="AB45" s="55">
        <f t="shared" si="0"/>
        <v>0.46969532786798118</v>
      </c>
      <c r="AC45" s="55">
        <f t="shared" si="0"/>
        <v>0.77627652739462505</v>
      </c>
      <c r="AD45" s="55">
        <f t="shared" si="0"/>
        <v>0.79477250740585736</v>
      </c>
      <c r="AE45" s="55">
        <f t="shared" si="0"/>
        <v>0.83168455512148154</v>
      </c>
      <c r="AF45" s="55">
        <f t="shared" si="0"/>
        <v>0.97694380609661924</v>
      </c>
    </row>
    <row r="46" spans="1:32" x14ac:dyDescent="0.25">
      <c r="B46" t="s">
        <v>22</v>
      </c>
      <c r="C46" s="55">
        <f t="shared" si="1"/>
        <v>0.28982711251920712</v>
      </c>
      <c r="D46" s="55">
        <f t="shared" si="0"/>
        <v>0.24844436293410935</v>
      </c>
      <c r="E46" s="55">
        <f t="shared" si="0"/>
        <v>0.21356599643414897</v>
      </c>
      <c r="F46" s="55">
        <f t="shared" si="0"/>
        <v>0.37271953971856608</v>
      </c>
      <c r="G46" s="55">
        <f t="shared" si="0"/>
        <v>0.41195674381587277</v>
      </c>
      <c r="H46" s="55">
        <f t="shared" si="0"/>
        <v>0.43198204204642782</v>
      </c>
      <c r="I46" s="55">
        <f t="shared" si="0"/>
        <v>0.46170671609078584</v>
      </c>
      <c r="J46" s="55">
        <f t="shared" si="0"/>
        <v>0.37323301888809463</v>
      </c>
      <c r="K46" s="55">
        <f t="shared" si="0"/>
        <v>0.46363510771018746</v>
      </c>
      <c r="L46" s="55">
        <f t="shared" si="0"/>
        <v>0.5</v>
      </c>
      <c r="M46" s="55">
        <f t="shared" ref="D46:AF55" si="2">COMBIN(6,3)*M12^4*(1-M12)^3+COMBIN(4,4)*M12^4+COMBIN(4,3)*M12^4*(1-M12)^1+COMBIN(5,2)*M12^4*(1-M12)^2</f>
        <v>0.40525042484241292</v>
      </c>
      <c r="N46" s="55">
        <f t="shared" si="2"/>
        <v>0.8917659953273428</v>
      </c>
      <c r="O46" s="55">
        <f t="shared" si="2"/>
        <v>0.89568020685430971</v>
      </c>
      <c r="P46" s="55">
        <f t="shared" si="2"/>
        <v>0.72281856531785438</v>
      </c>
      <c r="Q46" s="55">
        <f t="shared" si="2"/>
        <v>0.64146705959244066</v>
      </c>
      <c r="R46" s="55">
        <f t="shared" si="2"/>
        <v>0.15576225508944425</v>
      </c>
      <c r="S46" s="55">
        <f t="shared" si="2"/>
        <v>0.24645021501406406</v>
      </c>
      <c r="T46" s="55">
        <f t="shared" si="2"/>
        <v>0.23383349284629196</v>
      </c>
      <c r="U46" s="55">
        <f t="shared" si="2"/>
        <v>0.20360686137137915</v>
      </c>
      <c r="V46" s="55">
        <f t="shared" si="2"/>
        <v>0.46961211604397973</v>
      </c>
      <c r="W46" s="55">
        <f t="shared" si="2"/>
        <v>0.46293747732373036</v>
      </c>
      <c r="X46" s="55">
        <f t="shared" si="2"/>
        <v>0.23390837706780288</v>
      </c>
      <c r="Y46" s="55">
        <f t="shared" si="2"/>
        <v>0.39843750101439268</v>
      </c>
      <c r="Z46" s="55">
        <f t="shared" si="2"/>
        <v>0.36935334865229213</v>
      </c>
      <c r="AA46" s="55">
        <f t="shared" si="2"/>
        <v>0.41100562203848834</v>
      </c>
      <c r="AB46" s="55">
        <f t="shared" si="2"/>
        <v>0.43357553928704795</v>
      </c>
      <c r="AC46" s="55">
        <f t="shared" si="2"/>
        <v>0.74852991748561359</v>
      </c>
      <c r="AD46" s="55">
        <f t="shared" si="2"/>
        <v>0.76839022319486983</v>
      </c>
      <c r="AE46" s="55">
        <f t="shared" si="2"/>
        <v>0.80838642536813976</v>
      </c>
      <c r="AF46" s="55">
        <f t="shared" si="2"/>
        <v>0.97213677555064604</v>
      </c>
    </row>
    <row r="47" spans="1:32" x14ac:dyDescent="0.25">
      <c r="B47" t="s">
        <v>23</v>
      </c>
      <c r="C47" s="55">
        <f t="shared" si="1"/>
        <v>0.37621054196852427</v>
      </c>
      <c r="D47" s="55">
        <f t="shared" si="2"/>
        <v>0.32927880800895115</v>
      </c>
      <c r="E47" s="55">
        <f t="shared" si="2"/>
        <v>0.28852572802194554</v>
      </c>
      <c r="F47" s="55">
        <f t="shared" si="2"/>
        <v>0.46609424392695831</v>
      </c>
      <c r="G47" s="55">
        <f t="shared" si="2"/>
        <v>0.5068994485890761</v>
      </c>
      <c r="H47" s="55">
        <f t="shared" si="2"/>
        <v>0.52732216202008253</v>
      </c>
      <c r="I47" s="55">
        <f t="shared" si="2"/>
        <v>0.55715164612615165</v>
      </c>
      <c r="J47" s="55">
        <f t="shared" si="2"/>
        <v>0.46663516374005465</v>
      </c>
      <c r="K47" s="55">
        <f t="shared" si="2"/>
        <v>0.55906716428353098</v>
      </c>
      <c r="L47" s="55">
        <f t="shared" si="2"/>
        <v>0.59474957515758708</v>
      </c>
      <c r="M47" s="55">
        <f t="shared" si="2"/>
        <v>0.5</v>
      </c>
      <c r="N47" s="55">
        <f t="shared" si="2"/>
        <v>0.9282003885039356</v>
      </c>
      <c r="O47" s="55">
        <f t="shared" si="2"/>
        <v>0.93102374499438367</v>
      </c>
      <c r="P47" s="55">
        <f t="shared" si="2"/>
        <v>0.79596659150875571</v>
      </c>
      <c r="Q47" s="55">
        <f t="shared" si="2"/>
        <v>0.72591268569720768</v>
      </c>
      <c r="R47" s="55">
        <f t="shared" si="2"/>
        <v>0.21823150176913569</v>
      </c>
      <c r="S47" s="55">
        <f t="shared" si="2"/>
        <v>0.32697941812364834</v>
      </c>
      <c r="T47" s="55">
        <f t="shared" si="2"/>
        <v>0.31234695088793207</v>
      </c>
      <c r="U47" s="55">
        <f t="shared" si="2"/>
        <v>0.2766716566131629</v>
      </c>
      <c r="V47" s="55">
        <f t="shared" si="2"/>
        <v>0.56498922217100811</v>
      </c>
      <c r="W47" s="55">
        <f t="shared" si="2"/>
        <v>0.5583744651237702</v>
      </c>
      <c r="X47" s="55">
        <f t="shared" si="2"/>
        <v>0.31243423546170196</v>
      </c>
      <c r="Y47" s="55">
        <f t="shared" si="2"/>
        <v>0.4929596157582905</v>
      </c>
      <c r="Z47" s="55">
        <f t="shared" si="2"/>
        <v>0.46254352610543481</v>
      </c>
      <c r="AA47" s="55">
        <f t="shared" si="2"/>
        <v>0.50592278458259721</v>
      </c>
      <c r="AB47" s="55">
        <f t="shared" si="2"/>
        <v>0.52893586996396524</v>
      </c>
      <c r="AC47" s="55">
        <f t="shared" si="2"/>
        <v>0.8172835683229065</v>
      </c>
      <c r="AD47" s="55">
        <f t="shared" si="2"/>
        <v>0.83347186946154628</v>
      </c>
      <c r="AE47" s="55">
        <f t="shared" si="2"/>
        <v>0.86531771264096191</v>
      </c>
      <c r="AF47" s="55">
        <f t="shared" si="2"/>
        <v>0.98320421279156989</v>
      </c>
    </row>
    <row r="48" spans="1:32" x14ac:dyDescent="0.25">
      <c r="B48" t="s">
        <v>24</v>
      </c>
      <c r="C48" s="55">
        <f t="shared" si="1"/>
        <v>3.9733323631177854E-2</v>
      </c>
      <c r="D48" s="55">
        <f t="shared" si="2"/>
        <v>3.0840236388241488E-2</v>
      </c>
      <c r="E48" s="55">
        <f t="shared" si="2"/>
        <v>2.4259446157692058E-2</v>
      </c>
      <c r="F48" s="55">
        <f t="shared" si="2"/>
        <v>6.1559356853266224E-2</v>
      </c>
      <c r="G48" s="55">
        <f t="shared" si="2"/>
        <v>7.4041969379668393E-2</v>
      </c>
      <c r="H48" s="55">
        <f t="shared" si="2"/>
        <v>8.1021032004376908E-2</v>
      </c>
      <c r="I48" s="55">
        <f t="shared" si="2"/>
        <v>9.2210484609959786E-2</v>
      </c>
      <c r="J48" s="55">
        <f t="shared" si="2"/>
        <v>6.1713092023872942E-2</v>
      </c>
      <c r="K48" s="55">
        <f t="shared" si="2"/>
        <v>9.2972585945150135E-2</v>
      </c>
      <c r="L48" s="55">
        <f t="shared" si="2"/>
        <v>0.10823400467265698</v>
      </c>
      <c r="M48" s="55">
        <f t="shared" si="2"/>
        <v>7.179961149606455E-2</v>
      </c>
      <c r="N48" s="55">
        <f t="shared" si="2"/>
        <v>0.5</v>
      </c>
      <c r="O48" s="55">
        <f t="shared" si="2"/>
        <v>0.50894079172098716</v>
      </c>
      <c r="P48" s="55">
        <f t="shared" si="2"/>
        <v>0.25470651913311282</v>
      </c>
      <c r="Q48" s="55">
        <f t="shared" si="2"/>
        <v>0.18782894134224201</v>
      </c>
      <c r="R48" s="55">
        <f t="shared" si="2"/>
        <v>1.5040543459154754E-2</v>
      </c>
      <c r="S48" s="55">
        <f t="shared" si="2"/>
        <v>3.0442131615933253E-2</v>
      </c>
      <c r="T48" s="55">
        <f t="shared" si="2"/>
        <v>2.7985647145522742E-2</v>
      </c>
      <c r="U48" s="55">
        <f t="shared" si="2"/>
        <v>2.2525034145894091E-2</v>
      </c>
      <c r="V48" s="55">
        <f t="shared" si="2"/>
        <v>9.5363876751326265E-2</v>
      </c>
      <c r="W48" s="55">
        <f t="shared" si="2"/>
        <v>9.2696355826375323E-2</v>
      </c>
      <c r="X48" s="55">
        <f t="shared" si="2"/>
        <v>2.7999913053344695E-2</v>
      </c>
      <c r="Y48" s="55">
        <f t="shared" si="2"/>
        <v>6.9568730201864479E-2</v>
      </c>
      <c r="Z48" s="55">
        <f t="shared" si="2"/>
        <v>6.0557586341377895E-2</v>
      </c>
      <c r="AA48" s="55">
        <f t="shared" si="2"/>
        <v>7.3721111888610691E-2</v>
      </c>
      <c r="AB48" s="55">
        <f t="shared" si="2"/>
        <v>8.1595152328454074E-2</v>
      </c>
      <c r="AC48" s="55">
        <f t="shared" si="2"/>
        <v>0.28059174149249044</v>
      </c>
      <c r="AD48" s="55">
        <f t="shared" si="2"/>
        <v>0.30257421629362891</v>
      </c>
      <c r="AE48" s="55">
        <f t="shared" si="2"/>
        <v>0.35322512894436359</v>
      </c>
      <c r="AF48" s="55">
        <f t="shared" si="2"/>
        <v>0.76680992913151125</v>
      </c>
    </row>
    <row r="49" spans="2:32" x14ac:dyDescent="0.25">
      <c r="B49" t="s">
        <v>26</v>
      </c>
      <c r="C49" s="55">
        <f t="shared" si="1"/>
        <v>3.8019679076060818E-2</v>
      </c>
      <c r="D49" s="55">
        <f t="shared" si="2"/>
        <v>2.9466674792857431E-2</v>
      </c>
      <c r="E49" s="55">
        <f t="shared" si="2"/>
        <v>2.3149107716550432E-2</v>
      </c>
      <c r="F49" s="55">
        <f t="shared" si="2"/>
        <v>5.907300191668402E-2</v>
      </c>
      <c r="G49" s="55">
        <f t="shared" si="2"/>
        <v>7.1146754777800414E-2</v>
      </c>
      <c r="H49" s="55">
        <f t="shared" si="2"/>
        <v>7.7906386186951532E-2</v>
      </c>
      <c r="I49" s="55">
        <f t="shared" si="2"/>
        <v>8.8756699562865068E-2</v>
      </c>
      <c r="J49" s="55">
        <f t="shared" si="2"/>
        <v>5.922156641218837E-2</v>
      </c>
      <c r="K49" s="55">
        <f t="shared" si="2"/>
        <v>8.9496246013874542E-2</v>
      </c>
      <c r="L49" s="55">
        <f t="shared" si="2"/>
        <v>0.10431979314569012</v>
      </c>
      <c r="M49" s="55">
        <f t="shared" si="2"/>
        <v>6.8976255005616049E-2</v>
      </c>
      <c r="N49" s="55">
        <f t="shared" si="2"/>
        <v>0.49105920827901328</v>
      </c>
      <c r="O49" s="55">
        <f t="shared" si="2"/>
        <v>0.5</v>
      </c>
      <c r="P49" s="55">
        <f t="shared" si="2"/>
        <v>0.24766853148657111</v>
      </c>
      <c r="Q49" s="55">
        <f t="shared" si="2"/>
        <v>0.18199949541022409</v>
      </c>
      <c r="R49" s="55">
        <f t="shared" si="2"/>
        <v>1.4319220955430673E-2</v>
      </c>
      <c r="S49" s="55">
        <f t="shared" si="2"/>
        <v>2.9084195958941097E-2</v>
      </c>
      <c r="T49" s="55">
        <f t="shared" si="2"/>
        <v>2.6724954398372802E-2</v>
      </c>
      <c r="U49" s="55">
        <f t="shared" si="2"/>
        <v>2.1485930938601835E-2</v>
      </c>
      <c r="V49" s="55">
        <f t="shared" si="2"/>
        <v>9.1817201340286134E-2</v>
      </c>
      <c r="W49" s="55">
        <f t="shared" si="2"/>
        <v>8.9228183296372637E-2</v>
      </c>
      <c r="X49" s="55">
        <f t="shared" si="2"/>
        <v>2.6738651392499941E-2</v>
      </c>
      <c r="Y49" s="55">
        <f t="shared" si="2"/>
        <v>6.6817538508618199E-2</v>
      </c>
      <c r="Z49" s="55">
        <f t="shared" si="2"/>
        <v>5.8105010709810917E-2</v>
      </c>
      <c r="AA49" s="55">
        <f t="shared" si="2"/>
        <v>7.0836138222785644E-2</v>
      </c>
      <c r="AB49" s="55">
        <f t="shared" si="2"/>
        <v>7.8462732556999787E-2</v>
      </c>
      <c r="AC49" s="55">
        <f t="shared" si="2"/>
        <v>0.27317204445466819</v>
      </c>
      <c r="AD49" s="55">
        <f t="shared" si="2"/>
        <v>0.29486587666662617</v>
      </c>
      <c r="AE49" s="55">
        <f t="shared" si="2"/>
        <v>0.3449712773115825</v>
      </c>
      <c r="AF49" s="55">
        <f t="shared" si="2"/>
        <v>0.76000971937413209</v>
      </c>
    </row>
    <row r="50" spans="2:32" x14ac:dyDescent="0.25">
      <c r="B50" t="s">
        <v>28</v>
      </c>
      <c r="C50" s="55">
        <f t="shared" si="1"/>
        <v>0.12850079829609665</v>
      </c>
      <c r="D50" s="55">
        <f t="shared" si="2"/>
        <v>0.10474887909560249</v>
      </c>
      <c r="E50" s="55">
        <f t="shared" si="2"/>
        <v>8.6043749576820275E-2</v>
      </c>
      <c r="F50" s="55">
        <f t="shared" si="2"/>
        <v>0.18131254622973597</v>
      </c>
      <c r="G50" s="55">
        <f t="shared" si="2"/>
        <v>0.20886344577980387</v>
      </c>
      <c r="H50" s="55">
        <f t="shared" si="2"/>
        <v>0.22359080952862276</v>
      </c>
      <c r="I50" s="55">
        <f t="shared" si="2"/>
        <v>0.24631546535477808</v>
      </c>
      <c r="J50" s="55">
        <f t="shared" si="2"/>
        <v>0.18166219352680729</v>
      </c>
      <c r="K50" s="55">
        <f t="shared" si="2"/>
        <v>0.24782629668914186</v>
      </c>
      <c r="L50" s="55">
        <f t="shared" si="2"/>
        <v>0.27718143468214562</v>
      </c>
      <c r="M50" s="55">
        <f t="shared" si="2"/>
        <v>0.20403340849124435</v>
      </c>
      <c r="N50" s="55">
        <f t="shared" si="2"/>
        <v>0.74529348086688718</v>
      </c>
      <c r="O50" s="55">
        <f t="shared" si="2"/>
        <v>0.75233146851342869</v>
      </c>
      <c r="P50" s="55">
        <f t="shared" si="2"/>
        <v>0.5</v>
      </c>
      <c r="Q50" s="55">
        <f t="shared" si="2"/>
        <v>0.40887953590619058</v>
      </c>
      <c r="R50" s="55">
        <f t="shared" si="2"/>
        <v>5.7680913931521083E-2</v>
      </c>
      <c r="S50" s="55">
        <f t="shared" si="2"/>
        <v>0.10364718123010766</v>
      </c>
      <c r="T50" s="55">
        <f t="shared" si="2"/>
        <v>9.6767627639325449E-2</v>
      </c>
      <c r="U50" s="55">
        <f t="shared" si="2"/>
        <v>8.092195772532311E-2</v>
      </c>
      <c r="V50" s="55">
        <f t="shared" si="2"/>
        <v>0.25253793858990448</v>
      </c>
      <c r="W50" s="55">
        <f t="shared" si="2"/>
        <v>0.24727920378380147</v>
      </c>
      <c r="X50" s="55">
        <f t="shared" si="2"/>
        <v>9.6807998105284856E-2</v>
      </c>
      <c r="Y50" s="55">
        <f t="shared" si="2"/>
        <v>0.19917826134160194</v>
      </c>
      <c r="Z50" s="55">
        <f t="shared" si="2"/>
        <v>0.17902742212788206</v>
      </c>
      <c r="AA50" s="55">
        <f t="shared" si="2"/>
        <v>0.20817533994323484</v>
      </c>
      <c r="AB50" s="55">
        <f t="shared" si="2"/>
        <v>0.22478258781081684</v>
      </c>
      <c r="AC50" s="55">
        <f t="shared" si="2"/>
        <v>0.53173767046528764</v>
      </c>
      <c r="AD50" s="55">
        <f t="shared" si="2"/>
        <v>0.55737135526557191</v>
      </c>
      <c r="AE50" s="55">
        <f t="shared" si="2"/>
        <v>0.61232495670870135</v>
      </c>
      <c r="AF50" s="55">
        <f t="shared" si="2"/>
        <v>0.91431479075410915</v>
      </c>
    </row>
    <row r="51" spans="2:32" x14ac:dyDescent="0.25">
      <c r="B51" t="s">
        <v>29</v>
      </c>
      <c r="C51" s="55">
        <f t="shared" si="1"/>
        <v>0.18127981008493455</v>
      </c>
      <c r="D51" s="55">
        <f t="shared" si="2"/>
        <v>0.15061979031662379</v>
      </c>
      <c r="E51" s="55">
        <f t="shared" si="2"/>
        <v>0.12585883467223352</v>
      </c>
      <c r="F51" s="55">
        <f t="shared" si="2"/>
        <v>0.24683680760988935</v>
      </c>
      <c r="G51" s="55">
        <f t="shared" si="2"/>
        <v>0.279813580286701</v>
      </c>
      <c r="H51" s="55">
        <f t="shared" si="2"/>
        <v>0.29713579341144991</v>
      </c>
      <c r="I51" s="55">
        <f t="shared" si="2"/>
        <v>0.32347363499613058</v>
      </c>
      <c r="J51" s="55">
        <f t="shared" si="2"/>
        <v>0.24726020576841162</v>
      </c>
      <c r="K51" s="55">
        <f t="shared" si="2"/>
        <v>0.32520847804984637</v>
      </c>
      <c r="L51" s="55">
        <f t="shared" si="2"/>
        <v>0.35853294040755945</v>
      </c>
      <c r="M51" s="55">
        <f t="shared" si="2"/>
        <v>0.27408731430279254</v>
      </c>
      <c r="N51" s="55">
        <f t="shared" si="2"/>
        <v>0.81217105865775818</v>
      </c>
      <c r="O51" s="55">
        <f t="shared" si="2"/>
        <v>0.81800050458977625</v>
      </c>
      <c r="P51" s="55">
        <f t="shared" si="2"/>
        <v>0.59112046409380925</v>
      </c>
      <c r="Q51" s="55">
        <f t="shared" si="2"/>
        <v>0.5</v>
      </c>
      <c r="R51" s="55">
        <f t="shared" si="2"/>
        <v>8.7067168299672967E-2</v>
      </c>
      <c r="S51" s="55">
        <f t="shared" si="2"/>
        <v>0.14917730052822045</v>
      </c>
      <c r="T51" s="55">
        <f t="shared" si="2"/>
        <v>0.1401258865931479</v>
      </c>
      <c r="U51" s="55">
        <f t="shared" si="2"/>
        <v>0.11897284332643907</v>
      </c>
      <c r="V51" s="55">
        <f t="shared" si="2"/>
        <v>0.33060606725704411</v>
      </c>
      <c r="W51" s="55">
        <f t="shared" si="2"/>
        <v>0.32458049592678012</v>
      </c>
      <c r="X51" s="55">
        <f t="shared" si="2"/>
        <v>0.14017922630969609</v>
      </c>
      <c r="Y51" s="55">
        <f t="shared" si="2"/>
        <v>0.26830818600449013</v>
      </c>
      <c r="Z51" s="55">
        <f t="shared" si="2"/>
        <v>0.24406647546552812</v>
      </c>
      <c r="AA51" s="55">
        <f t="shared" si="2"/>
        <v>0.2789991803755198</v>
      </c>
      <c r="AB51" s="55">
        <f t="shared" si="2"/>
        <v>0.29852866347538171</v>
      </c>
      <c r="AC51" s="55">
        <f t="shared" si="2"/>
        <v>0.62167553672029796</v>
      </c>
      <c r="AD51" s="55">
        <f t="shared" si="2"/>
        <v>0.6459231951395864</v>
      </c>
      <c r="AE51" s="55">
        <f t="shared" si="2"/>
        <v>0.69662895976113248</v>
      </c>
      <c r="AF51" s="55">
        <f t="shared" si="2"/>
        <v>0.94330643610423393</v>
      </c>
    </row>
    <row r="52" spans="2:32" x14ac:dyDescent="0.25">
      <c r="B52" t="s">
        <v>30</v>
      </c>
      <c r="C52" s="55">
        <f t="shared" si="1"/>
        <v>0.67952315631729809</v>
      </c>
      <c r="D52" s="55">
        <f t="shared" si="2"/>
        <v>0.63306665400017703</v>
      </c>
      <c r="E52" s="55">
        <f t="shared" si="2"/>
        <v>0.58845071310041275</v>
      </c>
      <c r="F52" s="55">
        <f t="shared" si="2"/>
        <v>0.75632966349782649</v>
      </c>
      <c r="G52" s="55">
        <f t="shared" si="2"/>
        <v>0.78673303282827645</v>
      </c>
      <c r="H52" s="55">
        <f t="shared" si="2"/>
        <v>0.80102737968936633</v>
      </c>
      <c r="I52" s="55">
        <f t="shared" si="2"/>
        <v>0.8208720456068761</v>
      </c>
      <c r="J52" s="55">
        <f t="shared" si="2"/>
        <v>0.75674953437058401</v>
      </c>
      <c r="K52" s="55">
        <f t="shared" si="2"/>
        <v>0.82210594839134865</v>
      </c>
      <c r="L52" s="55">
        <f t="shared" si="2"/>
        <v>0.84423774491055548</v>
      </c>
      <c r="M52" s="55">
        <f t="shared" si="2"/>
        <v>0.78176849823086436</v>
      </c>
      <c r="N52" s="55">
        <f t="shared" si="2"/>
        <v>0.98495945654084516</v>
      </c>
      <c r="O52" s="55">
        <f t="shared" si="2"/>
        <v>0.98568077904456941</v>
      </c>
      <c r="P52" s="55">
        <f t="shared" si="2"/>
        <v>0.9423190860684787</v>
      </c>
      <c r="Q52" s="55">
        <f t="shared" si="2"/>
        <v>0.9129328317003268</v>
      </c>
      <c r="R52" s="55">
        <f t="shared" si="2"/>
        <v>0.5</v>
      </c>
      <c r="S52" s="55">
        <f t="shared" si="2"/>
        <v>0.63066131161584604</v>
      </c>
      <c r="T52" s="55">
        <f t="shared" si="2"/>
        <v>0.61505009738752614</v>
      </c>
      <c r="U52" s="55">
        <f t="shared" si="2"/>
        <v>0.57463032417594229</v>
      </c>
      <c r="V52" s="55">
        <f t="shared" si="2"/>
        <v>0.82589061824915655</v>
      </c>
      <c r="W52" s="55">
        <f t="shared" si="2"/>
        <v>0.82166028989287165</v>
      </c>
      <c r="X52" s="55">
        <f t="shared" si="2"/>
        <v>0.61514481308313096</v>
      </c>
      <c r="Y52" s="55">
        <f t="shared" si="2"/>
        <v>0.77663019909709696</v>
      </c>
      <c r="Z52" s="55">
        <f t="shared" si="2"/>
        <v>0.75356189715173949</v>
      </c>
      <c r="AA52" s="55">
        <f t="shared" si="2"/>
        <v>0.78603449179454143</v>
      </c>
      <c r="AB52" s="55">
        <f t="shared" si="2"/>
        <v>0.80213183956290235</v>
      </c>
      <c r="AC52" s="55">
        <f t="shared" si="2"/>
        <v>0.95032342983960028</v>
      </c>
      <c r="AD52" s="55">
        <f t="shared" si="2"/>
        <v>0.95611456762488545</v>
      </c>
      <c r="AE52" s="55">
        <f t="shared" si="2"/>
        <v>0.96678316168718326</v>
      </c>
      <c r="AF52" s="55">
        <f t="shared" si="2"/>
        <v>0.99727200004392436</v>
      </c>
    </row>
    <row r="53" spans="2:32" x14ac:dyDescent="0.25">
      <c r="B53" t="s">
        <v>31</v>
      </c>
      <c r="C53" s="55">
        <f t="shared" si="1"/>
        <v>0.55307129660659338</v>
      </c>
      <c r="D53" s="55">
        <f t="shared" si="2"/>
        <v>0.50255498290989542</v>
      </c>
      <c r="E53" s="55">
        <f t="shared" si="2"/>
        <v>0.45608260862547734</v>
      </c>
      <c r="F53" s="55">
        <f t="shared" si="2"/>
        <v>0.64192969473901917</v>
      </c>
      <c r="G53" s="55">
        <f t="shared" si="2"/>
        <v>0.67919508190550637</v>
      </c>
      <c r="H53" s="55">
        <f t="shared" si="2"/>
        <v>0.69717847445066083</v>
      </c>
      <c r="I53" s="55">
        <f t="shared" si="2"/>
        <v>0.72267484553504757</v>
      </c>
      <c r="J53" s="55">
        <f t="shared" si="2"/>
        <v>0.64243564804159714</v>
      </c>
      <c r="K53" s="55">
        <f t="shared" si="2"/>
        <v>0.72428148179345464</v>
      </c>
      <c r="L53" s="55">
        <f t="shared" si="2"/>
        <v>0.75354978498593617</v>
      </c>
      <c r="M53" s="55">
        <f t="shared" si="2"/>
        <v>0.67302058187635172</v>
      </c>
      <c r="N53" s="55">
        <f t="shared" si="2"/>
        <v>0.96955786838406666</v>
      </c>
      <c r="O53" s="55">
        <f t="shared" si="2"/>
        <v>0.97091580404105893</v>
      </c>
      <c r="P53" s="55">
        <f t="shared" si="2"/>
        <v>0.89635281876989215</v>
      </c>
      <c r="Q53" s="55">
        <f t="shared" si="2"/>
        <v>0.8508226994717798</v>
      </c>
      <c r="R53" s="55">
        <f t="shared" si="2"/>
        <v>0.36933868838415379</v>
      </c>
      <c r="S53" s="55">
        <f t="shared" si="2"/>
        <v>0.5</v>
      </c>
      <c r="T53" s="55">
        <f t="shared" si="2"/>
        <v>0.48355689514366429</v>
      </c>
      <c r="U53" s="55">
        <f t="shared" si="2"/>
        <v>0.44206974433824342</v>
      </c>
      <c r="V53" s="55">
        <f t="shared" si="2"/>
        <v>0.72922552797346629</v>
      </c>
      <c r="W53" s="55">
        <f t="shared" si="2"/>
        <v>0.72370090393151232</v>
      </c>
      <c r="X53" s="55">
        <f t="shared" si="2"/>
        <v>0.48365593753856595</v>
      </c>
      <c r="Y53" s="55">
        <f t="shared" si="2"/>
        <v>0.66666757012244493</v>
      </c>
      <c r="Z53" s="55">
        <f t="shared" si="2"/>
        <v>0.6386003542535299</v>
      </c>
      <c r="AA53" s="55">
        <f t="shared" si="2"/>
        <v>0.67832410921988662</v>
      </c>
      <c r="AB53" s="55">
        <f t="shared" si="2"/>
        <v>0.6985809632641109</v>
      </c>
      <c r="AC53" s="55">
        <f t="shared" si="2"/>
        <v>0.90931693862326068</v>
      </c>
      <c r="AD53" s="55">
        <f t="shared" si="2"/>
        <v>0.91887805769583797</v>
      </c>
      <c r="AE53" s="55">
        <f t="shared" si="2"/>
        <v>0.93695190096195025</v>
      </c>
      <c r="AF53" s="55">
        <f t="shared" si="2"/>
        <v>0.99391279771253216</v>
      </c>
    </row>
    <row r="54" spans="2:32" x14ac:dyDescent="0.25">
      <c r="B54" t="s">
        <v>32</v>
      </c>
      <c r="C54" s="55">
        <f t="shared" si="1"/>
        <v>0.5693118226164372</v>
      </c>
      <c r="D54" s="55">
        <f t="shared" si="2"/>
        <v>0.51899541904958701</v>
      </c>
      <c r="E54" s="55">
        <f t="shared" si="2"/>
        <v>0.47245917236494489</v>
      </c>
      <c r="F54" s="55">
        <f t="shared" si="2"/>
        <v>0.65713470062588686</v>
      </c>
      <c r="G54" s="55">
        <f t="shared" si="2"/>
        <v>0.6937005339875788</v>
      </c>
      <c r="H54" s="55">
        <f t="shared" si="2"/>
        <v>0.71128845789343254</v>
      </c>
      <c r="I54" s="55">
        <f t="shared" si="2"/>
        <v>0.73615788763555012</v>
      </c>
      <c r="J54" s="55">
        <f t="shared" si="2"/>
        <v>0.65763222373435903</v>
      </c>
      <c r="K54" s="55">
        <f t="shared" si="2"/>
        <v>0.7377223710944617</v>
      </c>
      <c r="L54" s="55">
        <f t="shared" si="2"/>
        <v>0.76616650715370804</v>
      </c>
      <c r="M54" s="55">
        <f t="shared" si="2"/>
        <v>0.68765304911206793</v>
      </c>
      <c r="N54" s="55">
        <f t="shared" si="2"/>
        <v>0.97201435285447713</v>
      </c>
      <c r="O54" s="55">
        <f t="shared" si="2"/>
        <v>0.97327504560162725</v>
      </c>
      <c r="P54" s="55">
        <f t="shared" si="2"/>
        <v>0.90323237236067455</v>
      </c>
      <c r="Q54" s="55">
        <f t="shared" si="2"/>
        <v>0.85987411340685216</v>
      </c>
      <c r="R54" s="55">
        <f t="shared" si="2"/>
        <v>0.38494990261247347</v>
      </c>
      <c r="S54" s="55">
        <f t="shared" si="2"/>
        <v>0.5164431048563356</v>
      </c>
      <c r="T54" s="55">
        <f t="shared" si="2"/>
        <v>0.5</v>
      </c>
      <c r="U54" s="55">
        <f t="shared" si="2"/>
        <v>0.45838013983477621</v>
      </c>
      <c r="V54" s="55">
        <f t="shared" si="2"/>
        <v>0.74253470764631646</v>
      </c>
      <c r="W54" s="55">
        <f t="shared" si="2"/>
        <v>0.73715706226218525</v>
      </c>
      <c r="X54" s="55">
        <f t="shared" si="2"/>
        <v>0.50009913148472718</v>
      </c>
      <c r="Y54" s="55">
        <f t="shared" si="2"/>
        <v>0.6814260897779908</v>
      </c>
      <c r="Z54" s="55">
        <f t="shared" si="2"/>
        <v>0.65386010755510415</v>
      </c>
      <c r="AA54" s="55">
        <f t="shared" si="2"/>
        <v>0.69284774792695425</v>
      </c>
      <c r="AB54" s="55">
        <f t="shared" si="2"/>
        <v>0.71265849377684709</v>
      </c>
      <c r="AC54" s="55">
        <f t="shared" si="2"/>
        <v>0.91550757110889602</v>
      </c>
      <c r="AD54" s="55">
        <f t="shared" si="2"/>
        <v>0.92453806989980503</v>
      </c>
      <c r="AE54" s="55">
        <f t="shared" si="2"/>
        <v>0.94155148568683578</v>
      </c>
      <c r="AF54" s="55">
        <f t="shared" si="2"/>
        <v>0.99447577478728055</v>
      </c>
    </row>
    <row r="55" spans="2:32" x14ac:dyDescent="0.25">
      <c r="B55" t="s">
        <v>34</v>
      </c>
      <c r="C55" s="55">
        <f t="shared" si="1"/>
        <v>0.60986776325460867</v>
      </c>
      <c r="D55" s="55">
        <f t="shared" si="2"/>
        <v>0.56045527518327121</v>
      </c>
      <c r="E55" s="55">
        <f t="shared" si="2"/>
        <v>0.51413323105623332</v>
      </c>
      <c r="F55" s="55">
        <f t="shared" si="2"/>
        <v>0.69444293442402538</v>
      </c>
      <c r="G55" s="55">
        <f t="shared" ref="D55:AF63" si="3">COMBIN(6,3)*G21^4*(1-G21)^3+COMBIN(4,4)*G21^4+COMBIN(4,3)*G21^4*(1-G21)^1+COMBIN(5,2)*G21^4*(1-G21)^2</f>
        <v>0.72902069651516699</v>
      </c>
      <c r="H55" s="55">
        <f t="shared" si="3"/>
        <v>0.74551566038918127</v>
      </c>
      <c r="I55" s="55">
        <f t="shared" si="3"/>
        <v>0.76868462383988145</v>
      </c>
      <c r="J55" s="55">
        <f t="shared" si="3"/>
        <v>0.6949159507738516</v>
      </c>
      <c r="K55" s="55">
        <f t="shared" si="3"/>
        <v>0.77013597132947942</v>
      </c>
      <c r="L55" s="55">
        <f t="shared" si="3"/>
        <v>0.7963931386286206</v>
      </c>
      <c r="M55" s="55">
        <f t="shared" si="3"/>
        <v>0.72332834338683738</v>
      </c>
      <c r="N55" s="55">
        <f t="shared" si="3"/>
        <v>0.97747496585410576</v>
      </c>
      <c r="O55" s="55">
        <f t="shared" si="3"/>
        <v>0.97851406906139837</v>
      </c>
      <c r="P55" s="55">
        <f t="shared" si="3"/>
        <v>0.91907804227467671</v>
      </c>
      <c r="Q55" s="55">
        <f t="shared" si="3"/>
        <v>0.8810271566735608</v>
      </c>
      <c r="R55" s="55">
        <f t="shared" si="3"/>
        <v>0.42536967582405771</v>
      </c>
      <c r="S55" s="55">
        <f t="shared" si="3"/>
        <v>0.55793025566175669</v>
      </c>
      <c r="T55" s="55">
        <f t="shared" si="3"/>
        <v>0.54161986016522357</v>
      </c>
      <c r="U55" s="55">
        <f t="shared" si="3"/>
        <v>0.5</v>
      </c>
      <c r="V55" s="55">
        <f t="shared" si="3"/>
        <v>0.77459567496243775</v>
      </c>
      <c r="W55" s="55">
        <f t="shared" si="3"/>
        <v>0.76961162792759774</v>
      </c>
      <c r="X55" s="55">
        <f t="shared" si="3"/>
        <v>0.54171841570670898</v>
      </c>
      <c r="Y55" s="55">
        <f t="shared" si="3"/>
        <v>0.71745608795690097</v>
      </c>
      <c r="Z55" s="55">
        <f t="shared" si="3"/>
        <v>0.69132790298392954</v>
      </c>
      <c r="AA55" s="55">
        <f t="shared" si="3"/>
        <v>0.72821862687659444</v>
      </c>
      <c r="AB55" s="55">
        <f t="shared" si="3"/>
        <v>0.74679677447743442</v>
      </c>
      <c r="AC55" s="55">
        <f t="shared" si="3"/>
        <v>0.9296986667021313</v>
      </c>
      <c r="AD55" s="55">
        <f t="shared" si="3"/>
        <v>0.9374639411363519</v>
      </c>
      <c r="AE55" s="55">
        <f t="shared" si="3"/>
        <v>0.95197268806603785</v>
      </c>
      <c r="AF55" s="55">
        <f t="shared" si="3"/>
        <v>0.995692073379149</v>
      </c>
    </row>
    <row r="56" spans="2:32" x14ac:dyDescent="0.25">
      <c r="B56" t="s">
        <v>35</v>
      </c>
      <c r="C56" s="55">
        <f t="shared" si="1"/>
        <v>0.31622203798445436</v>
      </c>
      <c r="D56" s="55">
        <f t="shared" si="3"/>
        <v>0.27287424894470347</v>
      </c>
      <c r="E56" s="55">
        <f t="shared" si="3"/>
        <v>0.23599587425825863</v>
      </c>
      <c r="F56" s="55">
        <f t="shared" si="3"/>
        <v>0.40183060745018162</v>
      </c>
      <c r="G56" s="55">
        <f t="shared" si="3"/>
        <v>0.44182286296787088</v>
      </c>
      <c r="H56" s="55">
        <f t="shared" si="3"/>
        <v>0.46210766373498002</v>
      </c>
      <c r="I56" s="55">
        <f t="shared" si="3"/>
        <v>0.49206370508602792</v>
      </c>
      <c r="J56" s="55">
        <f t="shared" si="3"/>
        <v>0.4023561084177748</v>
      </c>
      <c r="K56" s="55">
        <f t="shared" si="3"/>
        <v>0.49400081448843114</v>
      </c>
      <c r="L56" s="55">
        <f t="shared" si="3"/>
        <v>0.53038788395602077</v>
      </c>
      <c r="M56" s="55">
        <f t="shared" si="3"/>
        <v>0.43501077782899172</v>
      </c>
      <c r="N56" s="55">
        <f t="shared" si="3"/>
        <v>0.90463612324867393</v>
      </c>
      <c r="O56" s="55">
        <f t="shared" si="3"/>
        <v>0.90818279865971396</v>
      </c>
      <c r="P56" s="55">
        <f t="shared" si="3"/>
        <v>0.74746206141009552</v>
      </c>
      <c r="Q56" s="55">
        <f t="shared" si="3"/>
        <v>0.66939393274295589</v>
      </c>
      <c r="R56" s="55">
        <f t="shared" si="3"/>
        <v>0.17410938175084351</v>
      </c>
      <c r="S56" s="55">
        <f t="shared" si="3"/>
        <v>0.27077447202653371</v>
      </c>
      <c r="T56" s="55">
        <f t="shared" si="3"/>
        <v>0.25746529235368376</v>
      </c>
      <c r="U56" s="55">
        <f t="shared" si="3"/>
        <v>0.22540432503756214</v>
      </c>
      <c r="V56" s="55">
        <f t="shared" si="3"/>
        <v>0.5</v>
      </c>
      <c r="W56" s="55">
        <f t="shared" si="3"/>
        <v>0.49330011837914345</v>
      </c>
      <c r="X56" s="55">
        <f t="shared" si="3"/>
        <v>0.25754441084954383</v>
      </c>
      <c r="Y56" s="55">
        <f t="shared" si="3"/>
        <v>0.42808064121203881</v>
      </c>
      <c r="Z56" s="55">
        <f t="shared" si="3"/>
        <v>0.39838418218240179</v>
      </c>
      <c r="AA56" s="55">
        <f t="shared" si="3"/>
        <v>0.44085731954533913</v>
      </c>
      <c r="AB56" s="55">
        <f t="shared" si="3"/>
        <v>0.46371820821448978</v>
      </c>
      <c r="AC56" s="55">
        <f t="shared" si="3"/>
        <v>0.77183672938043002</v>
      </c>
      <c r="AD56" s="55">
        <f t="shared" si="3"/>
        <v>0.79056141638299848</v>
      </c>
      <c r="AE56" s="55">
        <f t="shared" si="3"/>
        <v>0.8279853322203472</v>
      </c>
      <c r="AF56" s="55">
        <f t="shared" si="3"/>
        <v>0.97620657600090299</v>
      </c>
    </row>
    <row r="57" spans="2:32" x14ac:dyDescent="0.25">
      <c r="B57" t="s">
        <v>36</v>
      </c>
      <c r="C57" s="55">
        <f t="shared" si="1"/>
        <v>0.32217934644807111</v>
      </c>
      <c r="D57" s="55">
        <f t="shared" si="3"/>
        <v>0.27842120545705196</v>
      </c>
      <c r="E57" s="55">
        <f t="shared" si="3"/>
        <v>0.24111625856523924</v>
      </c>
      <c r="F57" s="55">
        <f t="shared" si="3"/>
        <v>0.40832811179456791</v>
      </c>
      <c r="G57" s="55">
        <f t="shared" si="3"/>
        <v>0.44845548098717036</v>
      </c>
      <c r="H57" s="55">
        <f t="shared" si="3"/>
        <v>0.46878103081667699</v>
      </c>
      <c r="I57" s="55">
        <f t="shared" si="3"/>
        <v>0.49876336684011058</v>
      </c>
      <c r="J57" s="55">
        <f t="shared" si="3"/>
        <v>0.40885586344222613</v>
      </c>
      <c r="K57" s="55">
        <f t="shared" si="3"/>
        <v>0.50070079029363712</v>
      </c>
      <c r="L57" s="55">
        <f t="shared" si="3"/>
        <v>0.53706252267626953</v>
      </c>
      <c r="M57" s="55">
        <f t="shared" si="3"/>
        <v>0.44162553487622963</v>
      </c>
      <c r="N57" s="55">
        <f t="shared" si="3"/>
        <v>0.90730364417362452</v>
      </c>
      <c r="O57" s="55">
        <f t="shared" si="3"/>
        <v>0.9107718167036275</v>
      </c>
      <c r="P57" s="55">
        <f t="shared" si="3"/>
        <v>0.75272079621619858</v>
      </c>
      <c r="Q57" s="55">
        <f t="shared" si="3"/>
        <v>0.67541950407321982</v>
      </c>
      <c r="R57" s="55">
        <f t="shared" si="3"/>
        <v>0.1783397101071284</v>
      </c>
      <c r="S57" s="55">
        <f t="shared" si="3"/>
        <v>0.27629909606848757</v>
      </c>
      <c r="T57" s="55">
        <f t="shared" si="3"/>
        <v>0.26284293773781453</v>
      </c>
      <c r="U57" s="55">
        <f t="shared" si="3"/>
        <v>0.23038837207240223</v>
      </c>
      <c r="V57" s="55">
        <f t="shared" si="3"/>
        <v>0.50669988162085633</v>
      </c>
      <c r="W57" s="55">
        <f t="shared" si="3"/>
        <v>0.5</v>
      </c>
      <c r="X57" s="55">
        <f t="shared" si="3"/>
        <v>0.26292295789734466</v>
      </c>
      <c r="Y57" s="55">
        <f t="shared" si="3"/>
        <v>0.4346750644168581</v>
      </c>
      <c r="Z57" s="55">
        <f t="shared" si="3"/>
        <v>0.40486660971973809</v>
      </c>
      <c r="AA57" s="55">
        <f t="shared" si="3"/>
        <v>0.44748753398208052</v>
      </c>
      <c r="AB57" s="55">
        <f t="shared" si="3"/>
        <v>0.47039401504113793</v>
      </c>
      <c r="AC57" s="55">
        <f t="shared" si="3"/>
        <v>0.77679171190998908</v>
      </c>
      <c r="AD57" s="55">
        <f t="shared" si="3"/>
        <v>0.79526089266009536</v>
      </c>
      <c r="AE57" s="55">
        <f t="shared" si="3"/>
        <v>0.83211308747633472</v>
      </c>
      <c r="AF57" s="55">
        <f t="shared" si="3"/>
        <v>0.97702858028924855</v>
      </c>
    </row>
    <row r="58" spans="2:32" x14ac:dyDescent="0.25">
      <c r="B58" t="s">
        <v>37</v>
      </c>
      <c r="C58" s="55">
        <f t="shared" si="1"/>
        <v>0.56921428449235667</v>
      </c>
      <c r="D58" s="55">
        <f t="shared" si="3"/>
        <v>0.51889640655987179</v>
      </c>
      <c r="E58" s="55">
        <f t="shared" si="3"/>
        <v>0.47236029327721496</v>
      </c>
      <c r="F58" s="55">
        <f t="shared" si="3"/>
        <v>0.65704383596123583</v>
      </c>
      <c r="G58" s="55">
        <f t="shared" si="3"/>
        <v>0.69361403881462658</v>
      </c>
      <c r="H58" s="55">
        <f t="shared" si="3"/>
        <v>0.71120441190036576</v>
      </c>
      <c r="I58" s="55">
        <f t="shared" si="3"/>
        <v>0.73607770243178861</v>
      </c>
      <c r="J58" s="55">
        <f t="shared" si="3"/>
        <v>0.65754141209679728</v>
      </c>
      <c r="K58" s="55">
        <f t="shared" si="3"/>
        <v>0.73764244465720574</v>
      </c>
      <c r="L58" s="55">
        <f t="shared" si="3"/>
        <v>0.76609162293219724</v>
      </c>
      <c r="M58" s="55">
        <f t="shared" si="3"/>
        <v>0.68756576453829821</v>
      </c>
      <c r="N58" s="55">
        <f t="shared" si="3"/>
        <v>0.97200008694665541</v>
      </c>
      <c r="O58" s="55">
        <f t="shared" si="3"/>
        <v>0.97326134860750013</v>
      </c>
      <c r="P58" s="55">
        <f t="shared" si="3"/>
        <v>0.90319200189471505</v>
      </c>
      <c r="Q58" s="55">
        <f t="shared" si="3"/>
        <v>0.85982077369030407</v>
      </c>
      <c r="R58" s="55">
        <f t="shared" si="3"/>
        <v>0.38485518691686893</v>
      </c>
      <c r="S58" s="55">
        <f t="shared" si="3"/>
        <v>0.51634406246143405</v>
      </c>
      <c r="T58" s="55">
        <f t="shared" si="3"/>
        <v>0.49990086851527282</v>
      </c>
      <c r="U58" s="55">
        <f t="shared" si="3"/>
        <v>0.45828158429329136</v>
      </c>
      <c r="V58" s="55">
        <f t="shared" si="3"/>
        <v>0.74245558915045584</v>
      </c>
      <c r="W58" s="55">
        <f t="shared" si="3"/>
        <v>0.73707704210265557</v>
      </c>
      <c r="X58" s="55">
        <f t="shared" si="3"/>
        <v>0.5</v>
      </c>
      <c r="Y58" s="55">
        <f t="shared" si="3"/>
        <v>0.68133802025230417</v>
      </c>
      <c r="Z58" s="55">
        <f t="shared" si="3"/>
        <v>0.65376889824499618</v>
      </c>
      <c r="AA58" s="55">
        <f t="shared" si="3"/>
        <v>0.69276113981409404</v>
      </c>
      <c r="AB58" s="55">
        <f t="shared" si="3"/>
        <v>0.71257464824583716</v>
      </c>
      <c r="AC58" s="55">
        <f t="shared" si="3"/>
        <v>0.91547129375181835</v>
      </c>
      <c r="AD58" s="55">
        <f t="shared" si="3"/>
        <v>0.92450493848926407</v>
      </c>
      <c r="AE58" s="55">
        <f t="shared" si="3"/>
        <v>0.9415246239305417</v>
      </c>
      <c r="AF58" s="55">
        <f t="shared" si="3"/>
        <v>0.99447253282459958</v>
      </c>
    </row>
    <row r="59" spans="2:32" x14ac:dyDescent="0.25">
      <c r="B59" t="s">
        <v>39</v>
      </c>
      <c r="C59" s="55">
        <f t="shared" si="1"/>
        <v>0.38290759226371618</v>
      </c>
      <c r="D59" s="55">
        <f t="shared" si="3"/>
        <v>0.33565062126189044</v>
      </c>
      <c r="E59" s="55">
        <f t="shared" si="3"/>
        <v>0.29452341794976145</v>
      </c>
      <c r="F59" s="55">
        <f t="shared" si="3"/>
        <v>0.47311315935424786</v>
      </c>
      <c r="G59" s="55">
        <f t="shared" si="3"/>
        <v>0.51393756897849086</v>
      </c>
      <c r="H59" s="55">
        <f t="shared" si="3"/>
        <v>0.53434044990146656</v>
      </c>
      <c r="I59" s="55">
        <f t="shared" si="3"/>
        <v>0.56410564861217105</v>
      </c>
      <c r="J59" s="55">
        <f t="shared" si="3"/>
        <v>0.47365484758657939</v>
      </c>
      <c r="K59" s="55">
        <f t="shared" si="3"/>
        <v>0.56601560252718741</v>
      </c>
      <c r="L59" s="55">
        <f t="shared" si="3"/>
        <v>0.60156249898560743</v>
      </c>
      <c r="M59" s="55">
        <f t="shared" si="3"/>
        <v>0.50704038424170916</v>
      </c>
      <c r="N59" s="55">
        <f t="shared" si="3"/>
        <v>0.93043126979813573</v>
      </c>
      <c r="O59" s="55">
        <f t="shared" si="3"/>
        <v>0.93318246149138173</v>
      </c>
      <c r="P59" s="55">
        <f t="shared" si="3"/>
        <v>0.8008217386583979</v>
      </c>
      <c r="Q59" s="55">
        <f t="shared" si="3"/>
        <v>0.73169181399550998</v>
      </c>
      <c r="R59" s="55">
        <f t="shared" si="3"/>
        <v>0.22336980090290323</v>
      </c>
      <c r="S59" s="55">
        <f t="shared" si="3"/>
        <v>0.33333242987755507</v>
      </c>
      <c r="T59" s="55">
        <f t="shared" si="3"/>
        <v>0.31857391022200898</v>
      </c>
      <c r="U59" s="55">
        <f t="shared" si="3"/>
        <v>0.28254391204309909</v>
      </c>
      <c r="V59" s="55">
        <f t="shared" si="3"/>
        <v>0.57191935878796085</v>
      </c>
      <c r="W59" s="55">
        <f t="shared" si="3"/>
        <v>0.56532493558314201</v>
      </c>
      <c r="X59" s="55">
        <f t="shared" si="3"/>
        <v>0.31866197974769589</v>
      </c>
      <c r="Y59" s="55">
        <f t="shared" si="3"/>
        <v>0.5</v>
      </c>
      <c r="Z59" s="55">
        <f t="shared" si="3"/>
        <v>0.46955705380918344</v>
      </c>
      <c r="AA59" s="55">
        <f t="shared" si="3"/>
        <v>0.51296136156813155</v>
      </c>
      <c r="AB59" s="55">
        <f t="shared" si="3"/>
        <v>0.53595175370909587</v>
      </c>
      <c r="AC59" s="55">
        <f t="shared" si="3"/>
        <v>0.82180015330189748</v>
      </c>
      <c r="AD59" s="55">
        <f t="shared" si="3"/>
        <v>0.83771197081188364</v>
      </c>
      <c r="AE59" s="55">
        <f t="shared" si="3"/>
        <v>0.86896169105635923</v>
      </c>
      <c r="AF59" s="55">
        <f t="shared" si="3"/>
        <v>0.98383510340072289</v>
      </c>
    </row>
    <row r="60" spans="2:32" x14ac:dyDescent="0.25">
      <c r="B60" t="s">
        <v>40</v>
      </c>
      <c r="C60" s="55">
        <f t="shared" si="1"/>
        <v>0.41230029523513695</v>
      </c>
      <c r="D60" s="55">
        <f t="shared" si="3"/>
        <v>0.36379204299320256</v>
      </c>
      <c r="E60" s="55">
        <f t="shared" si="3"/>
        <v>0.32116398122910494</v>
      </c>
      <c r="F60" s="55">
        <f t="shared" si="3"/>
        <v>0.50356586817020665</v>
      </c>
      <c r="G60" s="55">
        <f t="shared" si="3"/>
        <v>0.54431760015640296</v>
      </c>
      <c r="H60" s="55">
        <f t="shared" si="3"/>
        <v>0.5645574347218163</v>
      </c>
      <c r="I60" s="55">
        <f t="shared" si="3"/>
        <v>0.59393384729010246</v>
      </c>
      <c r="J60" s="55">
        <f t="shared" si="3"/>
        <v>0.50410881619201298</v>
      </c>
      <c r="K60" s="55">
        <f t="shared" si="3"/>
        <v>0.59581273981780325</v>
      </c>
      <c r="L60" s="55">
        <f t="shared" si="3"/>
        <v>0.63064665134770803</v>
      </c>
      <c r="M60" s="55">
        <f t="shared" si="3"/>
        <v>0.53745647389456508</v>
      </c>
      <c r="N60" s="55">
        <f t="shared" si="3"/>
        <v>0.93944241365862191</v>
      </c>
      <c r="O60" s="55">
        <f t="shared" si="3"/>
        <v>0.94189498929018911</v>
      </c>
      <c r="P60" s="55">
        <f t="shared" si="3"/>
        <v>0.82097257787211797</v>
      </c>
      <c r="Q60" s="55">
        <f t="shared" si="3"/>
        <v>0.75593352453447205</v>
      </c>
      <c r="R60" s="55">
        <f t="shared" si="3"/>
        <v>0.24643810284826043</v>
      </c>
      <c r="S60" s="55">
        <f t="shared" si="3"/>
        <v>0.3613996457464701</v>
      </c>
      <c r="T60" s="55">
        <f t="shared" si="3"/>
        <v>0.34613989244489579</v>
      </c>
      <c r="U60" s="55">
        <f t="shared" si="3"/>
        <v>0.30867209701607046</v>
      </c>
      <c r="V60" s="55">
        <f t="shared" si="3"/>
        <v>0.6016158178175981</v>
      </c>
      <c r="W60" s="55">
        <f t="shared" si="3"/>
        <v>0.59513339028026202</v>
      </c>
      <c r="X60" s="55">
        <f t="shared" si="3"/>
        <v>0.34623110175500382</v>
      </c>
      <c r="Y60" s="55">
        <f t="shared" si="3"/>
        <v>0.53044294619081667</v>
      </c>
      <c r="Z60" s="55">
        <f t="shared" si="3"/>
        <v>0.5</v>
      </c>
      <c r="AA60" s="55">
        <f t="shared" si="3"/>
        <v>0.54334708202398008</v>
      </c>
      <c r="AB60" s="55">
        <f t="shared" si="3"/>
        <v>0.56615227555266501</v>
      </c>
      <c r="AC60" s="55">
        <f t="shared" si="3"/>
        <v>0.8404795244352643</v>
      </c>
      <c r="AD60" s="55">
        <f t="shared" si="3"/>
        <v>0.85519838932762693</v>
      </c>
      <c r="AE60" s="55">
        <f t="shared" si="3"/>
        <v>0.88389974430646479</v>
      </c>
      <c r="AF60" s="55">
        <f t="shared" si="3"/>
        <v>0.98632530005281827</v>
      </c>
    </row>
    <row r="61" spans="2:32" x14ac:dyDescent="0.25">
      <c r="B61" t="s">
        <v>41</v>
      </c>
      <c r="C61" s="55">
        <f t="shared" si="1"/>
        <v>0.37060714025851327</v>
      </c>
      <c r="D61" s="55">
        <f t="shared" si="3"/>
        <v>0.32395901108497216</v>
      </c>
      <c r="E61" s="55">
        <f t="shared" si="3"/>
        <v>0.28352805466408104</v>
      </c>
      <c r="F61" s="55">
        <f t="shared" si="3"/>
        <v>0.46019820034355952</v>
      </c>
      <c r="G61" s="55">
        <f t="shared" si="3"/>
        <v>0.50097679747421642</v>
      </c>
      <c r="H61" s="55">
        <f t="shared" si="3"/>
        <v>0.52141096557746247</v>
      </c>
      <c r="I61" s="55">
        <f t="shared" si="3"/>
        <v>0.55128698157612621</v>
      </c>
      <c r="J61" s="55">
        <f t="shared" si="3"/>
        <v>0.4607383360074716</v>
      </c>
      <c r="K61" s="55">
        <f t="shared" si="3"/>
        <v>0.55320670166095209</v>
      </c>
      <c r="L61" s="55">
        <f t="shared" si="3"/>
        <v>0.58899437796151166</v>
      </c>
      <c r="M61" s="55">
        <f t="shared" si="3"/>
        <v>0.49407721541740279</v>
      </c>
      <c r="N61" s="55">
        <f t="shared" si="3"/>
        <v>0.92627888811138925</v>
      </c>
      <c r="O61" s="55">
        <f t="shared" si="3"/>
        <v>0.92916386177721433</v>
      </c>
      <c r="P61" s="55">
        <f t="shared" si="3"/>
        <v>0.791824660056765</v>
      </c>
      <c r="Q61" s="55">
        <f t="shared" si="3"/>
        <v>0.72100081962448015</v>
      </c>
      <c r="R61" s="55">
        <f t="shared" si="3"/>
        <v>0.21396550820545859</v>
      </c>
      <c r="S61" s="55">
        <f t="shared" si="3"/>
        <v>0.3216758907801136</v>
      </c>
      <c r="T61" s="55">
        <f t="shared" si="3"/>
        <v>0.30715225207304581</v>
      </c>
      <c r="U61" s="55">
        <f t="shared" si="3"/>
        <v>0.2717813731234055</v>
      </c>
      <c r="V61" s="55">
        <f t="shared" si="3"/>
        <v>0.55914268045466109</v>
      </c>
      <c r="W61" s="55">
        <f t="shared" si="3"/>
        <v>0.55251246601791959</v>
      </c>
      <c r="X61" s="55">
        <f t="shared" si="3"/>
        <v>0.30723886018590613</v>
      </c>
      <c r="Y61" s="55">
        <f t="shared" si="3"/>
        <v>0.48703863843186856</v>
      </c>
      <c r="Z61" s="55">
        <f t="shared" si="3"/>
        <v>0.45665291797602009</v>
      </c>
      <c r="AA61" s="55">
        <f t="shared" si="3"/>
        <v>0.5</v>
      </c>
      <c r="AB61" s="55">
        <f t="shared" si="3"/>
        <v>0.5230262842771346</v>
      </c>
      <c r="AC61" s="55">
        <f t="shared" si="3"/>
        <v>0.81342566215408196</v>
      </c>
      <c r="AD61" s="55">
        <f t="shared" si="3"/>
        <v>0.82984652069232312</v>
      </c>
      <c r="AE61" s="55">
        <f t="shared" si="3"/>
        <v>0.8621954569746455</v>
      </c>
      <c r="AF61" s="55">
        <f t="shared" si="3"/>
        <v>0.98265632194224795</v>
      </c>
    </row>
    <row r="62" spans="2:32" x14ac:dyDescent="0.25">
      <c r="B62" t="s">
        <v>44</v>
      </c>
      <c r="C62" s="55">
        <f t="shared" si="1"/>
        <v>0.34909712053192515</v>
      </c>
      <c r="D62" s="55">
        <f t="shared" si="3"/>
        <v>0.30363515336346009</v>
      </c>
      <c r="E62" s="55">
        <f t="shared" si="3"/>
        <v>0.26451727325242946</v>
      </c>
      <c r="F62" s="55">
        <f t="shared" si="3"/>
        <v>0.43736410287522753</v>
      </c>
      <c r="G62" s="55">
        <f t="shared" si="3"/>
        <v>0.47794885446670787</v>
      </c>
      <c r="H62" s="55">
        <f t="shared" si="3"/>
        <v>0.49838201352730527</v>
      </c>
      <c r="I62" s="55">
        <f t="shared" si="3"/>
        <v>0.52837282635852023</v>
      </c>
      <c r="J62" s="55">
        <f t="shared" si="3"/>
        <v>0.43790000410936158</v>
      </c>
      <c r="K62" s="55">
        <f t="shared" si="3"/>
        <v>0.5303046721320186</v>
      </c>
      <c r="L62" s="55">
        <f t="shared" si="3"/>
        <v>0.56642446071295183</v>
      </c>
      <c r="M62" s="55">
        <f t="shared" si="3"/>
        <v>0.47106413003603514</v>
      </c>
      <c r="N62" s="55">
        <f t="shared" si="3"/>
        <v>0.91840484767154584</v>
      </c>
      <c r="O62" s="55">
        <f t="shared" si="3"/>
        <v>0.92153726744300046</v>
      </c>
      <c r="P62" s="55">
        <f t="shared" si="3"/>
        <v>0.77521741218918327</v>
      </c>
      <c r="Q62" s="55">
        <f t="shared" si="3"/>
        <v>0.70147133652461813</v>
      </c>
      <c r="R62" s="55">
        <f t="shared" si="3"/>
        <v>0.19786816043709743</v>
      </c>
      <c r="S62" s="55">
        <f t="shared" si="3"/>
        <v>0.30141903673588905</v>
      </c>
      <c r="T62" s="55">
        <f t="shared" si="3"/>
        <v>0.28734150622315285</v>
      </c>
      <c r="U62" s="55">
        <f t="shared" si="3"/>
        <v>0.25320322552256552</v>
      </c>
      <c r="V62" s="55">
        <f t="shared" si="3"/>
        <v>0.53628179178551028</v>
      </c>
      <c r="W62" s="55">
        <f t="shared" si="3"/>
        <v>0.52960598495886224</v>
      </c>
      <c r="X62" s="55">
        <f t="shared" si="3"/>
        <v>0.28742535175416273</v>
      </c>
      <c r="Y62" s="55">
        <f t="shared" si="3"/>
        <v>0.4640482462909043</v>
      </c>
      <c r="Z62" s="55">
        <f t="shared" si="3"/>
        <v>0.43384772444733521</v>
      </c>
      <c r="AA62" s="55">
        <f t="shared" si="3"/>
        <v>0.47697371572286507</v>
      </c>
      <c r="AB62" s="55">
        <f t="shared" si="3"/>
        <v>0.5</v>
      </c>
      <c r="AC62" s="55">
        <f t="shared" si="3"/>
        <v>0.79791354572788253</v>
      </c>
      <c r="AD62" s="55">
        <f t="shared" si="3"/>
        <v>0.81523658306408264</v>
      </c>
      <c r="AE62" s="55">
        <f t="shared" si="3"/>
        <v>0.84955237511299342</v>
      </c>
      <c r="AF62" s="55">
        <f t="shared" si="3"/>
        <v>0.98036837000538968</v>
      </c>
    </row>
    <row r="63" spans="2:32" x14ac:dyDescent="0.25">
      <c r="B63" t="s">
        <v>43</v>
      </c>
      <c r="C63" s="55">
        <f t="shared" si="1"/>
        <v>0.11318446493006121</v>
      </c>
      <c r="D63" s="55">
        <f t="shared" si="3"/>
        <v>9.1676017244447697E-2</v>
      </c>
      <c r="E63" s="55">
        <f t="shared" si="3"/>
        <v>7.4877612720010173E-2</v>
      </c>
      <c r="F63" s="55">
        <f t="shared" si="3"/>
        <v>0.16163327045743636</v>
      </c>
      <c r="G63" s="55">
        <f t="shared" si="3"/>
        <v>0.18721568365706726</v>
      </c>
      <c r="H63" s="55">
        <f t="shared" si="3"/>
        <v>0.20097096452146157</v>
      </c>
      <c r="I63" s="55">
        <f t="shared" si="3"/>
        <v>0.22230093249628513</v>
      </c>
      <c r="J63" s="55">
        <f t="shared" si="3"/>
        <v>0.16195667460470198</v>
      </c>
      <c r="K63" s="55">
        <f t="shared" si="3"/>
        <v>0.22372347260537481</v>
      </c>
      <c r="L63" s="55">
        <f t="shared" si="3"/>
        <v>0.25147008251438618</v>
      </c>
      <c r="M63" s="55">
        <f t="shared" si="3"/>
        <v>0.18271643167709339</v>
      </c>
      <c r="N63" s="55">
        <f t="shared" si="3"/>
        <v>0.71940825850750967</v>
      </c>
      <c r="O63" s="55">
        <f t="shared" si="3"/>
        <v>0.72682795554533186</v>
      </c>
      <c r="P63" s="55">
        <f t="shared" si="3"/>
        <v>0.46826232953471236</v>
      </c>
      <c r="Q63" s="55">
        <f t="shared" si="3"/>
        <v>0.37832446327970209</v>
      </c>
      <c r="R63" s="55">
        <f t="shared" si="3"/>
        <v>4.9676570160399725E-2</v>
      </c>
      <c r="S63" s="55">
        <f t="shared" si="3"/>
        <v>9.0683061376739135E-2</v>
      </c>
      <c r="T63" s="55">
        <f t="shared" si="3"/>
        <v>8.4492428891104102E-2</v>
      </c>
      <c r="U63" s="55">
        <f t="shared" si="3"/>
        <v>7.030133329786864E-2</v>
      </c>
      <c r="V63" s="55">
        <f t="shared" si="3"/>
        <v>0.22816327061957009</v>
      </c>
      <c r="W63" s="55">
        <f t="shared" si="3"/>
        <v>0.22320828809001075</v>
      </c>
      <c r="X63" s="55">
        <f t="shared" si="3"/>
        <v>8.4528706248181845E-2</v>
      </c>
      <c r="Y63" s="55">
        <f t="shared" si="3"/>
        <v>0.17819984669810235</v>
      </c>
      <c r="Z63" s="55">
        <f t="shared" si="3"/>
        <v>0.15952047556473573</v>
      </c>
      <c r="AA63" s="55">
        <f t="shared" si="3"/>
        <v>0.18657433784591815</v>
      </c>
      <c r="AB63" s="55">
        <f t="shared" si="3"/>
        <v>0.20208645427211749</v>
      </c>
      <c r="AC63" s="55">
        <f t="shared" si="3"/>
        <v>0.5</v>
      </c>
      <c r="AD63" s="55">
        <f t="shared" ref="D63:AF66" si="4">COMBIN(6,3)*AD29^4*(1-AD29)^3+COMBIN(4,4)*AD29^4+COMBIN(4,3)*AD29^4*(1-AD29)^1+COMBIN(5,2)*AD29^4*(1-AD29)^2</f>
        <v>0.52579087005112013</v>
      </c>
      <c r="AE63" s="55">
        <f t="shared" si="4"/>
        <v>0.58156369967028965</v>
      </c>
      <c r="AF63" s="55">
        <f t="shared" si="4"/>
        <v>0.90190536304267044</v>
      </c>
    </row>
    <row r="64" spans="2:32" x14ac:dyDescent="0.25">
      <c r="B64" t="s">
        <v>46</v>
      </c>
      <c r="C64" s="55">
        <f t="shared" si="1"/>
        <v>0.10179441971493772</v>
      </c>
      <c r="D64" s="55">
        <f t="shared" si="4"/>
        <v>8.2030936810856547E-2</v>
      </c>
      <c r="E64" s="55">
        <f t="shared" si="4"/>
        <v>6.6696620210852375E-2</v>
      </c>
      <c r="F64" s="55">
        <f t="shared" si="4"/>
        <v>0.146775397461337</v>
      </c>
      <c r="G64" s="55">
        <f t="shared" si="4"/>
        <v>0.17075648395846599</v>
      </c>
      <c r="H64" s="55">
        <f t="shared" si="4"/>
        <v>0.18371106914776214</v>
      </c>
      <c r="I64" s="55">
        <f t="shared" si="4"/>
        <v>0.20387908348720796</v>
      </c>
      <c r="J64" s="55">
        <f t="shared" si="4"/>
        <v>0.1470776168719313</v>
      </c>
      <c r="K64" s="55">
        <f t="shared" si="4"/>
        <v>0.20522749259414261</v>
      </c>
      <c r="L64" s="55">
        <f t="shared" si="4"/>
        <v>0.23160977680513026</v>
      </c>
      <c r="M64" s="55">
        <f t="shared" si="4"/>
        <v>0.16652813053845372</v>
      </c>
      <c r="N64" s="55">
        <f t="shared" si="4"/>
        <v>0.69742578370637109</v>
      </c>
      <c r="O64" s="55">
        <f t="shared" si="4"/>
        <v>0.70513412333337389</v>
      </c>
      <c r="P64" s="55">
        <f t="shared" si="4"/>
        <v>0.4426286447344282</v>
      </c>
      <c r="Q64" s="55">
        <f t="shared" si="4"/>
        <v>0.35407680486041343</v>
      </c>
      <c r="R64" s="55">
        <f t="shared" si="4"/>
        <v>4.388543237511465E-2</v>
      </c>
      <c r="S64" s="55">
        <f t="shared" si="4"/>
        <v>8.1121942304161837E-2</v>
      </c>
      <c r="T64" s="55">
        <f t="shared" si="4"/>
        <v>7.5461930100195085E-2</v>
      </c>
      <c r="U64" s="55">
        <f t="shared" si="4"/>
        <v>6.2536058863648158E-2</v>
      </c>
      <c r="V64" s="55">
        <f t="shared" si="4"/>
        <v>0.20943858361700168</v>
      </c>
      <c r="W64" s="55">
        <f t="shared" si="4"/>
        <v>0.20473910733990458</v>
      </c>
      <c r="X64" s="55">
        <f t="shared" si="4"/>
        <v>7.549506151073597E-2</v>
      </c>
      <c r="Y64" s="55">
        <f t="shared" si="4"/>
        <v>0.16228802918811633</v>
      </c>
      <c r="Z64" s="55">
        <f t="shared" si="4"/>
        <v>0.14480161067237329</v>
      </c>
      <c r="AA64" s="55">
        <f t="shared" si="4"/>
        <v>0.17015347930767688</v>
      </c>
      <c r="AB64" s="55">
        <f t="shared" si="4"/>
        <v>0.1847634169359173</v>
      </c>
      <c r="AC64" s="55">
        <f t="shared" si="4"/>
        <v>0.47420912994887976</v>
      </c>
      <c r="AD64" s="55">
        <f t="shared" si="4"/>
        <v>0.5</v>
      </c>
      <c r="AE64" s="55">
        <f t="shared" si="4"/>
        <v>0.55616877737719306</v>
      </c>
      <c r="AF64" s="55">
        <f t="shared" si="4"/>
        <v>0.89083071697722849</v>
      </c>
    </row>
    <row r="65" spans="2:32" x14ac:dyDescent="0.25">
      <c r="B65" t="s">
        <v>47</v>
      </c>
      <c r="C65" s="55">
        <f t="shared" si="1"/>
        <v>8.0019836627974933E-2</v>
      </c>
      <c r="D65" s="55">
        <f t="shared" si="4"/>
        <v>6.3788757151359468E-2</v>
      </c>
      <c r="E65" s="55">
        <f t="shared" si="4"/>
        <v>5.1368616045420729E-2</v>
      </c>
      <c r="F65" s="55">
        <f t="shared" si="4"/>
        <v>0.11777901460661028</v>
      </c>
      <c r="G65" s="55">
        <f t="shared" si="4"/>
        <v>0.13832445426712078</v>
      </c>
      <c r="H65" s="55">
        <f t="shared" si="4"/>
        <v>0.1495337467779751</v>
      </c>
      <c r="I65" s="55">
        <f t="shared" si="4"/>
        <v>0.1671325344902746</v>
      </c>
      <c r="J65" s="55">
        <f t="shared" si="4"/>
        <v>0.11803622860888038</v>
      </c>
      <c r="K65" s="55">
        <f t="shared" si="4"/>
        <v>0.16831544487851857</v>
      </c>
      <c r="L65" s="55">
        <f t="shared" si="4"/>
        <v>0.1916135746318603</v>
      </c>
      <c r="M65" s="55">
        <f t="shared" si="4"/>
        <v>0.13468228735903814</v>
      </c>
      <c r="N65" s="55">
        <f t="shared" si="4"/>
        <v>0.64677487105563614</v>
      </c>
      <c r="O65" s="55">
        <f t="shared" si="4"/>
        <v>0.65502872268841728</v>
      </c>
      <c r="P65" s="55">
        <f t="shared" si="4"/>
        <v>0.38767504329129854</v>
      </c>
      <c r="Q65" s="55">
        <f t="shared" si="4"/>
        <v>0.3033710402388673</v>
      </c>
      <c r="R65" s="55">
        <f t="shared" si="4"/>
        <v>3.3216838312816827E-2</v>
      </c>
      <c r="S65" s="55">
        <f t="shared" si="4"/>
        <v>6.304809903804974E-2</v>
      </c>
      <c r="T65" s="55">
        <f t="shared" si="4"/>
        <v>5.8448514313164113E-2</v>
      </c>
      <c r="U65" s="55">
        <f t="shared" si="4"/>
        <v>4.8027311933962258E-2</v>
      </c>
      <c r="V65" s="55">
        <f t="shared" si="4"/>
        <v>0.1720146677796528</v>
      </c>
      <c r="W65" s="55">
        <f t="shared" si="4"/>
        <v>0.16788691252366525</v>
      </c>
      <c r="X65" s="55">
        <f t="shared" si="4"/>
        <v>5.847537606945824E-2</v>
      </c>
      <c r="Y65" s="55">
        <f t="shared" si="4"/>
        <v>0.13103830894364105</v>
      </c>
      <c r="Z65" s="55">
        <f t="shared" si="4"/>
        <v>0.11610025569353512</v>
      </c>
      <c r="AA65" s="55">
        <f t="shared" si="4"/>
        <v>0.1378045430253545</v>
      </c>
      <c r="AB65" s="55">
        <f t="shared" si="4"/>
        <v>0.15044762488700653</v>
      </c>
      <c r="AC65" s="55">
        <f t="shared" si="4"/>
        <v>0.4184363003297098</v>
      </c>
      <c r="AD65" s="55">
        <f t="shared" si="4"/>
        <v>0.44383122262280683</v>
      </c>
      <c r="AE65" s="55">
        <f t="shared" si="4"/>
        <v>0.5</v>
      </c>
      <c r="AF65" s="55">
        <f t="shared" si="4"/>
        <v>0.86337152992043209</v>
      </c>
    </row>
    <row r="66" spans="2:32" x14ac:dyDescent="0.25">
      <c r="B66" t="s">
        <v>48</v>
      </c>
      <c r="C66" s="55">
        <f t="shared" si="1"/>
        <v>8.298292255652151E-3</v>
      </c>
      <c r="D66" s="55">
        <f t="shared" si="4"/>
        <v>6.1793243651918541E-3</v>
      </c>
      <c r="E66" s="55">
        <f t="shared" si="4"/>
        <v>4.6888061602438072E-3</v>
      </c>
      <c r="F66" s="55">
        <f t="shared" si="4"/>
        <v>1.3946856210065476E-2</v>
      </c>
      <c r="G66" s="55">
        <f t="shared" si="4"/>
        <v>1.7435569121625936E-2</v>
      </c>
      <c r="H66" s="55">
        <f t="shared" si="4"/>
        <v>1.9462509769061678E-2</v>
      </c>
      <c r="I66" s="55">
        <f t="shared" si="4"/>
        <v>2.2822502270239263E-2</v>
      </c>
      <c r="J66" s="55">
        <f t="shared" si="4"/>
        <v>1.3988727210345454E-2</v>
      </c>
      <c r="K66" s="55">
        <f t="shared" si="4"/>
        <v>2.3056193903380619E-2</v>
      </c>
      <c r="L66" s="55">
        <f t="shared" si="4"/>
        <v>2.7863224449353859E-2</v>
      </c>
      <c r="M66" s="55">
        <f t="shared" si="4"/>
        <v>1.6795787208430106E-2</v>
      </c>
      <c r="N66" s="55">
        <f t="shared" si="4"/>
        <v>0.23319007086848903</v>
      </c>
      <c r="O66" s="55">
        <f t="shared" si="4"/>
        <v>0.23999028062586786</v>
      </c>
      <c r="P66" s="55">
        <f t="shared" si="4"/>
        <v>8.5685209245890848E-2</v>
      </c>
      <c r="Q66" s="55">
        <f t="shared" si="4"/>
        <v>5.6693563895766221E-2</v>
      </c>
      <c r="R66" s="55">
        <f t="shared" si="4"/>
        <v>2.7279999560756696E-3</v>
      </c>
      <c r="S66" s="55">
        <f t="shared" si="4"/>
        <v>6.087202287467979E-3</v>
      </c>
      <c r="T66" s="55">
        <f t="shared" si="4"/>
        <v>5.5242252127193324E-3</v>
      </c>
      <c r="U66" s="55">
        <f t="shared" si="4"/>
        <v>4.3079266208508916E-3</v>
      </c>
      <c r="V66" s="55">
        <f t="shared" si="4"/>
        <v>2.379342399909706E-2</v>
      </c>
      <c r="W66" s="55">
        <f t="shared" si="4"/>
        <v>2.297141971075152E-2</v>
      </c>
      <c r="X66" s="55">
        <f t="shared" si="4"/>
        <v>5.5274671754005703E-3</v>
      </c>
      <c r="Y66" s="55">
        <f t="shared" si="4"/>
        <v>1.6164896599277102E-2</v>
      </c>
      <c r="Z66" s="55">
        <f t="shared" si="4"/>
        <v>1.367469994718176E-2</v>
      </c>
      <c r="AA66" s="55">
        <f t="shared" si="4"/>
        <v>1.7343678057752214E-2</v>
      </c>
      <c r="AB66" s="55">
        <f t="shared" si="4"/>
        <v>1.9631629994610423E-2</v>
      </c>
      <c r="AC66" s="55">
        <f t="shared" si="4"/>
        <v>9.809463695732934E-2</v>
      </c>
      <c r="AD66" s="55">
        <f t="shared" si="4"/>
        <v>0.10916928302277135</v>
      </c>
      <c r="AE66" s="55">
        <f t="shared" si="4"/>
        <v>0.13662847007956802</v>
      </c>
      <c r="AF66" s="55">
        <f t="shared" si="4"/>
        <v>0.5</v>
      </c>
    </row>
    <row r="70" spans="2:32" x14ac:dyDescent="0.25"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1"/>
      <c r="U70" s="1"/>
    </row>
    <row r="71" spans="2:32" x14ac:dyDescent="0.25"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1"/>
      <c r="U71" s="1"/>
    </row>
    <row r="72" spans="2:32" x14ac:dyDescent="0.25"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1"/>
      <c r="U72" s="1"/>
    </row>
    <row r="73" spans="2:32" x14ac:dyDescent="0.25"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1"/>
      <c r="U73" s="1"/>
    </row>
    <row r="74" spans="2:32" x14ac:dyDescent="0.25"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1"/>
      <c r="U74" s="1"/>
    </row>
    <row r="75" spans="2:32" x14ac:dyDescent="0.25"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1"/>
      <c r="U75" s="1"/>
    </row>
    <row r="76" spans="2:32" x14ac:dyDescent="0.25"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1"/>
      <c r="U76" s="1"/>
    </row>
    <row r="77" spans="2:32" x14ac:dyDescent="0.25"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1"/>
      <c r="U77" s="1"/>
    </row>
    <row r="78" spans="2:32" x14ac:dyDescent="0.25"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1"/>
      <c r="U78" s="1"/>
    </row>
    <row r="79" spans="2:32" x14ac:dyDescent="0.25"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1"/>
      <c r="U79" s="1"/>
    </row>
    <row r="80" spans="2:32" x14ac:dyDescent="0.25"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1"/>
      <c r="U80" s="1"/>
    </row>
    <row r="81" spans="3:21" x14ac:dyDescent="0.25"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1"/>
      <c r="U81" s="1"/>
    </row>
    <row r="82" spans="3:21" x14ac:dyDescent="0.25"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1"/>
      <c r="U82" s="1"/>
    </row>
    <row r="83" spans="3:21" x14ac:dyDescent="0.25"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1"/>
      <c r="U83" s="1"/>
    </row>
    <row r="84" spans="3:21" x14ac:dyDescent="0.25"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1"/>
      <c r="U84" s="1"/>
    </row>
    <row r="85" spans="3:21" x14ac:dyDescent="0.25"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1"/>
      <c r="U85" s="1"/>
    </row>
    <row r="86" spans="3:21" x14ac:dyDescent="0.25"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</row>
    <row r="87" spans="3:21" x14ac:dyDescent="0.25"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</row>
    <row r="88" spans="3:21" x14ac:dyDescent="0.25"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</row>
    <row r="89" spans="3:21" x14ac:dyDescent="0.25"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</row>
    <row r="90" spans="3:21" x14ac:dyDescent="0.25"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</row>
    <row r="91" spans="3:21" x14ac:dyDescent="0.25"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</row>
    <row r="92" spans="3:21" x14ac:dyDescent="0.25"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</row>
    <row r="93" spans="3:21" x14ac:dyDescent="0.25"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</row>
    <row r="94" spans="3:21" x14ac:dyDescent="0.25"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</row>
    <row r="95" spans="3:21" x14ac:dyDescent="0.25"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</row>
    <row r="96" spans="3:21" x14ac:dyDescent="0.25"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</row>
    <row r="97" spans="3:32" x14ac:dyDescent="0.25"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</row>
    <row r="98" spans="3:32" x14ac:dyDescent="0.25"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</row>
    <row r="99" spans="3:32" x14ac:dyDescent="0.25"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</row>
    <row r="105" spans="3:32" x14ac:dyDescent="0.25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11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</row>
    <row r="106" spans="3:32" x14ac:dyDescent="0.25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11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3:32" x14ac:dyDescent="0.25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11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</row>
    <row r="108" spans="3:32" x14ac:dyDescent="0.25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11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</row>
    <row r="109" spans="3:32" x14ac:dyDescent="0.25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11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</row>
    <row r="110" spans="3:32" x14ac:dyDescent="0.25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11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</row>
    <row r="111" spans="3:32" x14ac:dyDescent="0.25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11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</row>
    <row r="112" spans="3:32" x14ac:dyDescent="0.25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11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</row>
    <row r="113" spans="3:34" x14ac:dyDescent="0.25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11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</row>
    <row r="114" spans="3:34" x14ac:dyDescent="0.25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11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</row>
    <row r="115" spans="3:34" x14ac:dyDescent="0.25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11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</row>
    <row r="116" spans="3:34" x14ac:dyDescent="0.25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11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</row>
    <row r="117" spans="3:34" x14ac:dyDescent="0.25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11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</row>
    <row r="118" spans="3:34" x14ac:dyDescent="0.25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11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</row>
    <row r="119" spans="3:34" x14ac:dyDescent="0.25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S119" s="55"/>
    </row>
    <row r="120" spans="3:34" x14ac:dyDescent="0.25">
      <c r="C120" s="4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H120" s="55"/>
    </row>
    <row r="121" spans="3:34" x14ac:dyDescent="0.25">
      <c r="C121" s="4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H121" s="55"/>
    </row>
    <row r="122" spans="3:34" x14ac:dyDescent="0.25">
      <c r="C122" s="4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H122" s="55"/>
    </row>
    <row r="123" spans="3:34" x14ac:dyDescent="0.25"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H123" s="55"/>
    </row>
    <row r="124" spans="3:34" x14ac:dyDescent="0.25"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H124" s="55"/>
    </row>
    <row r="125" spans="3:34" x14ac:dyDescent="0.25"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H125" s="55"/>
    </row>
    <row r="126" spans="3:34" x14ac:dyDescent="0.25"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H126" s="55"/>
    </row>
    <row r="127" spans="3:34" x14ac:dyDescent="0.25"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H127" s="55"/>
    </row>
    <row r="128" spans="3:34" x14ac:dyDescent="0.25"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H128" s="55"/>
    </row>
    <row r="129" spans="3:53" x14ac:dyDescent="0.25"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H129" s="55"/>
    </row>
    <row r="130" spans="3:53" x14ac:dyDescent="0.25"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H130" s="55"/>
    </row>
    <row r="131" spans="3:53" x14ac:dyDescent="0.25"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H131" s="55"/>
    </row>
    <row r="132" spans="3:53" x14ac:dyDescent="0.25"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H132" s="55"/>
    </row>
    <row r="133" spans="3:53" x14ac:dyDescent="0.25"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H133" s="55"/>
    </row>
    <row r="134" spans="3:53" x14ac:dyDescent="0.25"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H134" s="55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</row>
    <row r="135" spans="3:53" x14ac:dyDescent="0.25"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</row>
    <row r="136" spans="3:53" x14ac:dyDescent="0.25"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</row>
    <row r="137" spans="3:53" x14ac:dyDescent="0.25"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</row>
    <row r="138" spans="3:53" x14ac:dyDescent="0.25"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</row>
    <row r="139" spans="3:53" x14ac:dyDescent="0.25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</row>
    <row r="140" spans="3:53" x14ac:dyDescent="0.25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</row>
    <row r="141" spans="3:53" x14ac:dyDescent="0.25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</row>
    <row r="142" spans="3:53" x14ac:dyDescent="0.25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</row>
    <row r="143" spans="3:53" x14ac:dyDescent="0.25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</row>
    <row r="144" spans="3:53" x14ac:dyDescent="0.25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</row>
    <row r="145" spans="3:53" x14ac:dyDescent="0.25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</row>
    <row r="146" spans="3:53" x14ac:dyDescent="0.25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</row>
    <row r="147" spans="3:53" x14ac:dyDescent="0.25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</row>
    <row r="148" spans="3:53" x14ac:dyDescent="0.25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</row>
    <row r="149" spans="3:53" x14ac:dyDescent="0.25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</row>
    <row r="150" spans="3:53" x14ac:dyDescent="0.25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</row>
    <row r="151" spans="3:53" x14ac:dyDescent="0.25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</row>
    <row r="152" spans="3:53" x14ac:dyDescent="0.25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</row>
    <row r="153" spans="3:53" x14ac:dyDescent="0.25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S153" s="55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</row>
    <row r="154" spans="3:53" x14ac:dyDescent="0.25">
      <c r="C154" s="4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H154" s="55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</row>
    <row r="155" spans="3:53" x14ac:dyDescent="0.25">
      <c r="C155" s="4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H155" s="55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</row>
    <row r="156" spans="3:53" x14ac:dyDescent="0.25">
      <c r="C156" s="4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H156" s="55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</row>
    <row r="157" spans="3:53" x14ac:dyDescent="0.25"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H157" s="55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</row>
    <row r="158" spans="3:53" x14ac:dyDescent="0.25"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H158" s="55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</row>
    <row r="159" spans="3:53" x14ac:dyDescent="0.25"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H159" s="55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</row>
    <row r="160" spans="3:53" ht="16.5" customHeight="1" x14ac:dyDescent="0.25"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H160" s="55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</row>
    <row r="161" spans="3:53" x14ac:dyDescent="0.25"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H161" s="55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</row>
    <row r="162" spans="3:53" x14ac:dyDescent="0.25"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H162" s="55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</row>
    <row r="163" spans="3:53" x14ac:dyDescent="0.25"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H163" s="55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</row>
    <row r="164" spans="3:53" x14ac:dyDescent="0.25"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H164" s="55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</row>
    <row r="165" spans="3:53" x14ac:dyDescent="0.25"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H165" s="55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</row>
    <row r="166" spans="3:53" x14ac:dyDescent="0.25"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H166" s="55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</row>
    <row r="167" spans="3:53" x14ac:dyDescent="0.25"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H167" s="55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</row>
    <row r="168" spans="3:53" x14ac:dyDescent="0.25"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H168" s="55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</row>
    <row r="169" spans="3:53" x14ac:dyDescent="0.25"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</row>
    <row r="170" spans="3:53" x14ac:dyDescent="0.25"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</row>
    <row r="171" spans="3:53" x14ac:dyDescent="0.25"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</row>
    <row r="172" spans="3:53" x14ac:dyDescent="0.25"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</row>
    <row r="173" spans="3:53" x14ac:dyDescent="0.25"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</row>
    <row r="174" spans="3:53" x14ac:dyDescent="0.25"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</row>
    <row r="175" spans="3:53" x14ac:dyDescent="0.25"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</row>
    <row r="176" spans="3:53" x14ac:dyDescent="0.25"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</row>
    <row r="177" spans="3:53" x14ac:dyDescent="0.25"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</row>
    <row r="178" spans="3:53" x14ac:dyDescent="0.25"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</row>
    <row r="179" spans="3:53" x14ac:dyDescent="0.25"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</row>
    <row r="180" spans="3:53" x14ac:dyDescent="0.25"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</row>
    <row r="181" spans="3:53" x14ac:dyDescent="0.25"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</row>
    <row r="182" spans="3:53" x14ac:dyDescent="0.25"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</row>
    <row r="183" spans="3:53" x14ac:dyDescent="0.25"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</row>
    <row r="184" spans="3:53" x14ac:dyDescent="0.25"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</row>
    <row r="185" spans="3:53" x14ac:dyDescent="0.25"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</row>
    <row r="186" spans="3:53" x14ac:dyDescent="0.25"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</row>
    <row r="187" spans="3:53" x14ac:dyDescent="0.25"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S187" s="55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</row>
    <row r="188" spans="3:53" x14ac:dyDescent="0.25">
      <c r="C188" s="4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H188" s="55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</row>
    <row r="189" spans="3:53" x14ac:dyDescent="0.25">
      <c r="C189" s="4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H189" s="55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</row>
    <row r="190" spans="3:53" x14ac:dyDescent="0.25">
      <c r="C190" s="4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H190" s="55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</row>
    <row r="191" spans="3:53" x14ac:dyDescent="0.25"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H191" s="55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</row>
    <row r="192" spans="3:53" x14ac:dyDescent="0.25"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H192" s="55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</row>
    <row r="193" spans="3:53" x14ac:dyDescent="0.25"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H193" s="55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</row>
    <row r="194" spans="3:53" x14ac:dyDescent="0.25"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H194" s="55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</row>
    <row r="195" spans="3:53" x14ac:dyDescent="0.25"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H195" s="55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</row>
    <row r="196" spans="3:53" x14ac:dyDescent="0.25"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H196" s="55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</row>
    <row r="197" spans="3:53" x14ac:dyDescent="0.25"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H197" s="55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</row>
    <row r="198" spans="3:53" x14ac:dyDescent="0.25"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H198" s="55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</row>
    <row r="199" spans="3:53" x14ac:dyDescent="0.25"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H199" s="55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</row>
    <row r="200" spans="3:53" x14ac:dyDescent="0.25"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H200" s="55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</row>
    <row r="201" spans="3:53" x14ac:dyDescent="0.25"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H201" s="55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</row>
    <row r="202" spans="3:53" x14ac:dyDescent="0.25"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H202" s="55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</row>
    <row r="203" spans="3:53" x14ac:dyDescent="0.25"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</row>
    <row r="204" spans="3:53" x14ac:dyDescent="0.25"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</row>
    <row r="205" spans="3:53" x14ac:dyDescent="0.25"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</row>
    <row r="206" spans="3:53" x14ac:dyDescent="0.25"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</row>
    <row r="207" spans="3:53" x14ac:dyDescent="0.25"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</row>
    <row r="208" spans="3:53" x14ac:dyDescent="0.25">
      <c r="AN208" s="55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</row>
    <row r="209" spans="3:53" x14ac:dyDescent="0.25">
      <c r="AN209" s="55"/>
      <c r="AO209" s="55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</row>
    <row r="210" spans="3:53" x14ac:dyDescent="0.25">
      <c r="E210" s="39"/>
      <c r="F210" s="39"/>
      <c r="AN210" s="55"/>
      <c r="AO210" s="55"/>
      <c r="AP210" s="55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</row>
    <row r="211" spans="3:53" x14ac:dyDescent="0.25">
      <c r="C211" s="4"/>
      <c r="D211" s="4"/>
      <c r="E211" s="116"/>
      <c r="F211" s="116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AN211" s="55"/>
      <c r="AO211" s="55"/>
      <c r="AP211" s="55"/>
      <c r="AQ211" s="55"/>
      <c r="AR211" s="4"/>
      <c r="AS211" s="4"/>
      <c r="AT211" s="4"/>
      <c r="AU211" s="4"/>
      <c r="AV211" s="4"/>
      <c r="AW211" s="4"/>
      <c r="AX211" s="4"/>
      <c r="AY211" s="4"/>
      <c r="AZ211" s="4"/>
      <c r="BA211" s="4"/>
    </row>
    <row r="212" spans="3:53" x14ac:dyDescent="0.25">
      <c r="C212" s="4"/>
      <c r="D212" s="4"/>
      <c r="E212" s="116"/>
      <c r="F212" s="116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AN212" s="55"/>
      <c r="AO212" s="55"/>
      <c r="AP212" s="55"/>
      <c r="AQ212" s="55"/>
      <c r="AR212" s="55"/>
      <c r="AS212" s="4"/>
      <c r="AT212" s="4"/>
      <c r="AU212" s="4"/>
      <c r="AV212" s="4"/>
      <c r="AW212" s="4"/>
      <c r="AX212" s="4"/>
      <c r="AY212" s="4"/>
      <c r="AZ212" s="4"/>
      <c r="BA212" s="4"/>
    </row>
    <row r="213" spans="3:53" x14ac:dyDescent="0.25">
      <c r="C213" s="4"/>
      <c r="D213" s="4"/>
      <c r="E213" s="116"/>
      <c r="F213" s="116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AN213" s="55"/>
      <c r="AO213" s="55"/>
      <c r="AP213" s="55"/>
      <c r="AQ213" s="55"/>
      <c r="AR213" s="55"/>
      <c r="AS213" s="55"/>
      <c r="AT213" s="4"/>
      <c r="AU213" s="4"/>
      <c r="AV213" s="4"/>
      <c r="AW213" s="4"/>
      <c r="AX213" s="4"/>
      <c r="AY213" s="4"/>
      <c r="AZ213" s="4"/>
      <c r="BA213" s="4"/>
    </row>
    <row r="214" spans="3:53" x14ac:dyDescent="0.25">
      <c r="C214" s="4"/>
      <c r="D214" s="4"/>
      <c r="E214" s="116"/>
      <c r="F214" s="116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AN214" s="55"/>
      <c r="AO214" s="55"/>
      <c r="AP214" s="55"/>
      <c r="AQ214" s="55"/>
      <c r="AR214" s="55"/>
      <c r="AS214" s="55"/>
      <c r="AT214" s="55"/>
      <c r="AU214" s="4"/>
      <c r="AV214" s="4"/>
      <c r="AW214" s="4"/>
      <c r="AX214" s="4"/>
      <c r="AY214" s="4"/>
      <c r="AZ214" s="4"/>
      <c r="BA214" s="4"/>
    </row>
    <row r="215" spans="3:53" x14ac:dyDescent="0.25">
      <c r="C215" s="4"/>
      <c r="D215" s="4"/>
      <c r="E215" s="116"/>
      <c r="F215" s="116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AN215" s="55"/>
      <c r="AO215" s="55"/>
      <c r="AP215" s="55"/>
      <c r="AQ215" s="55"/>
      <c r="AR215" s="55"/>
      <c r="AS215" s="55"/>
      <c r="AT215" s="55"/>
      <c r="AU215" s="55"/>
      <c r="AV215" s="4"/>
      <c r="AW215" s="4"/>
      <c r="AX215" s="4"/>
      <c r="AY215" s="4"/>
      <c r="AZ215" s="4"/>
      <c r="BA215" s="4"/>
    </row>
    <row r="216" spans="3:53" x14ac:dyDescent="0.25">
      <c r="C216" s="4"/>
      <c r="D216" s="4"/>
      <c r="E216" s="116"/>
      <c r="F216" s="116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AN216" s="55"/>
      <c r="AO216" s="55"/>
      <c r="AP216" s="55"/>
      <c r="AQ216" s="55"/>
      <c r="AR216" s="55"/>
      <c r="AS216" s="55"/>
      <c r="AT216" s="55"/>
      <c r="AU216" s="55"/>
      <c r="AV216" s="55"/>
      <c r="AW216" s="4"/>
      <c r="AX216" s="4"/>
      <c r="AY216" s="4"/>
      <c r="AZ216" s="4"/>
      <c r="BA216" s="4"/>
    </row>
    <row r="217" spans="3:53" x14ac:dyDescent="0.25">
      <c r="C217" s="4"/>
      <c r="D217" s="4"/>
      <c r="E217" s="116"/>
      <c r="F217" s="116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AN217" s="55"/>
      <c r="AO217" s="55"/>
      <c r="AP217" s="55"/>
      <c r="AQ217" s="55"/>
      <c r="AR217" s="55"/>
      <c r="AS217" s="55"/>
      <c r="AT217" s="55"/>
      <c r="AU217" s="55"/>
      <c r="AV217" s="55"/>
      <c r="AW217" s="55"/>
      <c r="AX217" s="4"/>
      <c r="AY217" s="4"/>
      <c r="AZ217" s="4"/>
      <c r="BA217" s="4"/>
    </row>
    <row r="218" spans="3:53" x14ac:dyDescent="0.25">
      <c r="C218" s="4"/>
      <c r="D218" s="4"/>
      <c r="E218" s="116"/>
      <c r="F218" s="116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AN218" s="55"/>
      <c r="AO218" s="55"/>
      <c r="AP218" s="55"/>
      <c r="AQ218" s="55"/>
      <c r="AR218" s="55"/>
      <c r="AS218" s="55"/>
      <c r="AT218" s="55"/>
      <c r="AU218" s="55"/>
      <c r="AV218" s="55"/>
      <c r="AW218" s="55"/>
      <c r="AX218" s="55"/>
      <c r="AY218" s="4"/>
      <c r="AZ218" s="4"/>
      <c r="BA218" s="4"/>
    </row>
    <row r="219" spans="3:53" x14ac:dyDescent="0.25">
      <c r="C219" s="4"/>
      <c r="D219" s="4"/>
      <c r="E219" s="116"/>
      <c r="F219" s="116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AN219" s="55"/>
      <c r="AO219" s="55"/>
      <c r="AP219" s="55"/>
      <c r="AQ219" s="55"/>
      <c r="AR219" s="55"/>
      <c r="AS219" s="55"/>
      <c r="AT219" s="55"/>
      <c r="AU219" s="55"/>
      <c r="AV219" s="55"/>
      <c r="AW219" s="55"/>
      <c r="AX219" s="55"/>
      <c r="AY219" s="55"/>
      <c r="AZ219" s="4"/>
      <c r="BA219" s="4"/>
    </row>
    <row r="220" spans="3:53" x14ac:dyDescent="0.25">
      <c r="C220" s="4"/>
      <c r="D220" s="4"/>
      <c r="E220" s="116"/>
      <c r="F220" s="116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AN220" s="55"/>
      <c r="AO220" s="55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4"/>
    </row>
    <row r="221" spans="3:53" x14ac:dyDescent="0.25">
      <c r="C221" s="4"/>
      <c r="D221" s="4"/>
      <c r="E221" s="116"/>
      <c r="F221" s="116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3:53" x14ac:dyDescent="0.25">
      <c r="C222" s="4"/>
      <c r="D222" s="4"/>
      <c r="E222" s="116"/>
      <c r="F222" s="116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</row>
    <row r="223" spans="3:53" x14ac:dyDescent="0.25">
      <c r="C223" s="4"/>
      <c r="D223" s="4"/>
      <c r="E223" s="116"/>
      <c r="F223" s="116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</row>
    <row r="224" spans="3:53" x14ac:dyDescent="0.25">
      <c r="C224" s="4"/>
      <c r="D224" s="4"/>
      <c r="E224" s="116"/>
      <c r="F224" s="116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</row>
    <row r="225" spans="3:17" x14ac:dyDescent="0.25">
      <c r="C225" s="4"/>
      <c r="D225" s="4"/>
      <c r="E225" s="116"/>
      <c r="F225" s="116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</row>
    <row r="226" spans="3:17" x14ac:dyDescent="0.25">
      <c r="C226" s="4"/>
      <c r="D226" s="4"/>
      <c r="E226" s="116"/>
      <c r="F226" s="116"/>
      <c r="G226" s="55"/>
      <c r="H226" s="4"/>
      <c r="I226" s="55"/>
      <c r="J226" s="55"/>
      <c r="K226" s="55"/>
      <c r="L226" s="55"/>
      <c r="M226" s="55"/>
      <c r="N226" s="55"/>
      <c r="O226" s="55"/>
      <c r="P226" s="55"/>
      <c r="Q226" s="4"/>
    </row>
    <row r="227" spans="3:17" x14ac:dyDescent="0.25">
      <c r="C227" s="4"/>
      <c r="D227" s="4"/>
      <c r="E227" s="116"/>
      <c r="F227" s="116"/>
      <c r="G227" s="55"/>
      <c r="H227" s="4"/>
      <c r="I227" s="55"/>
      <c r="J227" s="55"/>
      <c r="K227" s="55"/>
      <c r="L227" s="55"/>
      <c r="M227" s="55"/>
      <c r="N227" s="55"/>
      <c r="O227" s="55"/>
      <c r="P227" s="55"/>
      <c r="Q227" s="55"/>
    </row>
    <row r="228" spans="3:17" x14ac:dyDescent="0.25">
      <c r="C228" s="4"/>
      <c r="D228" s="4"/>
      <c r="E228" s="116"/>
      <c r="F228" s="116"/>
      <c r="G228" s="55"/>
      <c r="H228" s="4"/>
      <c r="I228" s="55"/>
      <c r="J228" s="55"/>
      <c r="K228" s="55"/>
      <c r="L228" s="55"/>
      <c r="M228" s="55"/>
      <c r="N228" s="55"/>
      <c r="O228" s="55"/>
      <c r="P228" s="55"/>
      <c r="Q228" s="55"/>
    </row>
    <row r="229" spans="3:17" x14ac:dyDescent="0.25">
      <c r="C229" s="4"/>
      <c r="D229" s="4"/>
      <c r="E229" s="116"/>
      <c r="F229" s="116"/>
      <c r="G229" s="55"/>
      <c r="H229" s="4"/>
      <c r="I229" s="55"/>
      <c r="J229" s="55"/>
      <c r="K229" s="55"/>
      <c r="L229" s="55"/>
      <c r="M229" s="55"/>
      <c r="N229" s="55"/>
      <c r="O229" s="55"/>
      <c r="P229" s="55"/>
      <c r="Q229" s="55"/>
    </row>
    <row r="230" spans="3:17" x14ac:dyDescent="0.25">
      <c r="C230" s="4"/>
      <c r="D230" s="4"/>
      <c r="E230" s="116"/>
      <c r="F230" s="116"/>
      <c r="G230" s="55"/>
      <c r="H230" s="4"/>
      <c r="I230" s="55"/>
      <c r="J230" s="55"/>
      <c r="K230" s="55"/>
      <c r="L230" s="55"/>
      <c r="M230" s="55"/>
      <c r="N230" s="55"/>
      <c r="O230" s="55"/>
      <c r="P230" s="55"/>
      <c r="Q230" s="55"/>
    </row>
    <row r="231" spans="3:17" x14ac:dyDescent="0.25">
      <c r="C231" s="4"/>
      <c r="D231" s="4"/>
      <c r="E231" s="116"/>
      <c r="F231" s="116"/>
      <c r="G231" s="55"/>
      <c r="H231" s="4"/>
      <c r="I231" s="55"/>
      <c r="J231" s="55"/>
      <c r="K231" s="55"/>
      <c r="L231" s="55"/>
      <c r="M231" s="55"/>
      <c r="N231" s="55"/>
      <c r="O231" s="55"/>
      <c r="P231" s="55"/>
      <c r="Q231" s="55"/>
    </row>
    <row r="232" spans="3:17" x14ac:dyDescent="0.25">
      <c r="C232" s="4"/>
      <c r="D232" s="4"/>
      <c r="E232" s="116"/>
      <c r="F232" s="116"/>
      <c r="G232" s="55"/>
      <c r="H232" s="4"/>
      <c r="I232" s="55"/>
      <c r="J232" s="55"/>
      <c r="K232" s="55"/>
      <c r="L232" s="55"/>
      <c r="M232" s="55"/>
      <c r="N232" s="55"/>
      <c r="O232" s="55"/>
      <c r="P232" s="55"/>
      <c r="Q232" s="55"/>
    </row>
    <row r="233" spans="3:17" x14ac:dyDescent="0.25">
      <c r="C233" s="4"/>
      <c r="D233" s="4"/>
      <c r="E233" s="116"/>
      <c r="F233" s="116"/>
      <c r="G233" s="55"/>
      <c r="H233" s="4"/>
      <c r="I233" s="55"/>
      <c r="J233" s="55"/>
      <c r="K233" s="55"/>
      <c r="L233" s="55"/>
      <c r="M233" s="55"/>
      <c r="N233" s="55"/>
      <c r="O233" s="55"/>
      <c r="P233" s="55"/>
      <c r="Q233" s="55"/>
    </row>
    <row r="234" spans="3:17" x14ac:dyDescent="0.25">
      <c r="C234" s="4"/>
      <c r="D234" s="4"/>
      <c r="E234" s="116"/>
      <c r="F234" s="116"/>
      <c r="G234" s="55"/>
      <c r="H234" s="4"/>
      <c r="I234" s="55"/>
      <c r="J234" s="55"/>
      <c r="K234" s="55"/>
      <c r="L234" s="55"/>
      <c r="M234" s="55"/>
      <c r="N234" s="55"/>
      <c r="O234" s="55"/>
      <c r="P234" s="55"/>
      <c r="Q234" s="55"/>
    </row>
    <row r="235" spans="3:17" x14ac:dyDescent="0.25">
      <c r="C235" s="4"/>
      <c r="D235" s="4"/>
      <c r="E235" s="116"/>
      <c r="F235" s="116"/>
      <c r="G235" s="55"/>
      <c r="H235" s="4"/>
      <c r="I235" s="55"/>
      <c r="J235" s="55"/>
      <c r="K235" s="55"/>
      <c r="L235" s="55"/>
      <c r="M235" s="55"/>
      <c r="N235" s="55"/>
      <c r="O235" s="55"/>
      <c r="P235" s="55"/>
      <c r="Q235" s="55"/>
    </row>
    <row r="236" spans="3:17" x14ac:dyDescent="0.25">
      <c r="C236" s="4"/>
      <c r="D236" s="4"/>
      <c r="E236" s="116"/>
      <c r="F236" s="116"/>
      <c r="G236" s="55"/>
      <c r="H236" s="4"/>
      <c r="I236" s="55"/>
      <c r="J236" s="55"/>
      <c r="K236" s="55"/>
      <c r="L236" s="55"/>
      <c r="M236" s="55"/>
      <c r="N236" s="55"/>
      <c r="O236" s="55"/>
      <c r="P236" s="55"/>
      <c r="Q236" s="55"/>
    </row>
    <row r="237" spans="3:17" x14ac:dyDescent="0.25">
      <c r="C237" s="4"/>
      <c r="D237" s="4"/>
      <c r="E237" s="116"/>
      <c r="F237" s="116"/>
      <c r="G237" s="55"/>
      <c r="H237" s="4"/>
      <c r="I237" s="55"/>
      <c r="J237" s="55"/>
      <c r="K237" s="55"/>
      <c r="L237" s="55"/>
      <c r="M237" s="55"/>
      <c r="N237" s="55"/>
      <c r="O237" s="55"/>
      <c r="P237" s="55"/>
      <c r="Q237" s="55"/>
    </row>
    <row r="238" spans="3:17" x14ac:dyDescent="0.25">
      <c r="C238" s="4"/>
      <c r="D238" s="4"/>
      <c r="E238" s="116"/>
      <c r="F238" s="116"/>
      <c r="G238" s="55"/>
      <c r="H238" s="4"/>
      <c r="I238" s="55"/>
      <c r="J238" s="55"/>
      <c r="K238" s="55"/>
      <c r="L238" s="55"/>
      <c r="M238" s="55"/>
      <c r="N238" s="55"/>
      <c r="O238" s="55"/>
      <c r="P238" s="55"/>
      <c r="Q238" s="55"/>
    </row>
    <row r="239" spans="3:17" x14ac:dyDescent="0.25">
      <c r="C239" s="4"/>
      <c r="D239" s="4"/>
      <c r="E239" s="116"/>
      <c r="F239" s="116"/>
      <c r="G239" s="55"/>
      <c r="H239" s="4"/>
      <c r="I239" s="55"/>
      <c r="J239" s="55"/>
      <c r="K239" s="55"/>
      <c r="L239" s="55"/>
      <c r="M239" s="55"/>
      <c r="N239" s="55"/>
      <c r="O239" s="55"/>
      <c r="P239" s="55"/>
      <c r="Q239" s="55"/>
    </row>
    <row r="240" spans="3:17" x14ac:dyDescent="0.25">
      <c r="C240" s="4"/>
      <c r="D240" s="4"/>
      <c r="E240" s="116"/>
      <c r="F240" s="116"/>
      <c r="G240" s="55"/>
      <c r="H240" s="4"/>
      <c r="I240" s="55"/>
      <c r="J240" s="55"/>
      <c r="K240" s="55"/>
      <c r="L240" s="55"/>
      <c r="M240" s="55"/>
      <c r="N240" s="55"/>
      <c r="O240" s="55"/>
      <c r="P240" s="55"/>
      <c r="Q240" s="55"/>
    </row>
    <row r="241" spans="3:6" x14ac:dyDescent="0.25">
      <c r="C241" s="91"/>
      <c r="D241" s="91"/>
    </row>
    <row r="242" spans="3:6" x14ac:dyDescent="0.25">
      <c r="C242" s="4"/>
      <c r="D242" s="4"/>
      <c r="E242" s="4"/>
      <c r="F242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20EF3-389A-4939-ABE6-5C820E68686B}">
  <sheetPr codeName="Sheet14"/>
  <dimension ref="A1:AH84"/>
  <sheetViews>
    <sheetView workbookViewId="0">
      <selection activeCell="A2" sqref="A2"/>
    </sheetView>
  </sheetViews>
  <sheetFormatPr defaultRowHeight="15" x14ac:dyDescent="0.25"/>
  <cols>
    <col min="2" max="2" width="6.28515625" customWidth="1"/>
    <col min="3" max="3" width="19.28515625" bestFit="1" customWidth="1"/>
    <col min="4" max="4" width="7.7109375" customWidth="1"/>
    <col min="5" max="5" width="6.7109375" customWidth="1"/>
    <col min="6" max="6" width="10.85546875" customWidth="1"/>
    <col min="7" max="7" width="12.140625" customWidth="1"/>
    <col min="9" max="10" width="7.140625" customWidth="1"/>
    <col min="11" max="11" width="3.7109375" customWidth="1"/>
    <col min="12" max="12" width="6.42578125" customWidth="1"/>
    <col min="13" max="13" width="23.140625" customWidth="1"/>
    <col min="14" max="14" width="7" customWidth="1"/>
    <col min="15" max="15" width="6.140625" customWidth="1"/>
    <col min="16" max="16" width="10.85546875" customWidth="1"/>
    <col min="17" max="17" width="12.140625" customWidth="1"/>
    <col min="19" max="19" width="6.85546875" customWidth="1"/>
    <col min="20" max="20" width="8.42578125" customWidth="1"/>
  </cols>
  <sheetData>
    <row r="1" spans="1:29" ht="15.75" thickBot="1" x14ac:dyDescent="0.3">
      <c r="B1" t="s">
        <v>76</v>
      </c>
      <c r="C1" t="s">
        <v>0</v>
      </c>
      <c r="D1" t="s">
        <v>1</v>
      </c>
      <c r="E1" t="s">
        <v>2</v>
      </c>
      <c r="F1" t="s">
        <v>3</v>
      </c>
      <c r="G1" s="6" t="s">
        <v>180</v>
      </c>
      <c r="H1" s="6" t="s">
        <v>53</v>
      </c>
      <c r="I1" s="6" t="s">
        <v>216</v>
      </c>
      <c r="J1" s="6" t="s">
        <v>226</v>
      </c>
      <c r="K1" s="6"/>
      <c r="L1" t="s">
        <v>76</v>
      </c>
      <c r="M1" t="s">
        <v>0</v>
      </c>
      <c r="N1" t="s">
        <v>1</v>
      </c>
      <c r="O1" t="s">
        <v>2</v>
      </c>
      <c r="P1" t="s">
        <v>3</v>
      </c>
      <c r="Q1" s="6" t="s">
        <v>180</v>
      </c>
      <c r="R1" s="6" t="s">
        <v>53</v>
      </c>
      <c r="S1" s="6" t="s">
        <v>216</v>
      </c>
      <c r="T1" s="6" t="s">
        <v>226</v>
      </c>
      <c r="Y1" s="282" t="s">
        <v>246</v>
      </c>
      <c r="Z1" s="282"/>
    </row>
    <row r="2" spans="1:29" ht="15.75" thickBot="1" x14ac:dyDescent="0.3">
      <c r="A2" s="150">
        <v>2014</v>
      </c>
      <c r="B2">
        <v>1</v>
      </c>
      <c r="C2" t="str">
        <f>IF($A$2=2020,East2020[[#This Row],[Teams]],IF($A$2=2019,East2019[[#This Row],[Teams]],IF($A$2=2018,'Historical Standings'!B35,IF($A$2=2017,'Historical Standings'!L35,IF($A$2=2016,'Historical Standings'!B69,IF($A$2=2015,'Historical Standings'!L69,IF($A$2=2014,'Historical Standings'!B103,IF($A$2=2013,'Historical Standings'!L103,IF($A$2=2012,'Historical Standings'!B137,IF($A$2=2011,'Historical Standings'!L137,IF($A$2=2010,'Historical Standings'!B171,IF($A$2=2009,'Historical Standings'!L171,IF($A$2=2008,'Historical Standings'!B205,IF($A$2=2007,'Historical Standings'!L205,IF($A$2=2006,'Historical Standings'!B239,IF($A$2=2005,'Historical Standings'!L239,IF($A$2=2004,'Historical Standings'!B273,'Historical Standings'!L273)))))))))))))))))</f>
        <v>Indiana Pacers</v>
      </c>
      <c r="D2">
        <f>IF($A$2=2020,East2020[[#This Row],[W]],IF($A$2=2019,East2019[[#This Row],[W]],IF($A$2=2018,'Historical Standings'!C35,IF($A$2=2017,'Historical Standings'!M35,IF($A$2=2016,'Historical Standings'!C69,IF($A$2=2015,'Historical Standings'!M69,IF($A$2=2014,'Historical Standings'!C103,IF($A$2=2013,'Historical Standings'!M103,IF($A$2=2012,'Historical Standings'!C137,IF($A$2=2011,'Historical Standings'!M137,IF($A$2=2010,'Historical Standings'!C171,IF($A$2=2009,'Historical Standings'!M171,IF($A$2=2008,'Historical Standings'!C205,IF($A$2=2007,'Historical Standings'!M205,IF($A$2=2006,'Historical Standings'!C239,IF($A$2=2005,'Historical Standings'!M239,IF($A$2=2004,'Historical Standings'!C273,'Historical Standings'!M273)))))))))))))))))</f>
        <v>56</v>
      </c>
      <c r="E2">
        <f>IF($A$2=2020,East2020[[#This Row],[L]],IF($A$2=2019,East2019[[#This Row],[L]],IF($A$2=2018,'Historical Standings'!D35,IF($A$2=2017,'Historical Standings'!N35,IF($A$2=2016,'Historical Standings'!D69,IF($A$2=2015,'Historical Standings'!N69,IF($A$2=2014,'Historical Standings'!D103,IF($A$2=2013,'Historical Standings'!N103,IF($A$2=2012,'Historical Standings'!D137,IF($A$2=2011,'Historical Standings'!N137,IF($A$2=2010,'Historical Standings'!D171,IF($A$2=2009,'Historical Standings'!N171,IF($A$2=2008,'Historical Standings'!D205,IF($A$2=2007,'Historical Standings'!N205,IF($A$2=2006,'Historical Standings'!D239,IF($A$2=2005,'Historical Standings'!N239,IF($A$2=2004,'Historical Standings'!D273,'Historical Standings'!N273)))))))))))))))))</f>
        <v>26</v>
      </c>
      <c r="F2">
        <f>IF($A$2=2020,East2020[[#This Row],[WIN PCT]],IF($A$2=2019,East2019[[#This Row],[WIN PCT]],IF($A$2=2018,'Historical Standings'!E35,IF($A$2=2017,'Historical Standings'!O35,IF($A$2=2016,'Historical Standings'!E69,IF($A$2=2015,'Historical Standings'!O69,IF($A$2=2014,'Historical Standings'!E103,IF($A$2=2013,'Historical Standings'!O103,IF($A$2=2012,'Historical Standings'!E137,IF($A$2=2011,'Historical Standings'!O137,IF($A$2=2010,'Historical Standings'!E171,IF($A$2=2009,'Historical Standings'!O171,IF($A$2=2008,'Historical Standings'!E205,IF($A$2=2007,'Historical Standings'!O205,IF($A$2=2006,'Historical Standings'!E239,IF($A$2=2005,'Historical Standings'!O239,IF($A$2=2004,'Historical Standings'!E273,'Historical Standings'!O273)))))))))))))))))</f>
        <v>0.68300000000000005</v>
      </c>
      <c r="G2" s="4">
        <f>VLOOKUP($C2,'Historical Luck'!$A$7:$CM$36,5*ABS($A$2-2021),FALSE)</f>
        <v>0.66554989930807018</v>
      </c>
      <c r="H2" s="5">
        <f>VLOOKUP($C2,'Historical Luck'!$A$7:$CM$36,5*ABS($A$2-2020)+6,FALSE)</f>
        <v>1.7450100691929871E-2</v>
      </c>
      <c r="I2">
        <f>RANK(G2,$G$2:$G$16,0)</f>
        <v>2</v>
      </c>
      <c r="J2">
        <f>IF($A$2=2020,East2020[[#This Row],[Diff]],IF($A$2=2019,East2019[[#This Row],[Diff]],IF($A$2=2018,'Historical Standings'!J35,IF($A$2=2017,'Historical Standings'!T35,IF($A$2=2016,'Historical Standings'!J69,IF($A$2=2015,'Historical Standings'!T69,IF($A$2=2014,'Historical Standings'!J103,IF($A$2=2013,'Historical Standings'!T103,IF($A$2=2012,'Historical Standings'!J137,IF($A$2=2011,'Historical Standings'!T137,IF($A$2=2010,'Historical Standings'!J171,IF($A$2=2009,'Historical Standings'!T171,IF($A$2=2008,'Historical Standings'!J205,IF($A$2=2007,'Historical Standings'!T205,IF($A$2=2006,'Historical Standings'!J239,IF($A$2=2005,'Historical Standings'!T239,IF($A$2=2004,'Historical Standings'!J273,'Historical Standings'!T273)))))))))))))))))</f>
        <v>14.29</v>
      </c>
      <c r="L2">
        <v>1</v>
      </c>
      <c r="M2" t="str">
        <f>IF($A$2=2020,'Historical Standings'!B18,IF($A$2=2019,'Historical Standings'!L18,IF($A$2=2018,'Historical Standings'!B52,IF($A$2=2017,'Historical Standings'!L52,IF($A$2=2016,'Historical Standings'!B86,IF($A$2=2015,'Historical Standings'!L86,IF($A$2=2014,'Historical Standings'!B120,IF($A$2=2013,'Historical Standings'!L120,IF($A$2=2012,'Historical Standings'!B154,IF($A$2=2011,'Historical Standings'!L154,IF($A$2=2010,'Historical Standings'!B188,IF($A$2=2009,'Historical Standings'!L188,IF($A$2=2008,'Historical Standings'!B222,IF($A$2=2007,'Historical Standings'!L222,IF($A$2=2006,'Historical Standings'!B256,IF($A$2=2005,'Historical Standings'!L256,IF($A$2=2004,'Historical Standings'!B290,'Historical Standings'!L290)))))))))))))))))</f>
        <v>San Antonio Spurs</v>
      </c>
      <c r="N2">
        <f>IF($A$2=2020,'Historical Standings'!C18,IF($A$2=2019,'Historical Standings'!M18,IF($A$2=2018,'Historical Standings'!C52,IF($A$2=2017,'Historical Standings'!M52,IF($A$2=2016,'Historical Standings'!C86,IF($A$2=2015,'Historical Standings'!M86,IF($A$2=2014,'Historical Standings'!C120,IF($A$2=2013,'Historical Standings'!M120,IF($A$2=2012,'Historical Standings'!C154,IF($A$2=2011,'Historical Standings'!M154,IF($A$2=2010,'Historical Standings'!C188,IF($A$2=2009,'Historical Standings'!M188,IF($A$2=2008,'Historical Standings'!C222,IF($A$2=2007,'Historical Standings'!M222,IF($A$2=2006,'Historical Standings'!C256,IF($A$2=2005,'Historical Standings'!M256,IF($A$2=2004,'Historical Standings'!C290,'Historical Standings'!M290)))))))))))))))))</f>
        <v>62</v>
      </c>
      <c r="O2">
        <f>IF($A$2=2020,'Historical Standings'!D18,IF($A$2=2019,'Historical Standings'!N18,IF($A$2=2018,'Historical Standings'!D52,IF($A$2=2017,'Historical Standings'!N52,IF($A$2=2016,'Historical Standings'!D86,IF($A$2=2015,'Historical Standings'!N86,IF($A$2=2014,'Historical Standings'!D120,IF($A$2=2013,'Historical Standings'!N120,IF($A$2=2012,'Historical Standings'!D154,IF($A$2=2011,'Historical Standings'!N154,IF($A$2=2010,'Historical Standings'!D188,IF($A$2=2009,'Historical Standings'!N188,IF($A$2=2008,'Historical Standings'!D222,IF($A$2=2007,'Historical Standings'!N222,IF($A$2=2006,'Historical Standings'!D256,IF($A$2=2005,'Historical Standings'!N256,IF($A$2=2004,'Historical Standings'!D290,'Historical Standings'!N290)))))))))))))))))</f>
        <v>20</v>
      </c>
      <c r="P2" s="4">
        <f>IF($A$2=2020,'Historical Standings'!E18,IF($A$2=2019,'Historical Standings'!O18,IF($A$2=2018,'Historical Standings'!E52,IF($A$2=2017,'Historical Standings'!O52,IF($A$2=2016,'Historical Standings'!E86,IF($A$2=2015,'Historical Standings'!O86,IF($A$2=2014,'Historical Standings'!E120,IF($A$2=2013,'Historical Standings'!O120,IF($A$2=2012,'Historical Standings'!E154,IF($A$2=2011,'Historical Standings'!O154,IF($A$2=2010,'Historical Standings'!E188,IF($A$2=2009,'Historical Standings'!O188,IF($A$2=2008,'Historical Standings'!E222,IF($A$2=2007,'Historical Standings'!O222,IF($A$2=2006,'Historical Standings'!E256,IF($A$2=2005,'Historical Standings'!O256,IF($A$2=2004,'Historical Standings'!E290,'Historical Standings'!O290)))))))))))))))))</f>
        <v>0.75600000000000001</v>
      </c>
      <c r="Q2" s="4">
        <f>IFERROR(VLOOKUP($M2,'Historical Luck'!$A$7:$CM$36,5*ABS($A$2-2021),FALSE),"")</f>
        <v>0.75696019797758063</v>
      </c>
      <c r="R2" s="5">
        <f>IFERROR(VLOOKUP($M2,'Historical Luck'!$A$7:$CM$36,5*ABS($A$2-2020)+6,FALSE),"")</f>
        <v>-9.6019797758062353E-4</v>
      </c>
      <c r="S2">
        <f t="shared" ref="S2:S16" si="0">IFERROR(RANK(Q2,$Q$2:$Q$16,0),"")</f>
        <v>1</v>
      </c>
      <c r="T2">
        <f>IF($A$2=2020,'Historical Standings'!J18,IF($A$2=2019,'Historical Standings'!T18,IF($A$2=2018,'Historical Standings'!J52,IF($A$2=2017,'Historical Standings'!T52,IF($A$2=2016,'Historical Standings'!J86,IF($A$2=2015,'Historical Standings'!T86,IF($A$2=2014,'Historical Standings'!J120,IF($A$2=2013,'Historical Standings'!T120,IF($A$2=2012,'Historical Standings'!J154,IF($A$2=2011,'Historical Standings'!T154,IF($A$2=2010,'Historical Standings'!J188,IF($A$2=2009,'Historical Standings'!T188,IF($A$2=2008,'Historical Standings'!J222,IF($A$2=2007,'Historical Standings'!T222,IF($A$2=2006,'Historical Standings'!J256,IF($A$2=2005,'Historical Standings'!T256,IF($A$2=2004,'Historical Standings'!J290,'Historical Standings'!T290)))))))))))))))))</f>
        <v>18.66</v>
      </c>
      <c r="V2" t="s">
        <v>235</v>
      </c>
      <c r="W2" t="s">
        <v>236</v>
      </c>
      <c r="X2" t="s">
        <v>245</v>
      </c>
      <c r="Y2" t="s">
        <v>248</v>
      </c>
      <c r="Z2" t="s">
        <v>247</v>
      </c>
    </row>
    <row r="3" spans="1:29" x14ac:dyDescent="0.25">
      <c r="B3">
        <v>2</v>
      </c>
      <c r="C3" t="str">
        <f>IF($A$2=2020,East2020[[#This Row],[Teams]],IF($A$2=2019,East2019[[#This Row],[Teams]],IF($A$2=2018,'Historical Standings'!B36,IF($A$2=2017,'Historical Standings'!L36,IF($A$2=2016,'Historical Standings'!B70,IF($A$2=2015,'Historical Standings'!L70,IF($A$2=2014,'Historical Standings'!B104,IF($A$2=2013,'Historical Standings'!L104,IF($A$2=2012,'Historical Standings'!B138,IF($A$2=2011,'Historical Standings'!L138,IF($A$2=2010,'Historical Standings'!B172,IF($A$2=2009,'Historical Standings'!L172,IF($A$2=2008,'Historical Standings'!B206,IF($A$2=2007,'Historical Standings'!L206,IF($A$2=2006,'Historical Standings'!B240,IF($A$2=2005,'Historical Standings'!L240,IF($A$2=2004,'Historical Standings'!B274,'Historical Standings'!L274)))))))))))))))))</f>
        <v>Miami Heat</v>
      </c>
      <c r="D3">
        <f>IF($A$2=2020,East2020[[#This Row],[W]],IF($A$2=2019,East2019[[#This Row],[W]],IF($A$2=2018,'Historical Standings'!C36,IF($A$2=2017,'Historical Standings'!M36,IF($A$2=2016,'Historical Standings'!C70,IF($A$2=2015,'Historical Standings'!M70,IF($A$2=2014,'Historical Standings'!C104,IF($A$2=2013,'Historical Standings'!M104,IF($A$2=2012,'Historical Standings'!C138,IF($A$2=2011,'Historical Standings'!M138,IF($A$2=2010,'Historical Standings'!C172,IF($A$2=2009,'Historical Standings'!M172,IF($A$2=2008,'Historical Standings'!C206,IF($A$2=2007,'Historical Standings'!M206,IF($A$2=2006,'Historical Standings'!C240,IF($A$2=2005,'Historical Standings'!M240,IF($A$2=2004,'Historical Standings'!C274,'Historical Standings'!M274)))))))))))))))))</f>
        <v>54</v>
      </c>
      <c r="E3">
        <f>IF($A$2=2020,East2020[[#This Row],[L]],IF($A$2=2019,East2019[[#This Row],[L]],IF($A$2=2018,'Historical Standings'!D36,IF($A$2=2017,'Historical Standings'!N36,IF($A$2=2016,'Historical Standings'!D70,IF($A$2=2015,'Historical Standings'!N70,IF($A$2=2014,'Historical Standings'!D104,IF($A$2=2013,'Historical Standings'!N104,IF($A$2=2012,'Historical Standings'!D138,IF($A$2=2011,'Historical Standings'!N138,IF($A$2=2010,'Historical Standings'!D172,IF($A$2=2009,'Historical Standings'!N172,IF($A$2=2008,'Historical Standings'!D206,IF($A$2=2007,'Historical Standings'!N206,IF($A$2=2006,'Historical Standings'!D240,IF($A$2=2005,'Historical Standings'!N240,IF($A$2=2004,'Historical Standings'!D274,'Historical Standings'!N274)))))))))))))))))</f>
        <v>28</v>
      </c>
      <c r="F3">
        <f>IF($A$2=2020,East2020[[#This Row],[WIN PCT]],IF($A$2=2019,East2019[[#This Row],[WIN PCT]],IF($A$2=2018,'Historical Standings'!E36,IF($A$2=2017,'Historical Standings'!O36,IF($A$2=2016,'Historical Standings'!E70,IF($A$2=2015,'Historical Standings'!O70,IF($A$2=2014,'Historical Standings'!E104,IF($A$2=2013,'Historical Standings'!O104,IF($A$2=2012,'Historical Standings'!E138,IF($A$2=2011,'Historical Standings'!O138,IF($A$2=2010,'Historical Standings'!E172,IF($A$2=2009,'Historical Standings'!O172,IF($A$2=2008,'Historical Standings'!E206,IF($A$2=2007,'Historical Standings'!O206,IF($A$2=2006,'Historical Standings'!E240,IF($A$2=2005,'Historical Standings'!O240,IF($A$2=2004,'Historical Standings'!E274,'Historical Standings'!O274)))))))))))))))))</f>
        <v>0.65900000000000003</v>
      </c>
      <c r="G3" s="4">
        <f>VLOOKUP($C3,'Historical Luck'!$A$7:$CM$36,5*ABS($A$2-2021),FALSE)</f>
        <v>0.67058354299502798</v>
      </c>
      <c r="H3" s="5">
        <f>VLOOKUP($C3,'Historical Luck'!$A$7:$CM$36,5*ABS($A$2-2020)+6,FALSE)</f>
        <v>-1.1583542995027951E-2</v>
      </c>
      <c r="I3">
        <f t="shared" ref="I3:I16" si="1">RANK(G3,$G$2:$G$16,0)</f>
        <v>1</v>
      </c>
      <c r="J3">
        <f>IF($A$2=2020,East2020[[#This Row],[Diff]],IF($A$2=2019,East2019[[#This Row],[Diff]],IF($A$2=2018,'Historical Standings'!J36,IF($A$2=2017,'Historical Standings'!T36,IF($A$2=2016,'Historical Standings'!J70,IF($A$2=2015,'Historical Standings'!T70,IF($A$2=2014,'Historical Standings'!J104,IF($A$2=2013,'Historical Standings'!T104,IF($A$2=2012,'Historical Standings'!J138,IF($A$2=2011,'Historical Standings'!T138,IF($A$2=2010,'Historical Standings'!J172,IF($A$2=2009,'Historical Standings'!T172,IF($A$2=2008,'Historical Standings'!J206,IF($A$2=2007,'Historical Standings'!T206,IF($A$2=2006,'Historical Standings'!J240,IF($A$2=2005,'Historical Standings'!T240,IF($A$2=2004,'Historical Standings'!J274,'Historical Standings'!T274)))))))))))))))))</f>
        <v>14.81</v>
      </c>
      <c r="L3">
        <v>2</v>
      </c>
      <c r="M3" t="str">
        <f>IF($A$2=2020,'Historical Standings'!B19,IF($A$2=2019,'Historical Standings'!L19,IF($A$2=2018,'Historical Standings'!B53,IF($A$2=2017,'Historical Standings'!L53,IF($A$2=2016,'Historical Standings'!B87,IF($A$2=2015,'Historical Standings'!L87,IF($A$2=2014,'Historical Standings'!B121,IF($A$2=2013,'Historical Standings'!L121,IF($A$2=2012,'Historical Standings'!B155,IF($A$2=2011,'Historical Standings'!L155,IF($A$2=2010,'Historical Standings'!B189,IF($A$2=2009,'Historical Standings'!L189,IF($A$2=2008,'Historical Standings'!B223,IF($A$2=2007,'Historical Standings'!L223,IF($A$2=2006,'Historical Standings'!B257,IF($A$2=2005,'Historical Standings'!L257,IF($A$2=2004,'Historical Standings'!B291,'Historical Standings'!L291)))))))))))))))))</f>
        <v>Oklahoma City Thunder</v>
      </c>
      <c r="N3">
        <f>IF($A$2=2020,'Historical Standings'!C19,IF($A$2=2019,'Historical Standings'!M19,IF($A$2=2018,'Historical Standings'!C53,IF($A$2=2017,'Historical Standings'!M53,IF($A$2=2016,'Historical Standings'!C87,IF($A$2=2015,'Historical Standings'!M87,IF($A$2=2014,'Historical Standings'!C121,IF($A$2=2013,'Historical Standings'!M121,IF($A$2=2012,'Historical Standings'!C155,IF($A$2=2011,'Historical Standings'!M155,IF($A$2=2010,'Historical Standings'!C189,IF($A$2=2009,'Historical Standings'!M189,IF($A$2=2008,'Historical Standings'!C223,IF($A$2=2007,'Historical Standings'!M223,IF($A$2=2006,'Historical Standings'!C257,IF($A$2=2005,'Historical Standings'!M257,IF($A$2=2004,'Historical Standings'!C291,'Historical Standings'!M291)))))))))))))))))</f>
        <v>59</v>
      </c>
      <c r="O3">
        <f>IF($A$2=2020,'Historical Standings'!D19,IF($A$2=2019,'Historical Standings'!N19,IF($A$2=2018,'Historical Standings'!D53,IF($A$2=2017,'Historical Standings'!N53,IF($A$2=2016,'Historical Standings'!D87,IF($A$2=2015,'Historical Standings'!N87,IF($A$2=2014,'Historical Standings'!D121,IF($A$2=2013,'Historical Standings'!N121,IF($A$2=2012,'Historical Standings'!D155,IF($A$2=2011,'Historical Standings'!N155,IF($A$2=2010,'Historical Standings'!D189,IF($A$2=2009,'Historical Standings'!N189,IF($A$2=2008,'Historical Standings'!D223,IF($A$2=2007,'Historical Standings'!N223,IF($A$2=2006,'Historical Standings'!D257,IF($A$2=2005,'Historical Standings'!N257,IF($A$2=2004,'Historical Standings'!D291,'Historical Standings'!N291)))))))))))))))))</f>
        <v>23</v>
      </c>
      <c r="P3" s="4">
        <f>IF($A$2=2020,'Historical Standings'!E19,IF($A$2=2019,'Historical Standings'!O19,IF($A$2=2018,'Historical Standings'!E53,IF($A$2=2017,'Historical Standings'!O53,IF($A$2=2016,'Historical Standings'!E87,IF($A$2=2015,'Historical Standings'!O87,IF($A$2=2014,'Historical Standings'!E121,IF($A$2=2013,'Historical Standings'!O121,IF($A$2=2012,'Historical Standings'!E155,IF($A$2=2011,'Historical Standings'!O155,IF($A$2=2010,'Historical Standings'!E189,IF($A$2=2009,'Historical Standings'!O189,IF($A$2=2008,'Historical Standings'!E223,IF($A$2=2007,'Historical Standings'!O223,IF($A$2=2006,'Historical Standings'!E257,IF($A$2=2005,'Historical Standings'!O257,IF($A$2=2004,'Historical Standings'!E291,'Historical Standings'!O291)))))))))))))))))</f>
        <v>0.72</v>
      </c>
      <c r="Q3" s="4">
        <f>IFERROR(VLOOKUP($M3,'Historical Luck'!$A$7:$CM$36,5*ABS($A$2-2021),FALSE),"")</f>
        <v>0.7147242764541174</v>
      </c>
      <c r="R3" s="5">
        <f>IFERROR(VLOOKUP($M3,'Historical Luck'!$A$7:$CM$36,5*ABS($A$2-2020)+6,FALSE),"")</f>
        <v>5.2757235458825713E-3</v>
      </c>
      <c r="S3">
        <f t="shared" si="0"/>
        <v>3</v>
      </c>
      <c r="T3">
        <f>IF($A$2=2020,'Historical Standings'!J19,IF($A$2=2019,'Historical Standings'!T19,IF($A$2=2018,'Historical Standings'!J53,IF($A$2=2017,'Historical Standings'!T53,IF($A$2=2016,'Historical Standings'!J87,IF($A$2=2015,'Historical Standings'!T87,IF($A$2=2014,'Historical Standings'!J121,IF($A$2=2013,'Historical Standings'!T121,IF($A$2=2012,'Historical Standings'!J155,IF($A$2=2011,'Historical Standings'!T155,IF($A$2=2010,'Historical Standings'!J189,IF($A$2=2009,'Historical Standings'!T189,IF($A$2=2008,'Historical Standings'!J223,IF($A$2=2007,'Historical Standings'!T223,IF($A$2=2006,'Historical Standings'!J257,IF($A$2=2005,'Historical Standings'!T257,IF($A$2=2004,'Historical Standings'!J291,'Historical Standings'!T291)))))))))))))))))</f>
        <v>17.32</v>
      </c>
      <c r="V3">
        <v>0.47</v>
      </c>
      <c r="W3" t="s">
        <v>237</v>
      </c>
      <c r="X3" s="82">
        <f>COMBIN(6,3)*$V$3^4*(1-$V$3)^3</f>
        <v>0.14529445364740001</v>
      </c>
    </row>
    <row r="4" spans="1:29" x14ac:dyDescent="0.25">
      <c r="A4" s="151">
        <v>2020</v>
      </c>
      <c r="B4">
        <v>3</v>
      </c>
      <c r="C4" t="str">
        <f>IF($A$2=2020,East2020[[#This Row],[Teams]],IF($A$2=2019,East2019[[#This Row],[Teams]],IF($A$2=2018,'Historical Standings'!B37,IF($A$2=2017,'Historical Standings'!L37,IF($A$2=2016,'Historical Standings'!B71,IF($A$2=2015,'Historical Standings'!L71,IF($A$2=2014,'Historical Standings'!B105,IF($A$2=2013,'Historical Standings'!L105,IF($A$2=2012,'Historical Standings'!B139,IF($A$2=2011,'Historical Standings'!L139,IF($A$2=2010,'Historical Standings'!B173,IF($A$2=2009,'Historical Standings'!L173,IF($A$2=2008,'Historical Standings'!B207,IF($A$2=2007,'Historical Standings'!L207,IF($A$2=2006,'Historical Standings'!B241,IF($A$2=2005,'Historical Standings'!L241,IF($A$2=2004,'Historical Standings'!B275,'Historical Standings'!L275)))))))))))))))))</f>
        <v>Toronto Raptors</v>
      </c>
      <c r="D4">
        <f>IF($A$2=2020,East2020[[#This Row],[W]],IF($A$2=2019,East2019[[#This Row],[W]],IF($A$2=2018,'Historical Standings'!C37,IF($A$2=2017,'Historical Standings'!M37,IF($A$2=2016,'Historical Standings'!C71,IF($A$2=2015,'Historical Standings'!M71,IF($A$2=2014,'Historical Standings'!C105,IF($A$2=2013,'Historical Standings'!M105,IF($A$2=2012,'Historical Standings'!C139,IF($A$2=2011,'Historical Standings'!M139,IF($A$2=2010,'Historical Standings'!C173,IF($A$2=2009,'Historical Standings'!M173,IF($A$2=2008,'Historical Standings'!C207,IF($A$2=2007,'Historical Standings'!M207,IF($A$2=2006,'Historical Standings'!C241,IF($A$2=2005,'Historical Standings'!M241,IF($A$2=2004,'Historical Standings'!C275,'Historical Standings'!M275)))))))))))))))))</f>
        <v>48</v>
      </c>
      <c r="E4">
        <f>IF($A$2=2020,East2020[[#This Row],[L]],IF($A$2=2019,East2019[[#This Row],[L]],IF($A$2=2018,'Historical Standings'!D37,IF($A$2=2017,'Historical Standings'!N37,IF($A$2=2016,'Historical Standings'!D71,IF($A$2=2015,'Historical Standings'!N71,IF($A$2=2014,'Historical Standings'!D105,IF($A$2=2013,'Historical Standings'!N105,IF($A$2=2012,'Historical Standings'!D139,IF($A$2=2011,'Historical Standings'!N139,IF($A$2=2010,'Historical Standings'!D173,IF($A$2=2009,'Historical Standings'!N173,IF($A$2=2008,'Historical Standings'!D207,IF($A$2=2007,'Historical Standings'!N207,IF($A$2=2006,'Historical Standings'!D241,IF($A$2=2005,'Historical Standings'!N241,IF($A$2=2004,'Historical Standings'!D275,'Historical Standings'!N275)))))))))))))))))</f>
        <v>34</v>
      </c>
      <c r="F4">
        <f>IF($A$2=2020,East2020[[#This Row],[WIN PCT]],IF($A$2=2019,East2019[[#This Row],[WIN PCT]],IF($A$2=2018,'Historical Standings'!E37,IF($A$2=2017,'Historical Standings'!O37,IF($A$2=2016,'Historical Standings'!E71,IF($A$2=2015,'Historical Standings'!O71,IF($A$2=2014,'Historical Standings'!E105,IF($A$2=2013,'Historical Standings'!O105,IF($A$2=2012,'Historical Standings'!E139,IF($A$2=2011,'Historical Standings'!O139,IF($A$2=2010,'Historical Standings'!E173,IF($A$2=2009,'Historical Standings'!O173,IF($A$2=2008,'Historical Standings'!E207,IF($A$2=2007,'Historical Standings'!O207,IF($A$2=2006,'Historical Standings'!E241,IF($A$2=2005,'Historical Standings'!O241,IF($A$2=2004,'Historical Standings'!E275,'Historical Standings'!O275)))))))))))))))))</f>
        <v>0.58499999999999996</v>
      </c>
      <c r="G4" s="4">
        <f>VLOOKUP($C4,'Historical Luck'!$A$7:$CM$36,5*ABS($A$2-2021),FALSE)</f>
        <v>0.61996001680261936</v>
      </c>
      <c r="H4" s="5">
        <f>VLOOKUP($C4,'Historical Luck'!$A$7:$CM$36,5*ABS($A$2-2020)+6,FALSE)</f>
        <v>-3.4960016802619398E-2</v>
      </c>
      <c r="I4">
        <f t="shared" si="1"/>
        <v>3</v>
      </c>
      <c r="J4">
        <f>IF($A$2=2020,East2020[[#This Row],[Diff]],IF($A$2=2019,East2019[[#This Row],[Diff]],IF($A$2=2018,'Historical Standings'!J37,IF($A$2=2017,'Historical Standings'!T37,IF($A$2=2016,'Historical Standings'!J71,IF($A$2=2015,'Historical Standings'!T71,IF($A$2=2014,'Historical Standings'!J105,IF($A$2=2013,'Historical Standings'!T105,IF($A$2=2012,'Historical Standings'!J139,IF($A$2=2011,'Historical Standings'!T139,IF($A$2=2010,'Historical Standings'!J173,IF($A$2=2009,'Historical Standings'!T173,IF($A$2=2008,'Historical Standings'!J207,IF($A$2=2007,'Historical Standings'!T207,IF($A$2=2006,'Historical Standings'!J241,IF($A$2=2005,'Historical Standings'!T241,IF($A$2=2004,'Historical Standings'!J275,'Historical Standings'!T275)))))))))))))))))</f>
        <v>13.21</v>
      </c>
      <c r="L4">
        <v>3</v>
      </c>
      <c r="M4" t="str">
        <f>IF($A$2=2020,'Historical Standings'!B20,IF($A$2=2019,'Historical Standings'!L20,IF($A$2=2018,'Historical Standings'!B54,IF($A$2=2017,'Historical Standings'!L54,IF($A$2=2016,'Historical Standings'!B88,IF($A$2=2015,'Historical Standings'!L88,IF($A$2=2014,'Historical Standings'!B122,IF($A$2=2013,'Historical Standings'!L122,IF($A$2=2012,'Historical Standings'!B156,IF($A$2=2011,'Historical Standings'!L156,IF($A$2=2010,'Historical Standings'!B190,IF($A$2=2009,'Historical Standings'!L190,IF($A$2=2008,'Historical Standings'!B224,IF($A$2=2007,'Historical Standings'!L224,IF($A$2=2006,'Historical Standings'!B258,IF($A$2=2005,'Historical Standings'!L258,IF($A$2=2004,'Historical Standings'!B292,'Historical Standings'!L292)))))))))))))))))</f>
        <v>Los Angeles Clippers</v>
      </c>
      <c r="N4">
        <f>IF($A$2=2020,'Historical Standings'!C20,IF($A$2=2019,'Historical Standings'!M20,IF($A$2=2018,'Historical Standings'!C54,IF($A$2=2017,'Historical Standings'!M54,IF($A$2=2016,'Historical Standings'!C88,IF($A$2=2015,'Historical Standings'!M88,IF($A$2=2014,'Historical Standings'!C122,IF($A$2=2013,'Historical Standings'!M122,IF($A$2=2012,'Historical Standings'!C156,IF($A$2=2011,'Historical Standings'!M156,IF($A$2=2010,'Historical Standings'!C190,IF($A$2=2009,'Historical Standings'!M190,IF($A$2=2008,'Historical Standings'!C224,IF($A$2=2007,'Historical Standings'!M224,IF($A$2=2006,'Historical Standings'!C258,IF($A$2=2005,'Historical Standings'!M258,IF($A$2=2004,'Historical Standings'!C292,'Historical Standings'!M292)))))))))))))))))</f>
        <v>57</v>
      </c>
      <c r="O4">
        <f>IF($A$2=2020,'Historical Standings'!D20,IF($A$2=2019,'Historical Standings'!N20,IF($A$2=2018,'Historical Standings'!D54,IF($A$2=2017,'Historical Standings'!N54,IF($A$2=2016,'Historical Standings'!D88,IF($A$2=2015,'Historical Standings'!N88,IF($A$2=2014,'Historical Standings'!D122,IF($A$2=2013,'Historical Standings'!N122,IF($A$2=2012,'Historical Standings'!D156,IF($A$2=2011,'Historical Standings'!N156,IF($A$2=2010,'Historical Standings'!D190,IF($A$2=2009,'Historical Standings'!N190,IF($A$2=2008,'Historical Standings'!D224,IF($A$2=2007,'Historical Standings'!N224,IF($A$2=2006,'Historical Standings'!D258,IF($A$2=2005,'Historical Standings'!N258,IF($A$2=2004,'Historical Standings'!D292,'Historical Standings'!N292)))))))))))))))))</f>
        <v>25</v>
      </c>
      <c r="P4" s="4">
        <f>IF($A$2=2020,'Historical Standings'!E20,IF($A$2=2019,'Historical Standings'!O20,IF($A$2=2018,'Historical Standings'!E54,IF($A$2=2017,'Historical Standings'!O54,IF($A$2=2016,'Historical Standings'!E88,IF($A$2=2015,'Historical Standings'!O88,IF($A$2=2014,'Historical Standings'!E122,IF($A$2=2013,'Historical Standings'!O122,IF($A$2=2012,'Historical Standings'!E156,IF($A$2=2011,'Historical Standings'!O156,IF($A$2=2010,'Historical Standings'!E190,IF($A$2=2009,'Historical Standings'!O190,IF($A$2=2008,'Historical Standings'!E224,IF($A$2=2007,'Historical Standings'!O224,IF($A$2=2006,'Historical Standings'!E258,IF($A$2=2005,'Historical Standings'!O258,IF($A$2=2004,'Historical Standings'!E292,'Historical Standings'!O292)))))))))))))))))</f>
        <v>0.69499999999999995</v>
      </c>
      <c r="Q4" s="4">
        <f>IFERROR(VLOOKUP($M4,'Historical Luck'!$A$7:$CM$36,5*ABS($A$2-2021),FALSE),"")</f>
        <v>0.72641094643505588</v>
      </c>
      <c r="R4" s="5">
        <f>IFERROR(VLOOKUP($M4,'Historical Luck'!$A$7:$CM$36,5*ABS($A$2-2020)+6,FALSE),"")</f>
        <v>-3.1410946435055931E-2</v>
      </c>
      <c r="S4">
        <f t="shared" si="0"/>
        <v>2</v>
      </c>
      <c r="T4">
        <f>IF($A$2=2020,'Historical Standings'!J20,IF($A$2=2019,'Historical Standings'!T20,IF($A$2=2018,'Historical Standings'!J54,IF($A$2=2017,'Historical Standings'!T54,IF($A$2=2016,'Historical Standings'!J88,IF($A$2=2015,'Historical Standings'!T88,IF($A$2=2014,'Historical Standings'!J122,IF($A$2=2013,'Historical Standings'!T122,IF($A$2=2012,'Historical Standings'!J156,IF($A$2=2011,'Historical Standings'!T156,IF($A$2=2010,'Historical Standings'!J190,IF($A$2=2009,'Historical Standings'!T190,IF($A$2=2008,'Historical Standings'!J224,IF($A$2=2007,'Historical Standings'!T224,IF($A$2=2006,'Historical Standings'!J258,IF($A$2=2005,'Historical Standings'!T258,IF($A$2=2004,'Historical Standings'!J292,'Historical Standings'!T292)))))))))))))))))</f>
        <v>17.93</v>
      </c>
      <c r="W4" t="s">
        <v>238</v>
      </c>
      <c r="X4" s="82">
        <f>COMBIN(5,3)*$V$3^4*(1-$V$3)^2</f>
        <v>0.13707023929000001</v>
      </c>
      <c r="Y4">
        <v>0.5</v>
      </c>
      <c r="Z4">
        <v>0.6</v>
      </c>
    </row>
    <row r="5" spans="1:29" x14ac:dyDescent="0.25">
      <c r="A5" s="151">
        <v>2019</v>
      </c>
      <c r="B5">
        <v>4</v>
      </c>
      <c r="C5" t="str">
        <f>IF($A$2=2020,East2020[[#This Row],[Teams]],IF($A$2=2019,East2019[[#This Row],[Teams]],IF($A$2=2018,'Historical Standings'!B38,IF($A$2=2017,'Historical Standings'!L38,IF($A$2=2016,'Historical Standings'!B72,IF($A$2=2015,'Historical Standings'!L72,IF($A$2=2014,'Historical Standings'!B106,IF($A$2=2013,'Historical Standings'!L106,IF($A$2=2012,'Historical Standings'!B140,IF($A$2=2011,'Historical Standings'!L140,IF($A$2=2010,'Historical Standings'!B174,IF($A$2=2009,'Historical Standings'!L174,IF($A$2=2008,'Historical Standings'!B208,IF($A$2=2007,'Historical Standings'!L208,IF($A$2=2006,'Historical Standings'!B242,IF($A$2=2005,'Historical Standings'!L242,IF($A$2=2004,'Historical Standings'!B276,'Historical Standings'!L276)))))))))))))))))</f>
        <v>Chicago Bulls</v>
      </c>
      <c r="D5">
        <f>IF($A$2=2020,East2020[[#This Row],[W]],IF($A$2=2019,East2019[[#This Row],[W]],IF($A$2=2018,'Historical Standings'!C38,IF($A$2=2017,'Historical Standings'!M38,IF($A$2=2016,'Historical Standings'!C72,IF($A$2=2015,'Historical Standings'!M72,IF($A$2=2014,'Historical Standings'!C106,IF($A$2=2013,'Historical Standings'!M106,IF($A$2=2012,'Historical Standings'!C140,IF($A$2=2011,'Historical Standings'!M140,IF($A$2=2010,'Historical Standings'!C174,IF($A$2=2009,'Historical Standings'!M174,IF($A$2=2008,'Historical Standings'!C208,IF($A$2=2007,'Historical Standings'!M208,IF($A$2=2006,'Historical Standings'!C242,IF($A$2=2005,'Historical Standings'!M242,IF($A$2=2004,'Historical Standings'!C276,'Historical Standings'!M276)))))))))))))))))</f>
        <v>48</v>
      </c>
      <c r="E5">
        <f>IF($A$2=2020,East2020[[#This Row],[L]],IF($A$2=2019,East2019[[#This Row],[L]],IF($A$2=2018,'Historical Standings'!D38,IF($A$2=2017,'Historical Standings'!N38,IF($A$2=2016,'Historical Standings'!D72,IF($A$2=2015,'Historical Standings'!N72,IF($A$2=2014,'Historical Standings'!D106,IF($A$2=2013,'Historical Standings'!N106,IF($A$2=2012,'Historical Standings'!D140,IF($A$2=2011,'Historical Standings'!N140,IF($A$2=2010,'Historical Standings'!D174,IF($A$2=2009,'Historical Standings'!N174,IF($A$2=2008,'Historical Standings'!D208,IF($A$2=2007,'Historical Standings'!N208,IF($A$2=2006,'Historical Standings'!D242,IF($A$2=2005,'Historical Standings'!N242,IF($A$2=2004,'Historical Standings'!D276,'Historical Standings'!N276)))))))))))))))))</f>
        <v>34</v>
      </c>
      <c r="F5">
        <f>IF($A$2=2020,East2020[[#This Row],[WIN PCT]],IF($A$2=2019,East2019[[#This Row],[WIN PCT]],IF($A$2=2018,'Historical Standings'!E38,IF($A$2=2017,'Historical Standings'!O38,IF($A$2=2016,'Historical Standings'!E72,IF($A$2=2015,'Historical Standings'!O72,IF($A$2=2014,'Historical Standings'!E106,IF($A$2=2013,'Historical Standings'!O106,IF($A$2=2012,'Historical Standings'!E140,IF($A$2=2011,'Historical Standings'!O140,IF($A$2=2010,'Historical Standings'!E174,IF($A$2=2009,'Historical Standings'!O174,IF($A$2=2008,'Historical Standings'!E208,IF($A$2=2007,'Historical Standings'!O208,IF($A$2=2006,'Historical Standings'!E242,IF($A$2=2005,'Historical Standings'!O242,IF($A$2=2004,'Historical Standings'!E276,'Historical Standings'!O276)))))))))))))))))</f>
        <v>0.58499999999999996</v>
      </c>
      <c r="G5" s="4">
        <f>VLOOKUP($C5,'Historical Luck'!$A$7:$CM$36,5*ABS($A$2-2021),FALSE)</f>
        <v>0.57510429856557699</v>
      </c>
      <c r="H5" s="5">
        <f>VLOOKUP($C5,'Historical Luck'!$A$7:$CM$36,5*ABS($A$2-2020)+6,FALSE)</f>
        <v>9.8957014344229766E-3</v>
      </c>
      <c r="I5">
        <f t="shared" si="1"/>
        <v>4</v>
      </c>
      <c r="J5">
        <f>IF($A$2=2020,East2020[[#This Row],[Diff]],IF($A$2=2019,East2019[[#This Row],[Diff]],IF($A$2=2018,'Historical Standings'!J38,IF($A$2=2017,'Historical Standings'!T38,IF($A$2=2016,'Historical Standings'!J72,IF($A$2=2015,'Historical Standings'!T72,IF($A$2=2014,'Historical Standings'!J106,IF($A$2=2013,'Historical Standings'!T106,IF($A$2=2012,'Historical Standings'!J140,IF($A$2=2011,'Historical Standings'!T140,IF($A$2=2010,'Historical Standings'!J174,IF($A$2=2009,'Historical Standings'!T174,IF($A$2=2008,'Historical Standings'!J208,IF($A$2=2007,'Historical Standings'!T208,IF($A$2=2006,'Historical Standings'!J242,IF($A$2=2005,'Historical Standings'!T242,IF($A$2=2004,'Historical Standings'!J276,'Historical Standings'!T276)))))))))))))))))</f>
        <v>11.86</v>
      </c>
      <c r="L5">
        <v>4</v>
      </c>
      <c r="M5" t="str">
        <f>IF($A$2=2020,'Historical Standings'!B21,IF($A$2=2019,'Historical Standings'!L21,IF($A$2=2018,'Historical Standings'!B55,IF($A$2=2017,'Historical Standings'!L55,IF($A$2=2016,'Historical Standings'!B89,IF($A$2=2015,'Historical Standings'!L89,IF($A$2=2014,'Historical Standings'!B123,IF($A$2=2013,'Historical Standings'!L123,IF($A$2=2012,'Historical Standings'!B157,IF($A$2=2011,'Historical Standings'!L157,IF($A$2=2010,'Historical Standings'!B191,IF($A$2=2009,'Historical Standings'!L191,IF($A$2=2008,'Historical Standings'!B225,IF($A$2=2007,'Historical Standings'!L225,IF($A$2=2006,'Historical Standings'!B259,IF($A$2=2005,'Historical Standings'!L259,IF($A$2=2004,'Historical Standings'!B293,'Historical Standings'!L293)))))))))))))))))</f>
        <v>Portland Trail Blazers</v>
      </c>
      <c r="N5">
        <f>IF($A$2=2020,'Historical Standings'!C21,IF($A$2=2019,'Historical Standings'!M21,IF($A$2=2018,'Historical Standings'!C55,IF($A$2=2017,'Historical Standings'!M55,IF($A$2=2016,'Historical Standings'!C89,IF($A$2=2015,'Historical Standings'!M89,IF($A$2=2014,'Historical Standings'!C123,IF($A$2=2013,'Historical Standings'!M123,IF($A$2=2012,'Historical Standings'!C157,IF($A$2=2011,'Historical Standings'!M157,IF($A$2=2010,'Historical Standings'!C191,IF($A$2=2009,'Historical Standings'!M191,IF($A$2=2008,'Historical Standings'!C225,IF($A$2=2007,'Historical Standings'!M225,IF($A$2=2006,'Historical Standings'!C259,IF($A$2=2005,'Historical Standings'!M259,IF($A$2=2004,'Historical Standings'!C293,'Historical Standings'!M293)))))))))))))))))</f>
        <v>54</v>
      </c>
      <c r="O5">
        <f>IF($A$2=2020,'Historical Standings'!D21,IF($A$2=2019,'Historical Standings'!N21,IF($A$2=2018,'Historical Standings'!D55,IF($A$2=2017,'Historical Standings'!N55,IF($A$2=2016,'Historical Standings'!D89,IF($A$2=2015,'Historical Standings'!N89,IF($A$2=2014,'Historical Standings'!D123,IF($A$2=2013,'Historical Standings'!N123,IF($A$2=2012,'Historical Standings'!D157,IF($A$2=2011,'Historical Standings'!N157,IF($A$2=2010,'Historical Standings'!D191,IF($A$2=2009,'Historical Standings'!N191,IF($A$2=2008,'Historical Standings'!D225,IF($A$2=2007,'Historical Standings'!N225,IF($A$2=2006,'Historical Standings'!D259,IF($A$2=2005,'Historical Standings'!N259,IF($A$2=2004,'Historical Standings'!D293,'Historical Standings'!N293)))))))))))))))))</f>
        <v>28</v>
      </c>
      <c r="P5" s="4">
        <f>IF($A$2=2020,'Historical Standings'!E21,IF($A$2=2019,'Historical Standings'!O21,IF($A$2=2018,'Historical Standings'!E55,IF($A$2=2017,'Historical Standings'!O55,IF($A$2=2016,'Historical Standings'!E89,IF($A$2=2015,'Historical Standings'!O89,IF($A$2=2014,'Historical Standings'!E123,IF($A$2=2013,'Historical Standings'!O123,IF($A$2=2012,'Historical Standings'!E157,IF($A$2=2011,'Historical Standings'!O157,IF($A$2=2010,'Historical Standings'!E191,IF($A$2=2009,'Historical Standings'!O191,IF($A$2=2008,'Historical Standings'!E225,IF($A$2=2007,'Historical Standings'!O225,IF($A$2=2006,'Historical Standings'!E259,IF($A$2=2005,'Historical Standings'!O259,IF($A$2=2004,'Historical Standings'!E293,'Historical Standings'!O293)))))))))))))))))</f>
        <v>0.65900000000000003</v>
      </c>
      <c r="Q5" s="4">
        <f>IFERROR(VLOOKUP($M5,'Historical Luck'!$A$7:$CM$36,5*ABS($A$2-2021),FALSE),"")</f>
        <v>0.63418455932235029</v>
      </c>
      <c r="R5" s="5">
        <f>IFERROR(VLOOKUP($M5,'Historical Luck'!$A$7:$CM$36,5*ABS($A$2-2020)+6,FALSE),"")</f>
        <v>2.4815440677649736E-2</v>
      </c>
      <c r="S5">
        <f t="shared" si="0"/>
        <v>6</v>
      </c>
      <c r="T5">
        <f>IF($A$2=2020,'Historical Standings'!J21,IF($A$2=2019,'Historical Standings'!T21,IF($A$2=2018,'Historical Standings'!J55,IF($A$2=2017,'Historical Standings'!T55,IF($A$2=2016,'Historical Standings'!J89,IF($A$2=2015,'Historical Standings'!T89,IF($A$2=2014,'Historical Standings'!J123,IF($A$2=2013,'Historical Standings'!T123,IF($A$2=2012,'Historical Standings'!J157,IF($A$2=2011,'Historical Standings'!T157,IF($A$2=2010,'Historical Standings'!J191,IF($A$2=2009,'Historical Standings'!T191,IF($A$2=2008,'Historical Standings'!J225,IF($A$2=2007,'Historical Standings'!T225,IF($A$2=2006,'Historical Standings'!J259,IF($A$2=2005,'Historical Standings'!T259,IF($A$2=2004,'Historical Standings'!J293,'Historical Standings'!T293)))))))))))))))))</f>
        <v>15.100000000000001</v>
      </c>
      <c r="W5" t="s">
        <v>239</v>
      </c>
      <c r="X5" s="82">
        <f>COMBIN(4,3)*$V$3^4*(1-$V$3)^1</f>
        <v>0.1034492372</v>
      </c>
      <c r="Y5">
        <v>0.6</v>
      </c>
      <c r="Z5">
        <v>0.75</v>
      </c>
      <c r="AC5">
        <v>-3</v>
      </c>
    </row>
    <row r="6" spans="1:29" x14ac:dyDescent="0.25">
      <c r="A6" s="151">
        <v>2018</v>
      </c>
      <c r="B6">
        <v>5</v>
      </c>
      <c r="C6" t="str">
        <f>IF($A$2=2020,East2020[[#This Row],[Teams]],IF($A$2=2019,East2019[[#This Row],[Teams]],IF($A$2=2018,'Historical Standings'!B39,IF($A$2=2017,'Historical Standings'!L39,IF($A$2=2016,'Historical Standings'!B73,IF($A$2=2015,'Historical Standings'!L73,IF($A$2=2014,'Historical Standings'!B107,IF($A$2=2013,'Historical Standings'!L107,IF($A$2=2012,'Historical Standings'!B141,IF($A$2=2011,'Historical Standings'!L141,IF($A$2=2010,'Historical Standings'!B175,IF($A$2=2009,'Historical Standings'!L175,IF($A$2=2008,'Historical Standings'!B209,IF($A$2=2007,'Historical Standings'!L209,IF($A$2=2006,'Historical Standings'!B243,IF($A$2=2005,'Historical Standings'!L243,IF($A$2=2004,'Historical Standings'!B277,'Historical Standings'!L277)))))))))))))))))</f>
        <v>Brooklyn Nets</v>
      </c>
      <c r="D6">
        <f>IF($A$2=2020,East2020[[#This Row],[W]],IF($A$2=2019,East2019[[#This Row],[W]],IF($A$2=2018,'Historical Standings'!C39,IF($A$2=2017,'Historical Standings'!M39,IF($A$2=2016,'Historical Standings'!C73,IF($A$2=2015,'Historical Standings'!M73,IF($A$2=2014,'Historical Standings'!C107,IF($A$2=2013,'Historical Standings'!M107,IF($A$2=2012,'Historical Standings'!C141,IF($A$2=2011,'Historical Standings'!M141,IF($A$2=2010,'Historical Standings'!C175,IF($A$2=2009,'Historical Standings'!M175,IF($A$2=2008,'Historical Standings'!C209,IF($A$2=2007,'Historical Standings'!M209,IF($A$2=2006,'Historical Standings'!C243,IF($A$2=2005,'Historical Standings'!M243,IF($A$2=2004,'Historical Standings'!C277,'Historical Standings'!M277)))))))))))))))))</f>
        <v>44</v>
      </c>
      <c r="E6">
        <f>IF($A$2=2020,East2020[[#This Row],[L]],IF($A$2=2019,East2019[[#This Row],[L]],IF($A$2=2018,'Historical Standings'!D39,IF($A$2=2017,'Historical Standings'!N39,IF($A$2=2016,'Historical Standings'!D73,IF($A$2=2015,'Historical Standings'!N73,IF($A$2=2014,'Historical Standings'!D107,IF($A$2=2013,'Historical Standings'!N107,IF($A$2=2012,'Historical Standings'!D141,IF($A$2=2011,'Historical Standings'!N141,IF($A$2=2010,'Historical Standings'!D175,IF($A$2=2009,'Historical Standings'!N175,IF($A$2=2008,'Historical Standings'!D209,IF($A$2=2007,'Historical Standings'!N209,IF($A$2=2006,'Historical Standings'!D243,IF($A$2=2005,'Historical Standings'!N243,IF($A$2=2004,'Historical Standings'!D277,'Historical Standings'!N277)))))))))))))))))</f>
        <v>38</v>
      </c>
      <c r="F6">
        <f>IF($A$2=2020,East2020[[#This Row],[WIN PCT]],IF($A$2=2019,East2019[[#This Row],[WIN PCT]],IF($A$2=2018,'Historical Standings'!E39,IF($A$2=2017,'Historical Standings'!O39,IF($A$2=2016,'Historical Standings'!E73,IF($A$2=2015,'Historical Standings'!O73,IF($A$2=2014,'Historical Standings'!E107,IF($A$2=2013,'Historical Standings'!O107,IF($A$2=2012,'Historical Standings'!E141,IF($A$2=2011,'Historical Standings'!O141,IF($A$2=2010,'Historical Standings'!E175,IF($A$2=2009,'Historical Standings'!O175,IF($A$2=2008,'Historical Standings'!E209,IF($A$2=2007,'Historical Standings'!O209,IF($A$2=2006,'Historical Standings'!E243,IF($A$2=2005,'Historical Standings'!O243,IF($A$2=2004,'Historical Standings'!E277,'Historical Standings'!O277)))))))))))))))))</f>
        <v>0.53700000000000003</v>
      </c>
      <c r="G6" s="4">
        <f>VLOOKUP($C6,'Historical Luck'!$A$7:$CM$36,5*ABS($A$2-2021),FALSE)</f>
        <v>0.46275466697970374</v>
      </c>
      <c r="H6" s="5">
        <f>VLOOKUP($C6,'Historical Luck'!$A$7:$CM$36,5*ABS($A$2-2020)+6,FALSE)</f>
        <v>7.4245333020296289E-2</v>
      </c>
      <c r="I6">
        <f t="shared" si="1"/>
        <v>9</v>
      </c>
      <c r="J6">
        <f>IF($A$2=2020,East2020[[#This Row],[Diff]],IF($A$2=2019,East2019[[#This Row],[Diff]],IF($A$2=2018,'Historical Standings'!J39,IF($A$2=2017,'Historical Standings'!T39,IF($A$2=2016,'Historical Standings'!J73,IF($A$2=2015,'Historical Standings'!T73,IF($A$2=2014,'Historical Standings'!J107,IF($A$2=2013,'Historical Standings'!T107,IF($A$2=2012,'Historical Standings'!J141,IF($A$2=2011,'Historical Standings'!T141,IF($A$2=2010,'Historical Standings'!J175,IF($A$2=2009,'Historical Standings'!T175,IF($A$2=2008,'Historical Standings'!J209,IF($A$2=2007,'Historical Standings'!T209,IF($A$2=2006,'Historical Standings'!J243,IF($A$2=2005,'Historical Standings'!T243,IF($A$2=2004,'Historical Standings'!J277,'Historical Standings'!T277)))))))))))))))))</f>
        <v>9.08</v>
      </c>
      <c r="L6">
        <v>5</v>
      </c>
      <c r="M6" t="str">
        <f>IF($A$2=2020,'Historical Standings'!B22,IF($A$2=2019,'Historical Standings'!L22,IF($A$2=2018,'Historical Standings'!B56,IF($A$2=2017,'Historical Standings'!L56,IF($A$2=2016,'Historical Standings'!B90,IF($A$2=2015,'Historical Standings'!L90,IF($A$2=2014,'Historical Standings'!B124,IF($A$2=2013,'Historical Standings'!L124,IF($A$2=2012,'Historical Standings'!B158,IF($A$2=2011,'Historical Standings'!L158,IF($A$2=2010,'Historical Standings'!B192,IF($A$2=2009,'Historical Standings'!L192,IF($A$2=2008,'Historical Standings'!B226,IF($A$2=2007,'Historical Standings'!L226,IF($A$2=2006,'Historical Standings'!B260,IF($A$2=2005,'Historical Standings'!L260,IF($A$2=2004,'Historical Standings'!B294,'Historical Standings'!L294)))))))))))))))))</f>
        <v>Houston Rockets</v>
      </c>
      <c r="N6">
        <f>IF($A$2=2020,'Historical Standings'!C22,IF($A$2=2019,'Historical Standings'!M22,IF($A$2=2018,'Historical Standings'!C56,IF($A$2=2017,'Historical Standings'!M56,IF($A$2=2016,'Historical Standings'!C90,IF($A$2=2015,'Historical Standings'!M90,IF($A$2=2014,'Historical Standings'!C124,IF($A$2=2013,'Historical Standings'!M124,IF($A$2=2012,'Historical Standings'!C158,IF($A$2=2011,'Historical Standings'!M158,IF($A$2=2010,'Historical Standings'!C192,IF($A$2=2009,'Historical Standings'!M192,IF($A$2=2008,'Historical Standings'!C226,IF($A$2=2007,'Historical Standings'!M226,IF($A$2=2006,'Historical Standings'!C260,IF($A$2=2005,'Historical Standings'!M260,IF($A$2=2004,'Historical Standings'!C294,'Historical Standings'!M294)))))))))))))))))</f>
        <v>54</v>
      </c>
      <c r="O6">
        <f>IF($A$2=2020,'Historical Standings'!D22,IF($A$2=2019,'Historical Standings'!N22,IF($A$2=2018,'Historical Standings'!D56,IF($A$2=2017,'Historical Standings'!N56,IF($A$2=2016,'Historical Standings'!D90,IF($A$2=2015,'Historical Standings'!N90,IF($A$2=2014,'Historical Standings'!D124,IF($A$2=2013,'Historical Standings'!N124,IF($A$2=2012,'Historical Standings'!D158,IF($A$2=2011,'Historical Standings'!N158,IF($A$2=2010,'Historical Standings'!D192,IF($A$2=2009,'Historical Standings'!N192,IF($A$2=2008,'Historical Standings'!D226,IF($A$2=2007,'Historical Standings'!N226,IF($A$2=2006,'Historical Standings'!D260,IF($A$2=2005,'Historical Standings'!N260,IF($A$2=2004,'Historical Standings'!D294,'Historical Standings'!N294)))))))))))))))))</f>
        <v>28</v>
      </c>
      <c r="P6" s="4">
        <f>IF($A$2=2020,'Historical Standings'!E22,IF($A$2=2019,'Historical Standings'!O22,IF($A$2=2018,'Historical Standings'!E56,IF($A$2=2017,'Historical Standings'!O56,IF($A$2=2016,'Historical Standings'!E90,IF($A$2=2015,'Historical Standings'!O90,IF($A$2=2014,'Historical Standings'!E124,IF($A$2=2013,'Historical Standings'!O124,IF($A$2=2012,'Historical Standings'!E158,IF($A$2=2011,'Historical Standings'!O158,IF($A$2=2010,'Historical Standings'!E192,IF($A$2=2009,'Historical Standings'!O192,IF($A$2=2008,'Historical Standings'!E226,IF($A$2=2007,'Historical Standings'!O226,IF($A$2=2006,'Historical Standings'!E260,IF($A$2=2005,'Historical Standings'!O260,IF($A$2=2004,'Historical Standings'!E294,'Historical Standings'!O294)))))))))))))))))</f>
        <v>0.65900000000000003</v>
      </c>
      <c r="Q6" s="4">
        <f>IFERROR(VLOOKUP($M6,'Historical Luck'!$A$7:$CM$36,5*ABS($A$2-2021),FALSE),"")</f>
        <v>0.65588117453046513</v>
      </c>
      <c r="R6" s="5">
        <f>IFERROR(VLOOKUP($M6,'Historical Luck'!$A$7:$CM$36,5*ABS($A$2-2020)+6,FALSE),"")</f>
        <v>3.1188254695349027E-3</v>
      </c>
      <c r="S6">
        <f t="shared" si="0"/>
        <v>5</v>
      </c>
      <c r="T6">
        <f>IF($A$2=2020,'Historical Standings'!J22,IF($A$2=2019,'Historical Standings'!T22,IF($A$2=2018,'Historical Standings'!J56,IF($A$2=2017,'Historical Standings'!T56,IF($A$2=2016,'Historical Standings'!J90,IF($A$2=2015,'Historical Standings'!T90,IF($A$2=2014,'Historical Standings'!J124,IF($A$2=2013,'Historical Standings'!T124,IF($A$2=2012,'Historical Standings'!J158,IF($A$2=2011,'Historical Standings'!T158,IF($A$2=2010,'Historical Standings'!J192,IF($A$2=2009,'Historical Standings'!T192,IF($A$2=2008,'Historical Standings'!J226,IF($A$2=2007,'Historical Standings'!T226,IF($A$2=2006,'Historical Standings'!J260,IF($A$2=2005,'Historical Standings'!T260,IF($A$2=2004,'Historical Standings'!J294,'Historical Standings'!T294)))))))))))))))))</f>
        <v>15.719999999999999</v>
      </c>
      <c r="W6" t="s">
        <v>240</v>
      </c>
      <c r="X6" s="82">
        <f>COMBIN(3,3)*$V$3^4*(1-$V$3)^0</f>
        <v>4.8796809999999996E-2</v>
      </c>
      <c r="Y6">
        <v>0.75</v>
      </c>
      <c r="Z6">
        <v>1</v>
      </c>
      <c r="AC6">
        <v>-2</v>
      </c>
    </row>
    <row r="7" spans="1:29" x14ac:dyDescent="0.25">
      <c r="A7" s="151">
        <v>2017</v>
      </c>
      <c r="B7">
        <v>6</v>
      </c>
      <c r="C7" t="str">
        <f>IF($A$2=2020,East2020[[#This Row],[Teams]],IF($A$2=2019,East2019[[#This Row],[Teams]],IF($A$2=2018,'Historical Standings'!B40,IF($A$2=2017,'Historical Standings'!L40,IF($A$2=2016,'Historical Standings'!B74,IF($A$2=2015,'Historical Standings'!L74,IF($A$2=2014,'Historical Standings'!B108,IF($A$2=2013,'Historical Standings'!L108,IF($A$2=2012,'Historical Standings'!B142,IF($A$2=2011,'Historical Standings'!L142,IF($A$2=2010,'Historical Standings'!B176,IF($A$2=2009,'Historical Standings'!L176,IF($A$2=2008,'Historical Standings'!B210,IF($A$2=2007,'Historical Standings'!L210,IF($A$2=2006,'Historical Standings'!B244,IF($A$2=2005,'Historical Standings'!L244,IF($A$2=2004,'Historical Standings'!B278,'Historical Standings'!L278)))))))))))))))))</f>
        <v>Washington Wizards</v>
      </c>
      <c r="D7">
        <f>IF($A$2=2020,East2020[[#This Row],[W]],IF($A$2=2019,East2019[[#This Row],[W]],IF($A$2=2018,'Historical Standings'!C40,IF($A$2=2017,'Historical Standings'!M40,IF($A$2=2016,'Historical Standings'!C74,IF($A$2=2015,'Historical Standings'!M74,IF($A$2=2014,'Historical Standings'!C108,IF($A$2=2013,'Historical Standings'!M108,IF($A$2=2012,'Historical Standings'!C142,IF($A$2=2011,'Historical Standings'!M142,IF($A$2=2010,'Historical Standings'!C176,IF($A$2=2009,'Historical Standings'!M176,IF($A$2=2008,'Historical Standings'!C210,IF($A$2=2007,'Historical Standings'!M210,IF($A$2=2006,'Historical Standings'!C244,IF($A$2=2005,'Historical Standings'!M244,IF($A$2=2004,'Historical Standings'!C278,'Historical Standings'!M278)))))))))))))))))</f>
        <v>44</v>
      </c>
      <c r="E7">
        <f>IF($A$2=2020,East2020[[#This Row],[L]],IF($A$2=2019,East2019[[#This Row],[L]],IF($A$2=2018,'Historical Standings'!D40,IF($A$2=2017,'Historical Standings'!N40,IF($A$2=2016,'Historical Standings'!D74,IF($A$2=2015,'Historical Standings'!N74,IF($A$2=2014,'Historical Standings'!D108,IF($A$2=2013,'Historical Standings'!N108,IF($A$2=2012,'Historical Standings'!D142,IF($A$2=2011,'Historical Standings'!N142,IF($A$2=2010,'Historical Standings'!D176,IF($A$2=2009,'Historical Standings'!N176,IF($A$2=2008,'Historical Standings'!D210,IF($A$2=2007,'Historical Standings'!N210,IF($A$2=2006,'Historical Standings'!D244,IF($A$2=2005,'Historical Standings'!N244,IF($A$2=2004,'Historical Standings'!D278,'Historical Standings'!N278)))))))))))))))))</f>
        <v>38</v>
      </c>
      <c r="F7">
        <f>IF($A$2=2020,East2020[[#This Row],[WIN PCT]],IF($A$2=2019,East2019[[#This Row],[WIN PCT]],IF($A$2=2018,'Historical Standings'!E40,IF($A$2=2017,'Historical Standings'!O40,IF($A$2=2016,'Historical Standings'!E74,IF($A$2=2015,'Historical Standings'!O74,IF($A$2=2014,'Historical Standings'!E108,IF($A$2=2013,'Historical Standings'!O108,IF($A$2=2012,'Historical Standings'!E142,IF($A$2=2011,'Historical Standings'!O142,IF($A$2=2010,'Historical Standings'!E176,IF($A$2=2009,'Historical Standings'!O176,IF($A$2=2008,'Historical Standings'!E210,IF($A$2=2007,'Historical Standings'!O210,IF($A$2=2006,'Historical Standings'!E244,IF($A$2=2005,'Historical Standings'!O244,IF($A$2=2004,'Historical Standings'!E278,'Historical Standings'!O278)))))))))))))))))</f>
        <v>0.53700000000000003</v>
      </c>
      <c r="G7" s="4">
        <f>VLOOKUP($C7,'Historical Luck'!$A$7:$CM$36,5*ABS($A$2-2021),FALSE)</f>
        <v>0.54785305421310715</v>
      </c>
      <c r="H7" s="5">
        <f>VLOOKUP($C7,'Historical Luck'!$A$7:$CM$36,5*ABS($A$2-2020)+6,FALSE)</f>
        <v>-1.0853054213107116E-2</v>
      </c>
      <c r="I7">
        <f t="shared" si="1"/>
        <v>5</v>
      </c>
      <c r="J7">
        <f>IF($A$2=2020,East2020[[#This Row],[Diff]],IF($A$2=2019,East2019[[#This Row],[Diff]],IF($A$2=2018,'Historical Standings'!J40,IF($A$2=2017,'Historical Standings'!T40,IF($A$2=2016,'Historical Standings'!J74,IF($A$2=2015,'Historical Standings'!T74,IF($A$2=2014,'Historical Standings'!J108,IF($A$2=2013,'Historical Standings'!T108,IF($A$2=2012,'Historical Standings'!J142,IF($A$2=2011,'Historical Standings'!T142,IF($A$2=2010,'Historical Standings'!J176,IF($A$2=2009,'Historical Standings'!T176,IF($A$2=2008,'Historical Standings'!J210,IF($A$2=2007,'Historical Standings'!T210,IF($A$2=2006,'Historical Standings'!J244,IF($A$2=2005,'Historical Standings'!T244,IF($A$2=2004,'Historical Standings'!J278,'Historical Standings'!T278)))))))))))))))))</f>
        <v>11.14</v>
      </c>
      <c r="L7">
        <v>6</v>
      </c>
      <c r="M7" t="str">
        <f>IF($A$2=2020,'Historical Standings'!B23,IF($A$2=2019,'Historical Standings'!L23,IF($A$2=2018,'Historical Standings'!B57,IF($A$2=2017,'Historical Standings'!L57,IF($A$2=2016,'Historical Standings'!B91,IF($A$2=2015,'Historical Standings'!L91,IF($A$2=2014,'Historical Standings'!B125,IF($A$2=2013,'Historical Standings'!L125,IF($A$2=2012,'Historical Standings'!B159,IF($A$2=2011,'Historical Standings'!L159,IF($A$2=2010,'Historical Standings'!B193,IF($A$2=2009,'Historical Standings'!L193,IF($A$2=2008,'Historical Standings'!B227,IF($A$2=2007,'Historical Standings'!L227,IF($A$2=2006,'Historical Standings'!B261,IF($A$2=2005,'Historical Standings'!L261,IF($A$2=2004,'Historical Standings'!B295,'Historical Standings'!L295)))))))))))))))))</f>
        <v>Golden State Warriors</v>
      </c>
      <c r="N7">
        <f>IF($A$2=2020,'Historical Standings'!C23,IF($A$2=2019,'Historical Standings'!M23,IF($A$2=2018,'Historical Standings'!C57,IF($A$2=2017,'Historical Standings'!M57,IF($A$2=2016,'Historical Standings'!C91,IF($A$2=2015,'Historical Standings'!M91,IF($A$2=2014,'Historical Standings'!C125,IF($A$2=2013,'Historical Standings'!M125,IF($A$2=2012,'Historical Standings'!C159,IF($A$2=2011,'Historical Standings'!M159,IF($A$2=2010,'Historical Standings'!C193,IF($A$2=2009,'Historical Standings'!M193,IF($A$2=2008,'Historical Standings'!C227,IF($A$2=2007,'Historical Standings'!M227,IF($A$2=2006,'Historical Standings'!C261,IF($A$2=2005,'Historical Standings'!M261,IF($A$2=2004,'Historical Standings'!C295,'Historical Standings'!M295)))))))))))))))))</f>
        <v>51</v>
      </c>
      <c r="O7">
        <f>IF($A$2=2020,'Historical Standings'!D23,IF($A$2=2019,'Historical Standings'!N23,IF($A$2=2018,'Historical Standings'!D57,IF($A$2=2017,'Historical Standings'!N57,IF($A$2=2016,'Historical Standings'!D91,IF($A$2=2015,'Historical Standings'!N91,IF($A$2=2014,'Historical Standings'!D125,IF($A$2=2013,'Historical Standings'!N125,IF($A$2=2012,'Historical Standings'!D159,IF($A$2=2011,'Historical Standings'!N159,IF($A$2=2010,'Historical Standings'!D193,IF($A$2=2009,'Historical Standings'!N193,IF($A$2=2008,'Historical Standings'!D227,IF($A$2=2007,'Historical Standings'!N227,IF($A$2=2006,'Historical Standings'!D261,IF($A$2=2005,'Historical Standings'!N261,IF($A$2=2004,'Historical Standings'!D295,'Historical Standings'!N295)))))))))))))))))</f>
        <v>31</v>
      </c>
      <c r="P7" s="4">
        <f>IF($A$2=2020,'Historical Standings'!E23,IF($A$2=2019,'Historical Standings'!O23,IF($A$2=2018,'Historical Standings'!E57,IF($A$2=2017,'Historical Standings'!O57,IF($A$2=2016,'Historical Standings'!E91,IF($A$2=2015,'Historical Standings'!O91,IF($A$2=2014,'Historical Standings'!E125,IF($A$2=2013,'Historical Standings'!O125,IF($A$2=2012,'Historical Standings'!E159,IF($A$2=2011,'Historical Standings'!O159,IF($A$2=2010,'Historical Standings'!E193,IF($A$2=2009,'Historical Standings'!O193,IF($A$2=2008,'Historical Standings'!E227,IF($A$2=2007,'Historical Standings'!O227,IF($A$2=2006,'Historical Standings'!E261,IF($A$2=2005,'Historical Standings'!O261,IF($A$2=2004,'Historical Standings'!E295,'Historical Standings'!O295)))))))))))))))))</f>
        <v>0.622</v>
      </c>
      <c r="Q7" s="4">
        <f>IFERROR(VLOOKUP($M7,'Historical Luck'!$A$7:$CM$36,5*ABS($A$2-2021),FALSE),"")</f>
        <v>0.66733829513685194</v>
      </c>
      <c r="R7" s="5">
        <f>IFERROR(VLOOKUP($M7,'Historical Luck'!$A$7:$CM$36,5*ABS($A$2-2020)+6,FALSE),"")</f>
        <v>-4.5338295136851947E-2</v>
      </c>
      <c r="S7">
        <f t="shared" si="0"/>
        <v>4</v>
      </c>
      <c r="T7">
        <f>IF($A$2=2020,'Historical Standings'!J23,IF($A$2=2019,'Historical Standings'!T23,IF($A$2=2018,'Historical Standings'!J57,IF($A$2=2017,'Historical Standings'!T57,IF($A$2=2016,'Historical Standings'!J91,IF($A$2=2015,'Historical Standings'!T91,IF($A$2=2014,'Historical Standings'!J125,IF($A$2=2013,'Historical Standings'!T125,IF($A$2=2012,'Historical Standings'!J159,IF($A$2=2011,'Historical Standings'!T159,IF($A$2=2010,'Historical Standings'!J193,IF($A$2=2009,'Historical Standings'!T193,IF($A$2=2008,'Historical Standings'!J227,IF($A$2=2007,'Historical Standings'!T227,IF($A$2=2006,'Historical Standings'!J261,IF($A$2=2005,'Historical Standings'!T261,IF($A$2=2004,'Historical Standings'!J295,'Historical Standings'!T295)))))))))))))))))</f>
        <v>15.81</v>
      </c>
      <c r="W7" t="s">
        <v>241</v>
      </c>
      <c r="X7" s="82">
        <f>COMBIN(6,3)*$V$3^3*(1-$V$3)^4</f>
        <v>0.1638426817726</v>
      </c>
      <c r="AC7">
        <v>-1</v>
      </c>
    </row>
    <row r="8" spans="1:29" x14ac:dyDescent="0.25">
      <c r="A8" s="151">
        <v>2016</v>
      </c>
      <c r="B8">
        <v>7</v>
      </c>
      <c r="C8" t="str">
        <f>IF($A$2=2020,East2020[[#This Row],[Teams]],IF($A$2=2019,East2019[[#This Row],[Teams]],IF($A$2=2018,'Historical Standings'!B41,IF($A$2=2017,'Historical Standings'!L41,IF($A$2=2016,'Historical Standings'!B75,IF($A$2=2015,'Historical Standings'!L75,IF($A$2=2014,'Historical Standings'!B109,IF($A$2=2013,'Historical Standings'!L109,IF($A$2=2012,'Historical Standings'!B143,IF($A$2=2011,'Historical Standings'!L143,IF($A$2=2010,'Historical Standings'!B177,IF($A$2=2009,'Historical Standings'!L177,IF($A$2=2008,'Historical Standings'!B211,IF($A$2=2007,'Historical Standings'!L211,IF($A$2=2006,'Historical Standings'!B245,IF($A$2=2005,'Historical Standings'!L245,IF($A$2=2004,'Historical Standings'!B279,'Historical Standings'!L279)))))))))))))))))</f>
        <v>Charlotte Hornets</v>
      </c>
      <c r="D8">
        <f>IF($A$2=2020,East2020[[#This Row],[W]],IF($A$2=2019,East2019[[#This Row],[W]],IF($A$2=2018,'Historical Standings'!C41,IF($A$2=2017,'Historical Standings'!M41,IF($A$2=2016,'Historical Standings'!C75,IF($A$2=2015,'Historical Standings'!M75,IF($A$2=2014,'Historical Standings'!C109,IF($A$2=2013,'Historical Standings'!M109,IF($A$2=2012,'Historical Standings'!C143,IF($A$2=2011,'Historical Standings'!M143,IF($A$2=2010,'Historical Standings'!C177,IF($A$2=2009,'Historical Standings'!M177,IF($A$2=2008,'Historical Standings'!C211,IF($A$2=2007,'Historical Standings'!M211,IF($A$2=2006,'Historical Standings'!C245,IF($A$2=2005,'Historical Standings'!M245,IF($A$2=2004,'Historical Standings'!C279,'Historical Standings'!M279)))))))))))))))))</f>
        <v>43</v>
      </c>
      <c r="E8">
        <f>IF($A$2=2020,East2020[[#This Row],[L]],IF($A$2=2019,East2019[[#This Row],[L]],IF($A$2=2018,'Historical Standings'!D41,IF($A$2=2017,'Historical Standings'!N41,IF($A$2=2016,'Historical Standings'!D75,IF($A$2=2015,'Historical Standings'!N75,IF($A$2=2014,'Historical Standings'!D109,IF($A$2=2013,'Historical Standings'!N109,IF($A$2=2012,'Historical Standings'!D143,IF($A$2=2011,'Historical Standings'!N143,IF($A$2=2010,'Historical Standings'!D177,IF($A$2=2009,'Historical Standings'!N177,IF($A$2=2008,'Historical Standings'!D211,IF($A$2=2007,'Historical Standings'!N211,IF($A$2=2006,'Historical Standings'!D245,IF($A$2=2005,'Historical Standings'!N245,IF($A$2=2004,'Historical Standings'!D279,'Historical Standings'!N279)))))))))))))))))</f>
        <v>39</v>
      </c>
      <c r="F8">
        <f>IF($A$2=2020,East2020[[#This Row],[WIN PCT]],IF($A$2=2019,East2019[[#This Row],[WIN PCT]],IF($A$2=2018,'Historical Standings'!E41,IF($A$2=2017,'Historical Standings'!O41,IF($A$2=2016,'Historical Standings'!E75,IF($A$2=2015,'Historical Standings'!O75,IF($A$2=2014,'Historical Standings'!E109,IF($A$2=2013,'Historical Standings'!O109,IF($A$2=2012,'Historical Standings'!E143,IF($A$2=2011,'Historical Standings'!O143,IF($A$2=2010,'Historical Standings'!E177,IF($A$2=2009,'Historical Standings'!O177,IF($A$2=2008,'Historical Standings'!E211,IF($A$2=2007,'Historical Standings'!O211,IF($A$2=2006,'Historical Standings'!E245,IF($A$2=2005,'Historical Standings'!O245,IF($A$2=2004,'Historical Standings'!E279,'Historical Standings'!O279)))))))))))))))))</f>
        <v>0.52400000000000002</v>
      </c>
      <c r="G8" s="4">
        <f>VLOOKUP($C8,'Historical Luck'!$A$7:$CM$36,5*ABS($A$2-2021),FALSE)</f>
        <v>0.49238388654632875</v>
      </c>
      <c r="H8" s="5">
        <f>VLOOKUP($C8,'Historical Luck'!$A$7:$CM$36,5*ABS($A$2-2020)+6,FALSE)</f>
        <v>3.1616113453671268E-2</v>
      </c>
      <c r="I8">
        <f t="shared" si="1"/>
        <v>6</v>
      </c>
      <c r="J8">
        <f>IF($A$2=2020,East2020[[#This Row],[Diff]],IF($A$2=2019,East2019[[#This Row],[Diff]],IF($A$2=2018,'Historical Standings'!J41,IF($A$2=2017,'Historical Standings'!T41,IF($A$2=2016,'Historical Standings'!J75,IF($A$2=2015,'Historical Standings'!T75,IF($A$2=2014,'Historical Standings'!J109,IF($A$2=2013,'Historical Standings'!T109,IF($A$2=2012,'Historical Standings'!J143,IF($A$2=2011,'Historical Standings'!T143,IF($A$2=2010,'Historical Standings'!J177,IF($A$2=2009,'Historical Standings'!T177,IF($A$2=2008,'Historical Standings'!J211,IF($A$2=2007,'Historical Standings'!T211,IF($A$2=2006,'Historical Standings'!J245,IF($A$2=2005,'Historical Standings'!T245,IF($A$2=2004,'Historical Standings'!J279,'Historical Standings'!T279)))))))))))))))))</f>
        <v>9.77</v>
      </c>
      <c r="L8">
        <v>7</v>
      </c>
      <c r="M8" t="str">
        <f>IF($A$2=2020,'Historical Standings'!B24,IF($A$2=2019,'Historical Standings'!L24,IF($A$2=2018,'Historical Standings'!B58,IF($A$2=2017,'Historical Standings'!L58,IF($A$2=2016,'Historical Standings'!B92,IF($A$2=2015,'Historical Standings'!L92,IF($A$2=2014,'Historical Standings'!B126,IF($A$2=2013,'Historical Standings'!L126,IF($A$2=2012,'Historical Standings'!B160,IF($A$2=2011,'Historical Standings'!L160,IF($A$2=2010,'Historical Standings'!B194,IF($A$2=2009,'Historical Standings'!L194,IF($A$2=2008,'Historical Standings'!B228,IF($A$2=2007,'Historical Standings'!L228,IF($A$2=2006,'Historical Standings'!B262,IF($A$2=2005,'Historical Standings'!L262,IF($A$2=2004,'Historical Standings'!B296,'Historical Standings'!L296)))))))))))))))))</f>
        <v>Memphis Grizzlies</v>
      </c>
      <c r="N8">
        <f>IF($A$2=2020,'Historical Standings'!C24,IF($A$2=2019,'Historical Standings'!M24,IF($A$2=2018,'Historical Standings'!C58,IF($A$2=2017,'Historical Standings'!M58,IF($A$2=2016,'Historical Standings'!C92,IF($A$2=2015,'Historical Standings'!M92,IF($A$2=2014,'Historical Standings'!C126,IF($A$2=2013,'Historical Standings'!M126,IF($A$2=2012,'Historical Standings'!C160,IF($A$2=2011,'Historical Standings'!M160,IF($A$2=2010,'Historical Standings'!C194,IF($A$2=2009,'Historical Standings'!M194,IF($A$2=2008,'Historical Standings'!C228,IF($A$2=2007,'Historical Standings'!M228,IF($A$2=2006,'Historical Standings'!C262,IF($A$2=2005,'Historical Standings'!M262,IF($A$2=2004,'Historical Standings'!C296,'Historical Standings'!M296)))))))))))))))))</f>
        <v>50</v>
      </c>
      <c r="O8">
        <f>IF($A$2=2020,'Historical Standings'!D24,IF($A$2=2019,'Historical Standings'!N24,IF($A$2=2018,'Historical Standings'!D58,IF($A$2=2017,'Historical Standings'!N58,IF($A$2=2016,'Historical Standings'!D92,IF($A$2=2015,'Historical Standings'!N92,IF($A$2=2014,'Historical Standings'!D126,IF($A$2=2013,'Historical Standings'!N126,IF($A$2=2012,'Historical Standings'!D160,IF($A$2=2011,'Historical Standings'!N160,IF($A$2=2010,'Historical Standings'!D194,IF($A$2=2009,'Historical Standings'!N194,IF($A$2=2008,'Historical Standings'!D228,IF($A$2=2007,'Historical Standings'!N228,IF($A$2=2006,'Historical Standings'!D262,IF($A$2=2005,'Historical Standings'!N262,IF($A$2=2004,'Historical Standings'!D296,'Historical Standings'!N296)))))))))))))))))</f>
        <v>32</v>
      </c>
      <c r="P8" s="4">
        <f>IF($A$2=2020,'Historical Standings'!E24,IF($A$2=2019,'Historical Standings'!O24,IF($A$2=2018,'Historical Standings'!E58,IF($A$2=2017,'Historical Standings'!O58,IF($A$2=2016,'Historical Standings'!E92,IF($A$2=2015,'Historical Standings'!O92,IF($A$2=2014,'Historical Standings'!E126,IF($A$2=2013,'Historical Standings'!O126,IF($A$2=2012,'Historical Standings'!E160,IF($A$2=2011,'Historical Standings'!O160,IF($A$2=2010,'Historical Standings'!E194,IF($A$2=2009,'Historical Standings'!O194,IF($A$2=2008,'Historical Standings'!E228,IF($A$2=2007,'Historical Standings'!O228,IF($A$2=2006,'Historical Standings'!E262,IF($A$2=2005,'Historical Standings'!O262,IF($A$2=2004,'Historical Standings'!E296,'Historical Standings'!O296)))))))))))))))))</f>
        <v>0.61</v>
      </c>
      <c r="Q8" s="4">
        <f>IFERROR(VLOOKUP($M8,'Historical Luck'!$A$7:$CM$36,5*ABS($A$2-2021),FALSE),"")</f>
        <v>0.55785468786508308</v>
      </c>
      <c r="R8" s="5">
        <f>IFERROR(VLOOKUP($M8,'Historical Luck'!$A$7:$CM$36,5*ABS($A$2-2020)+6,FALSE),"")</f>
        <v>5.214531213491691E-2</v>
      </c>
      <c r="S8">
        <f t="shared" si="0"/>
        <v>10</v>
      </c>
      <c r="T8">
        <f>IF($A$2=2020,'Historical Standings'!J24,IF($A$2=2019,'Historical Standings'!T24,IF($A$2=2018,'Historical Standings'!J58,IF($A$2=2017,'Historical Standings'!T58,IF($A$2=2016,'Historical Standings'!J92,IF($A$2=2015,'Historical Standings'!T92,IF($A$2=2014,'Historical Standings'!J126,IF($A$2=2013,'Historical Standings'!T126,IF($A$2=2012,'Historical Standings'!J160,IF($A$2=2011,'Historical Standings'!T160,IF($A$2=2010,'Historical Standings'!J194,IF($A$2=2009,'Historical Standings'!T194,IF($A$2=2008,'Historical Standings'!J228,IF($A$2=2007,'Historical Standings'!T228,IF($A$2=2006,'Historical Standings'!J262,IF($A$2=2005,'Historical Standings'!T262,IF($A$2=2004,'Historical Standings'!J296,'Historical Standings'!T296)))))))))))))))))</f>
        <v>12.84</v>
      </c>
      <c r="W8" t="s">
        <v>242</v>
      </c>
      <c r="X8" s="82">
        <f>COMBIN(5,3)*$V$3^2*(1-$V$3)^4</f>
        <v>0.17430072529000001</v>
      </c>
      <c r="Y8">
        <v>0.4</v>
      </c>
      <c r="Z8">
        <v>0.5</v>
      </c>
      <c r="AC8">
        <v>0</v>
      </c>
    </row>
    <row r="9" spans="1:29" ht="15.75" thickBot="1" x14ac:dyDescent="0.3">
      <c r="A9" s="151">
        <v>2015</v>
      </c>
      <c r="B9">
        <v>8</v>
      </c>
      <c r="C9" s="7" t="str">
        <f>IF($A$2=2020,East2020[[#This Row],[Teams]],IF($A$2=2019,East2019[[#This Row],[Teams]],IF($A$2=2018,'Historical Standings'!B42,IF($A$2=2017,'Historical Standings'!L42,IF($A$2=2016,'Historical Standings'!B76,IF($A$2=2015,'Historical Standings'!L76,IF($A$2=2014,'Historical Standings'!B110,IF($A$2=2013,'Historical Standings'!L110,IF($A$2=2012,'Historical Standings'!B144,IF($A$2=2011,'Historical Standings'!L144,IF($A$2=2010,'Historical Standings'!B178,IF($A$2=2009,'Historical Standings'!L178,IF($A$2=2008,'Historical Standings'!B212,IF($A$2=2007,'Historical Standings'!L212,IF($A$2=2006,'Historical Standings'!B246,IF($A$2=2005,'Historical Standings'!L246,IF($A$2=2004,'Historical Standings'!B280,'Historical Standings'!L280)))))))))))))))))</f>
        <v>Atlanta Hawks</v>
      </c>
      <c r="D9" s="7">
        <f>IF($A$2=2020,East2020[[#This Row],[W]],IF($A$2=2019,East2019[[#This Row],[W]],IF($A$2=2018,'Historical Standings'!C42,IF($A$2=2017,'Historical Standings'!M42,IF($A$2=2016,'Historical Standings'!C76,IF($A$2=2015,'Historical Standings'!M76,IF($A$2=2014,'Historical Standings'!C110,IF($A$2=2013,'Historical Standings'!M110,IF($A$2=2012,'Historical Standings'!C144,IF($A$2=2011,'Historical Standings'!M144,IF($A$2=2010,'Historical Standings'!C178,IF($A$2=2009,'Historical Standings'!M178,IF($A$2=2008,'Historical Standings'!C212,IF($A$2=2007,'Historical Standings'!M212,IF($A$2=2006,'Historical Standings'!C246,IF($A$2=2005,'Historical Standings'!M246,IF($A$2=2004,'Historical Standings'!C280,'Historical Standings'!M280)))))))))))))))))</f>
        <v>38</v>
      </c>
      <c r="E9" s="7">
        <f>IF($A$2=2020,East2020[[#This Row],[L]],IF($A$2=2019,East2019[[#This Row],[L]],IF($A$2=2018,'Historical Standings'!D42,IF($A$2=2017,'Historical Standings'!N42,IF($A$2=2016,'Historical Standings'!D76,IF($A$2=2015,'Historical Standings'!N76,IF($A$2=2014,'Historical Standings'!D110,IF($A$2=2013,'Historical Standings'!N110,IF($A$2=2012,'Historical Standings'!D144,IF($A$2=2011,'Historical Standings'!N144,IF($A$2=2010,'Historical Standings'!D178,IF($A$2=2009,'Historical Standings'!N178,IF($A$2=2008,'Historical Standings'!D212,IF($A$2=2007,'Historical Standings'!N212,IF($A$2=2006,'Historical Standings'!D246,IF($A$2=2005,'Historical Standings'!N246,IF($A$2=2004,'Historical Standings'!D280,'Historical Standings'!N280)))))))))))))))))</f>
        <v>44</v>
      </c>
      <c r="F9" s="7">
        <f>IF($A$2=2020,East2020[[#This Row],[WIN PCT]],IF($A$2=2019,East2019[[#This Row],[WIN PCT]],IF($A$2=2018,'Historical Standings'!E42,IF($A$2=2017,'Historical Standings'!O42,IF($A$2=2016,'Historical Standings'!E76,IF($A$2=2015,'Historical Standings'!O76,IF($A$2=2014,'Historical Standings'!E110,IF($A$2=2013,'Historical Standings'!O110,IF($A$2=2012,'Historical Standings'!E144,IF($A$2=2011,'Historical Standings'!O144,IF($A$2=2010,'Historical Standings'!E178,IF($A$2=2009,'Historical Standings'!O178,IF($A$2=2008,'Historical Standings'!E212,IF($A$2=2007,'Historical Standings'!O212,IF($A$2=2006,'Historical Standings'!E246,IF($A$2=2005,'Historical Standings'!O246,IF($A$2=2004,'Historical Standings'!E280,'Historical Standings'!O280)))))))))))))))))</f>
        <v>0.46300000000000002</v>
      </c>
      <c r="G9" s="152">
        <f>VLOOKUP($C9,'Historical Luck'!$A$7:$CM$36,5*ABS($A$2-2021),FALSE)</f>
        <v>0.48176558680338588</v>
      </c>
      <c r="H9" s="117">
        <f>VLOOKUP($C9,'Historical Luck'!$A$7:$CM$36,5*ABS($A$2-2020)+6,FALSE)</f>
        <v>-1.8765586803385859E-2</v>
      </c>
      <c r="I9" s="7">
        <f t="shared" si="1"/>
        <v>7</v>
      </c>
      <c r="J9" s="7">
        <f>IF($A$2=2020,East2020[[#This Row],[Diff]],IF($A$2=2019,East2019[[#This Row],[Diff]],IF($A$2=2018,'Historical Standings'!J42,IF($A$2=2017,'Historical Standings'!T42,IF($A$2=2016,'Historical Standings'!J76,IF($A$2=2015,'Historical Standings'!T76,IF($A$2=2014,'Historical Standings'!J110,IF($A$2=2013,'Historical Standings'!T110,IF($A$2=2012,'Historical Standings'!J144,IF($A$2=2011,'Historical Standings'!T144,IF($A$2=2010,'Historical Standings'!J178,IF($A$2=2009,'Historical Standings'!T178,IF($A$2=2008,'Historical Standings'!J212,IF($A$2=2007,'Historical Standings'!T212,IF($A$2=2006,'Historical Standings'!J246,IF($A$2=2005,'Historical Standings'!T246,IF($A$2=2004,'Historical Standings'!J280,'Historical Standings'!T280)))))))))))))))))</f>
        <v>9.7799999999999994</v>
      </c>
      <c r="K9" s="11"/>
      <c r="L9">
        <v>8</v>
      </c>
      <c r="M9" s="7" t="str">
        <f>IF($A$2=2020,'Historical Standings'!B25,IF($A$2=2019,'Historical Standings'!L25,IF($A$2=2018,'Historical Standings'!B59,IF($A$2=2017,'Historical Standings'!L59,IF($A$2=2016,'Historical Standings'!B93,IF($A$2=2015,'Historical Standings'!L93,IF($A$2=2014,'Historical Standings'!B127,IF($A$2=2013,'Historical Standings'!L127,IF($A$2=2012,'Historical Standings'!B161,IF($A$2=2011,'Historical Standings'!L161,IF($A$2=2010,'Historical Standings'!B195,IF($A$2=2009,'Historical Standings'!L195,IF($A$2=2008,'Historical Standings'!B229,IF($A$2=2007,'Historical Standings'!L229,IF($A$2=2006,'Historical Standings'!B263,IF($A$2=2005,'Historical Standings'!L263,IF($A$2=2004,'Historical Standings'!B297,'Historical Standings'!L297)))))))))))))))))</f>
        <v>Dallas Mavericks</v>
      </c>
      <c r="N9" s="7">
        <f>IF($A$2=2020,'Historical Standings'!C25,IF($A$2=2019,'Historical Standings'!M25,IF($A$2=2018,'Historical Standings'!C59,IF($A$2=2017,'Historical Standings'!M59,IF($A$2=2016,'Historical Standings'!C93,IF($A$2=2015,'Historical Standings'!M93,IF($A$2=2014,'Historical Standings'!C127,IF($A$2=2013,'Historical Standings'!M127,IF($A$2=2012,'Historical Standings'!C161,IF($A$2=2011,'Historical Standings'!M161,IF($A$2=2010,'Historical Standings'!C195,IF($A$2=2009,'Historical Standings'!M195,IF($A$2=2008,'Historical Standings'!C229,IF($A$2=2007,'Historical Standings'!M229,IF($A$2=2006,'Historical Standings'!C263,IF($A$2=2005,'Historical Standings'!M263,IF($A$2=2004,'Historical Standings'!C297,'Historical Standings'!M297)))))))))))))))))</f>
        <v>49</v>
      </c>
      <c r="O9" s="7">
        <f>IF($A$2=2020,'Historical Standings'!D25,IF($A$2=2019,'Historical Standings'!N25,IF($A$2=2018,'Historical Standings'!D59,IF($A$2=2017,'Historical Standings'!N59,IF($A$2=2016,'Historical Standings'!D93,IF($A$2=2015,'Historical Standings'!N93,IF($A$2=2014,'Historical Standings'!D127,IF($A$2=2013,'Historical Standings'!N127,IF($A$2=2012,'Historical Standings'!D161,IF($A$2=2011,'Historical Standings'!N161,IF($A$2=2010,'Historical Standings'!D195,IF($A$2=2009,'Historical Standings'!N195,IF($A$2=2008,'Historical Standings'!D229,IF($A$2=2007,'Historical Standings'!N229,IF($A$2=2006,'Historical Standings'!D263,IF($A$2=2005,'Historical Standings'!N263,IF($A$2=2004,'Historical Standings'!D297,'Historical Standings'!N297)))))))))))))))))</f>
        <v>33</v>
      </c>
      <c r="P9" s="152">
        <f>IF($A$2=2020,'Historical Standings'!E25,IF($A$2=2019,'Historical Standings'!O25,IF($A$2=2018,'Historical Standings'!E59,IF($A$2=2017,'Historical Standings'!O59,IF($A$2=2016,'Historical Standings'!E93,IF($A$2=2015,'Historical Standings'!O93,IF($A$2=2014,'Historical Standings'!E127,IF($A$2=2013,'Historical Standings'!O127,IF($A$2=2012,'Historical Standings'!E161,IF($A$2=2011,'Historical Standings'!O161,IF($A$2=2010,'Historical Standings'!E195,IF($A$2=2009,'Historical Standings'!O195,IF($A$2=2008,'Historical Standings'!E229,IF($A$2=2007,'Historical Standings'!O229,IF($A$2=2006,'Historical Standings'!E263,IF($A$2=2005,'Historical Standings'!O263,IF($A$2=2004,'Historical Standings'!E297,'Historical Standings'!O297)))))))))))))))))</f>
        <v>0.59799999999999998</v>
      </c>
      <c r="Q9" s="152">
        <f>IFERROR(VLOOKUP($M9,'Historical Luck'!$A$7:$CM$36,5*ABS($A$2-2021),FALSE),"")</f>
        <v>0.58475534818800201</v>
      </c>
      <c r="R9" s="117">
        <f>IFERROR(VLOOKUP($M9,'Historical Luck'!$A$7:$CM$36,5*ABS($A$2-2020)+6,FALSE),"")</f>
        <v>1.3244651811997965E-2</v>
      </c>
      <c r="S9" s="7">
        <f t="shared" si="0"/>
        <v>9</v>
      </c>
      <c r="T9" s="7">
        <f>IF($A$2=2020,'Historical Standings'!J25,IF($A$2=2019,'Historical Standings'!T25,IF($A$2=2018,'Historical Standings'!J59,IF($A$2=2017,'Historical Standings'!T59,IF($A$2=2016,'Historical Standings'!J93,IF($A$2=2015,'Historical Standings'!T93,IF($A$2=2014,'Historical Standings'!J127,IF($A$2=2013,'Historical Standings'!T127,IF($A$2=2012,'Historical Standings'!J161,IF($A$2=2011,'Historical Standings'!T161,IF($A$2=2010,'Historical Standings'!J195,IF($A$2=2009,'Historical Standings'!T195,IF($A$2=2008,'Historical Standings'!J229,IF($A$2=2007,'Historical Standings'!T229,IF($A$2=2006,'Historical Standings'!J263,IF($A$2=2005,'Historical Standings'!T263,IF($A$2=2004,'Historical Standings'!J297,'Historical Standings'!T297)))))))))))))))))</f>
        <v>13.57</v>
      </c>
      <c r="W9" t="s">
        <v>243</v>
      </c>
      <c r="X9" s="82">
        <f>COMBIN(4,3)*$V$3^1*(1-$V$3)^4</f>
        <v>0.14834104280000002</v>
      </c>
      <c r="Y9">
        <v>0.25</v>
      </c>
      <c r="Z9">
        <v>0.4</v>
      </c>
      <c r="AC9">
        <v>1</v>
      </c>
    </row>
    <row r="10" spans="1:29" x14ac:dyDescent="0.25">
      <c r="A10" s="151">
        <v>2014</v>
      </c>
      <c r="B10">
        <v>9</v>
      </c>
      <c r="C10" t="str">
        <f>IF($A$2=2020,East2020[[#This Row],[Teams]],IF($A$2=2019,East2019[[#This Row],[Teams]],IF($A$2=2018,'Historical Standings'!B43,IF($A$2=2017,'Historical Standings'!L43,IF($A$2=2016,'Historical Standings'!B77,IF($A$2=2015,'Historical Standings'!L77,IF($A$2=2014,'Historical Standings'!B111,IF($A$2=2013,'Historical Standings'!L111,IF($A$2=2012,'Historical Standings'!B145,IF($A$2=2011,'Historical Standings'!L145,IF($A$2=2010,'Historical Standings'!B179,IF($A$2=2009,'Historical Standings'!L179,IF($A$2=2008,'Historical Standings'!B213,IF($A$2=2007,'Historical Standings'!L213,IF($A$2=2006,'Historical Standings'!B247,IF($A$2=2005,'Historical Standings'!L247,IF($A$2=2004,'Historical Standings'!B281,'Historical Standings'!L281)))))))))))))))))</f>
        <v>New York Knicks</v>
      </c>
      <c r="D10">
        <f>IF($A$2=2020,East2020[[#This Row],[W]],IF($A$2=2019,East2019[[#This Row],[W]],IF($A$2=2018,'Historical Standings'!C43,IF($A$2=2017,'Historical Standings'!M43,IF($A$2=2016,'Historical Standings'!C77,IF($A$2=2015,'Historical Standings'!M77,IF($A$2=2014,'Historical Standings'!C111,IF($A$2=2013,'Historical Standings'!M111,IF($A$2=2012,'Historical Standings'!C145,IF($A$2=2011,'Historical Standings'!M145,IF($A$2=2010,'Historical Standings'!C179,IF($A$2=2009,'Historical Standings'!M179,IF($A$2=2008,'Historical Standings'!C213,IF($A$2=2007,'Historical Standings'!M213,IF($A$2=2006,'Historical Standings'!C247,IF($A$2=2005,'Historical Standings'!M247,IF($A$2=2004,'Historical Standings'!C281,'Historical Standings'!M281)))))))))))))))))</f>
        <v>37</v>
      </c>
      <c r="E10">
        <f>IF($A$2=2020,East2020[[#This Row],[L]],IF($A$2=2019,East2019[[#This Row],[L]],IF($A$2=2018,'Historical Standings'!D43,IF($A$2=2017,'Historical Standings'!N43,IF($A$2=2016,'Historical Standings'!D77,IF($A$2=2015,'Historical Standings'!N77,IF($A$2=2014,'Historical Standings'!D111,IF($A$2=2013,'Historical Standings'!N111,IF($A$2=2012,'Historical Standings'!D145,IF($A$2=2011,'Historical Standings'!N145,IF($A$2=2010,'Historical Standings'!D179,IF($A$2=2009,'Historical Standings'!N179,IF($A$2=2008,'Historical Standings'!D213,IF($A$2=2007,'Historical Standings'!N213,IF($A$2=2006,'Historical Standings'!D247,IF($A$2=2005,'Historical Standings'!N247,IF($A$2=2004,'Historical Standings'!D281,'Historical Standings'!N281)))))))))))))))))</f>
        <v>45</v>
      </c>
      <c r="F10">
        <f>IF($A$2=2020,East2020[[#This Row],[WIN PCT]],IF($A$2=2019,East2019[[#This Row],[WIN PCT]],IF($A$2=2018,'Historical Standings'!E43,IF($A$2=2017,'Historical Standings'!O43,IF($A$2=2016,'Historical Standings'!E77,IF($A$2=2015,'Historical Standings'!O77,IF($A$2=2014,'Historical Standings'!E111,IF($A$2=2013,'Historical Standings'!O111,IF($A$2=2012,'Historical Standings'!E145,IF($A$2=2011,'Historical Standings'!O145,IF($A$2=2010,'Historical Standings'!E179,IF($A$2=2009,'Historical Standings'!O179,IF($A$2=2008,'Historical Standings'!E213,IF($A$2=2007,'Historical Standings'!O213,IF($A$2=2006,'Historical Standings'!E247,IF($A$2=2005,'Historical Standings'!O247,IF($A$2=2004,'Historical Standings'!E281,'Historical Standings'!O281)))))))))))))))))</f>
        <v>0.45100000000000001</v>
      </c>
      <c r="G10" s="4">
        <f>VLOOKUP($C10,'Historical Luck'!$A$7:$CM$36,5*ABS($A$2-2021),FALSE)</f>
        <v>0.47018394642194772</v>
      </c>
      <c r="H10" s="5">
        <f>VLOOKUP($C10,'Historical Luck'!$A$7:$CM$36,5*ABS($A$2-2020)+6,FALSE)</f>
        <v>-1.9183946421947706E-2</v>
      </c>
      <c r="I10">
        <f t="shared" si="1"/>
        <v>8</v>
      </c>
      <c r="J10">
        <f>IF($A$2=2020,East2020[[#This Row],[Diff]],IF($A$2=2019,East2019[[#This Row],[Diff]],IF($A$2=2018,'Historical Standings'!J43,IF($A$2=2017,'Historical Standings'!T43,IF($A$2=2016,'Historical Standings'!J77,IF($A$2=2015,'Historical Standings'!T77,IF($A$2=2014,'Historical Standings'!J111,IF($A$2=2013,'Historical Standings'!T111,IF($A$2=2012,'Historical Standings'!J145,IF($A$2=2011,'Historical Standings'!T145,IF($A$2=2010,'Historical Standings'!J179,IF($A$2=2009,'Historical Standings'!T179,IF($A$2=2008,'Historical Standings'!J213,IF($A$2=2007,'Historical Standings'!T213,IF($A$2=2006,'Historical Standings'!J247,IF($A$2=2005,'Historical Standings'!T247,IF($A$2=2004,'Historical Standings'!J281,'Historical Standings'!T281)))))))))))))))))</f>
        <v>9.26</v>
      </c>
      <c r="L10">
        <v>9</v>
      </c>
      <c r="M10" t="str">
        <f>IF($A$2=2020,'Historical Standings'!B26,IF($A$2=2019,'Historical Standings'!L26,IF($A$2=2018,'Historical Standings'!B60,IF($A$2=2017,'Historical Standings'!L60,IF($A$2=2016,'Historical Standings'!B94,IF($A$2=2015,'Historical Standings'!L94,IF($A$2=2014,'Historical Standings'!B128,IF($A$2=2013,'Historical Standings'!L128,IF($A$2=2012,'Historical Standings'!B162,IF($A$2=2011,'Historical Standings'!L162,IF($A$2=2010,'Historical Standings'!B196,IF($A$2=2009,'Historical Standings'!L196,IF($A$2=2008,'Historical Standings'!B230,IF($A$2=2007,'Historical Standings'!L230,IF($A$2=2006,'Historical Standings'!B264,IF($A$2=2005,'Historical Standings'!L264,IF($A$2=2004,'Historical Standings'!B298,'Historical Standings'!L298)))))))))))))))))</f>
        <v>Phoenix Suns</v>
      </c>
      <c r="N10">
        <f>IF($A$2=2020,'Historical Standings'!C26,IF($A$2=2019,'Historical Standings'!M26,IF($A$2=2018,'Historical Standings'!C60,IF($A$2=2017,'Historical Standings'!M60,IF($A$2=2016,'Historical Standings'!C94,IF($A$2=2015,'Historical Standings'!M94,IF($A$2=2014,'Historical Standings'!C128,IF($A$2=2013,'Historical Standings'!M128,IF($A$2=2012,'Historical Standings'!C162,IF($A$2=2011,'Historical Standings'!M162,IF($A$2=2010,'Historical Standings'!C196,IF($A$2=2009,'Historical Standings'!M196,IF($A$2=2008,'Historical Standings'!C230,IF($A$2=2007,'Historical Standings'!M230,IF($A$2=2006,'Historical Standings'!C264,IF($A$2=2005,'Historical Standings'!M264,IF($A$2=2004,'Historical Standings'!C298,'Historical Standings'!M298)))))))))))))))))</f>
        <v>48</v>
      </c>
      <c r="O10">
        <f>IF($A$2=2020,'Historical Standings'!D26,IF($A$2=2019,'Historical Standings'!N26,IF($A$2=2018,'Historical Standings'!D60,IF($A$2=2017,'Historical Standings'!N60,IF($A$2=2016,'Historical Standings'!D94,IF($A$2=2015,'Historical Standings'!N94,IF($A$2=2014,'Historical Standings'!D128,IF($A$2=2013,'Historical Standings'!N128,IF($A$2=2012,'Historical Standings'!D162,IF($A$2=2011,'Historical Standings'!N162,IF($A$2=2010,'Historical Standings'!D196,IF($A$2=2009,'Historical Standings'!N196,IF($A$2=2008,'Historical Standings'!D230,IF($A$2=2007,'Historical Standings'!N230,IF($A$2=2006,'Historical Standings'!D264,IF($A$2=2005,'Historical Standings'!N264,IF($A$2=2004,'Historical Standings'!D298,'Historical Standings'!N298)))))))))))))))))</f>
        <v>34</v>
      </c>
      <c r="P10" s="4">
        <f>IF($A$2=2020,'Historical Standings'!E26,IF($A$2=2019,'Historical Standings'!O26,IF($A$2=2018,'Historical Standings'!E60,IF($A$2=2017,'Historical Standings'!O60,IF($A$2=2016,'Historical Standings'!E94,IF($A$2=2015,'Historical Standings'!O94,IF($A$2=2014,'Historical Standings'!E128,IF($A$2=2013,'Historical Standings'!O128,IF($A$2=2012,'Historical Standings'!E162,IF($A$2=2011,'Historical Standings'!O162,IF($A$2=2010,'Historical Standings'!E196,IF($A$2=2009,'Historical Standings'!O196,IF($A$2=2008,'Historical Standings'!E230,IF($A$2=2007,'Historical Standings'!O230,IF($A$2=2006,'Historical Standings'!E264,IF($A$2=2005,'Historical Standings'!O264,IF($A$2=2004,'Historical Standings'!E298,'Historical Standings'!O298)))))))))))))))))</f>
        <v>0.58499999999999996</v>
      </c>
      <c r="Q10" s="4">
        <f>IFERROR(VLOOKUP($M10,'Historical Luck'!$A$7:$CM$36,5*ABS($A$2-2021),FALSE),"")</f>
        <v>0.59140697385968355</v>
      </c>
      <c r="R10" s="5">
        <f>IFERROR(VLOOKUP($M10,'Historical Luck'!$A$7:$CM$36,5*ABS($A$2-2020)+6,FALSE),"")</f>
        <v>-6.4069738596835846E-3</v>
      </c>
      <c r="S10">
        <f t="shared" si="0"/>
        <v>7</v>
      </c>
      <c r="T10">
        <f>IF($A$2=2020,'Historical Standings'!J26,IF($A$2=2019,'Historical Standings'!T26,IF($A$2=2018,'Historical Standings'!J60,IF($A$2=2017,'Historical Standings'!T60,IF($A$2=2016,'Historical Standings'!J94,IF($A$2=2015,'Historical Standings'!T94,IF($A$2=2014,'Historical Standings'!J128,IF($A$2=2013,'Historical Standings'!T128,IF($A$2=2012,'Historical Standings'!J162,IF($A$2=2011,'Historical Standings'!T162,IF($A$2=2010,'Historical Standings'!J196,IF($A$2=2009,'Historical Standings'!T196,IF($A$2=2008,'Historical Standings'!J230,IF($A$2=2007,'Historical Standings'!T230,IF($A$2=2006,'Historical Standings'!J264,IF($A$2=2005,'Historical Standings'!T264,IF($A$2=2004,'Historical Standings'!J298,'Historical Standings'!T298)))))))))))))))))</f>
        <v>13.68</v>
      </c>
      <c r="W10" t="s">
        <v>244</v>
      </c>
      <c r="X10" s="82">
        <f>COMBIN(3,3)*$V$3^0*(1-$V$3)^4</f>
        <v>7.890481000000002E-2</v>
      </c>
      <c r="Y10">
        <v>0</v>
      </c>
      <c r="Z10">
        <v>0.25</v>
      </c>
      <c r="AC10">
        <v>2</v>
      </c>
    </row>
    <row r="11" spans="1:29" x14ac:dyDescent="0.25">
      <c r="A11" s="151">
        <v>2013</v>
      </c>
      <c r="B11">
        <v>10</v>
      </c>
      <c r="C11" t="str">
        <f>IF($A$2=2020,East2020[[#This Row],[Teams]],IF($A$2=2019,East2019[[#This Row],[Teams]],IF($A$2=2018,'Historical Standings'!B44,IF($A$2=2017,'Historical Standings'!L44,IF($A$2=2016,'Historical Standings'!B78,IF($A$2=2015,'Historical Standings'!L78,IF($A$2=2014,'Historical Standings'!B112,IF($A$2=2013,'Historical Standings'!L112,IF($A$2=2012,'Historical Standings'!B146,IF($A$2=2011,'Historical Standings'!L146,IF($A$2=2010,'Historical Standings'!B180,IF($A$2=2009,'Historical Standings'!L180,IF($A$2=2008,'Historical Standings'!B214,IF($A$2=2007,'Historical Standings'!L214,IF($A$2=2006,'Historical Standings'!B248,IF($A$2=2005,'Historical Standings'!L248,IF($A$2=2004,'Historical Standings'!B282,'Historical Standings'!L282)))))))))))))))))</f>
        <v>Cleveland Cavaliers</v>
      </c>
      <c r="D11">
        <f>IF($A$2=2020,East2020[[#This Row],[W]],IF($A$2=2019,East2019[[#This Row],[W]],IF($A$2=2018,'Historical Standings'!C44,IF($A$2=2017,'Historical Standings'!M44,IF($A$2=2016,'Historical Standings'!C78,IF($A$2=2015,'Historical Standings'!M78,IF($A$2=2014,'Historical Standings'!C112,IF($A$2=2013,'Historical Standings'!M112,IF($A$2=2012,'Historical Standings'!C146,IF($A$2=2011,'Historical Standings'!M146,IF($A$2=2010,'Historical Standings'!C180,IF($A$2=2009,'Historical Standings'!M180,IF($A$2=2008,'Historical Standings'!C214,IF($A$2=2007,'Historical Standings'!M214,IF($A$2=2006,'Historical Standings'!C248,IF($A$2=2005,'Historical Standings'!M248,IF($A$2=2004,'Historical Standings'!C282,'Historical Standings'!M282)))))))))))))))))</f>
        <v>33</v>
      </c>
      <c r="E11">
        <f>IF($A$2=2020,East2020[[#This Row],[L]],IF($A$2=2019,East2019[[#This Row],[L]],IF($A$2=2018,'Historical Standings'!D44,IF($A$2=2017,'Historical Standings'!N44,IF($A$2=2016,'Historical Standings'!D78,IF($A$2=2015,'Historical Standings'!N78,IF($A$2=2014,'Historical Standings'!D112,IF($A$2=2013,'Historical Standings'!N112,IF($A$2=2012,'Historical Standings'!D146,IF($A$2=2011,'Historical Standings'!N146,IF($A$2=2010,'Historical Standings'!D180,IF($A$2=2009,'Historical Standings'!N180,IF($A$2=2008,'Historical Standings'!D214,IF($A$2=2007,'Historical Standings'!N214,IF($A$2=2006,'Historical Standings'!D248,IF($A$2=2005,'Historical Standings'!N248,IF($A$2=2004,'Historical Standings'!D282,'Historical Standings'!N282)))))))))))))))))</f>
        <v>49</v>
      </c>
      <c r="F11">
        <f>IF($A$2=2020,East2020[[#This Row],[WIN PCT]],IF($A$2=2019,East2019[[#This Row],[WIN PCT]],IF($A$2=2018,'Historical Standings'!E44,IF($A$2=2017,'Historical Standings'!O44,IF($A$2=2016,'Historical Standings'!E78,IF($A$2=2015,'Historical Standings'!O78,IF($A$2=2014,'Historical Standings'!E112,IF($A$2=2013,'Historical Standings'!O112,IF($A$2=2012,'Historical Standings'!E146,IF($A$2=2011,'Historical Standings'!O146,IF($A$2=2010,'Historical Standings'!E180,IF($A$2=2009,'Historical Standings'!O180,IF($A$2=2008,'Historical Standings'!E214,IF($A$2=2007,'Historical Standings'!O214,IF($A$2=2006,'Historical Standings'!E248,IF($A$2=2005,'Historical Standings'!O248,IF($A$2=2004,'Historical Standings'!E282,'Historical Standings'!O282)))))))))))))))))</f>
        <v>0.40200000000000002</v>
      </c>
      <c r="G11" s="4">
        <f>VLOOKUP($C11,'Historical Luck'!$A$7:$CM$36,5*ABS($A$2-2021),FALSE)</f>
        <v>0.38027100342087683</v>
      </c>
      <c r="H11" s="5">
        <f>VLOOKUP($C11,'Historical Luck'!$A$7:$CM$36,5*ABS($A$2-2020)+6,FALSE)</f>
        <v>2.1728996579123194E-2</v>
      </c>
      <c r="I11">
        <f t="shared" si="1"/>
        <v>10</v>
      </c>
      <c r="J11">
        <f>IF($A$2=2020,East2020[[#This Row],[Diff]],IF($A$2=2019,East2019[[#This Row],[Diff]],IF($A$2=2018,'Historical Standings'!J44,IF($A$2=2017,'Historical Standings'!T44,IF($A$2=2016,'Historical Standings'!J78,IF($A$2=2015,'Historical Standings'!T78,IF($A$2=2014,'Historical Standings'!J112,IF($A$2=2013,'Historical Standings'!T112,IF($A$2=2012,'Historical Standings'!J146,IF($A$2=2011,'Historical Standings'!T146,IF($A$2=2010,'Historical Standings'!J180,IF($A$2=2009,'Historical Standings'!T180,IF($A$2=2008,'Historical Standings'!J214,IF($A$2=2007,'Historical Standings'!T214,IF($A$2=2006,'Historical Standings'!J248,IF($A$2=2005,'Historical Standings'!T248,IF($A$2=2004,'Historical Standings'!J282,'Historical Standings'!T282)))))))))))))))))</f>
        <v>6.8000000000000007</v>
      </c>
      <c r="L11">
        <v>10</v>
      </c>
      <c r="M11" t="str">
        <f>IF($A$2=2020,'Historical Standings'!B27,IF($A$2=2019,'Historical Standings'!L27,IF($A$2=2018,'Historical Standings'!B61,IF($A$2=2017,'Historical Standings'!L61,IF($A$2=2016,'Historical Standings'!B95,IF($A$2=2015,'Historical Standings'!L95,IF($A$2=2014,'Historical Standings'!B129,IF($A$2=2013,'Historical Standings'!L129,IF($A$2=2012,'Historical Standings'!B163,IF($A$2=2011,'Historical Standings'!L163,IF($A$2=2010,'Historical Standings'!B197,IF($A$2=2009,'Historical Standings'!L197,IF($A$2=2008,'Historical Standings'!B231,IF($A$2=2007,'Historical Standings'!L231,IF($A$2=2006,'Historical Standings'!B265,IF($A$2=2005,'Historical Standings'!L265,IF($A$2=2004,'Historical Standings'!B299,'Historical Standings'!L299)))))))))))))))))</f>
        <v>Minnesota Timberwolves</v>
      </c>
      <c r="N11">
        <f>IF($A$2=2020,'Historical Standings'!C27,IF($A$2=2019,'Historical Standings'!M27,IF($A$2=2018,'Historical Standings'!C61,IF($A$2=2017,'Historical Standings'!M61,IF($A$2=2016,'Historical Standings'!C95,IF($A$2=2015,'Historical Standings'!M95,IF($A$2=2014,'Historical Standings'!C129,IF($A$2=2013,'Historical Standings'!M129,IF($A$2=2012,'Historical Standings'!C163,IF($A$2=2011,'Historical Standings'!M163,IF($A$2=2010,'Historical Standings'!C197,IF($A$2=2009,'Historical Standings'!M197,IF($A$2=2008,'Historical Standings'!C231,IF($A$2=2007,'Historical Standings'!M231,IF($A$2=2006,'Historical Standings'!C265,IF($A$2=2005,'Historical Standings'!M265,IF($A$2=2004,'Historical Standings'!C299,'Historical Standings'!M299)))))))))))))))))</f>
        <v>40</v>
      </c>
      <c r="O11">
        <f>IF($A$2=2020,'Historical Standings'!D27,IF($A$2=2019,'Historical Standings'!N27,IF($A$2=2018,'Historical Standings'!D61,IF($A$2=2017,'Historical Standings'!N61,IF($A$2=2016,'Historical Standings'!D95,IF($A$2=2015,'Historical Standings'!N95,IF($A$2=2014,'Historical Standings'!D129,IF($A$2=2013,'Historical Standings'!N129,IF($A$2=2012,'Historical Standings'!D163,IF($A$2=2011,'Historical Standings'!N163,IF($A$2=2010,'Historical Standings'!D197,IF($A$2=2009,'Historical Standings'!N197,IF($A$2=2008,'Historical Standings'!D231,IF($A$2=2007,'Historical Standings'!N231,IF($A$2=2006,'Historical Standings'!D265,IF($A$2=2005,'Historical Standings'!N265,IF($A$2=2004,'Historical Standings'!D299,'Historical Standings'!N299)))))))))))))))))</f>
        <v>42</v>
      </c>
      <c r="P11" s="4">
        <f>IF($A$2=2020,'Historical Standings'!E27,IF($A$2=2019,'Historical Standings'!O27,IF($A$2=2018,'Historical Standings'!E61,IF($A$2=2017,'Historical Standings'!O61,IF($A$2=2016,'Historical Standings'!E95,IF($A$2=2015,'Historical Standings'!O95,IF($A$2=2014,'Historical Standings'!E129,IF($A$2=2013,'Historical Standings'!O129,IF($A$2=2012,'Historical Standings'!E163,IF($A$2=2011,'Historical Standings'!O163,IF($A$2=2010,'Historical Standings'!E197,IF($A$2=2009,'Historical Standings'!O197,IF($A$2=2008,'Historical Standings'!E231,IF($A$2=2007,'Historical Standings'!O231,IF($A$2=2006,'Historical Standings'!E265,IF($A$2=2005,'Historical Standings'!O265,IF($A$2=2004,'Historical Standings'!E299,'Historical Standings'!O299)))))))))))))))))</f>
        <v>0.48799999999999999</v>
      </c>
      <c r="Q11" s="4">
        <f>IFERROR(VLOOKUP($M11,'Historical Luck'!$A$7:$CM$36,5*ABS($A$2-2021),FALSE),"")</f>
        <v>0.589967543041372</v>
      </c>
      <c r="R11" s="5">
        <f>IFERROR(VLOOKUP($M11,'Historical Luck'!$A$7:$CM$36,5*ABS($A$2-2020)+6,FALSE),"")</f>
        <v>-0.10196754304137201</v>
      </c>
      <c r="S11">
        <f t="shared" si="0"/>
        <v>8</v>
      </c>
      <c r="T11">
        <f>IF($A$2=2020,'Historical Standings'!J27,IF($A$2=2019,'Historical Standings'!T27,IF($A$2=2018,'Historical Standings'!J61,IF($A$2=2017,'Historical Standings'!T61,IF($A$2=2016,'Historical Standings'!J95,IF($A$2=2015,'Historical Standings'!T95,IF($A$2=2014,'Historical Standings'!J129,IF($A$2=2013,'Historical Standings'!T129,IF($A$2=2012,'Historical Standings'!J163,IF($A$2=2011,'Historical Standings'!T163,IF($A$2=2010,'Historical Standings'!J197,IF($A$2=2009,'Historical Standings'!T197,IF($A$2=2008,'Historical Standings'!J231,IF($A$2=2007,'Historical Standings'!T231,IF($A$2=2006,'Historical Standings'!J265,IF($A$2=2005,'Historical Standings'!T265,IF($A$2=2004,'Historical Standings'!J299,'Historical Standings'!T299)))))))))))))))))</f>
        <v>13.76</v>
      </c>
      <c r="AC11">
        <v>3</v>
      </c>
    </row>
    <row r="12" spans="1:29" x14ac:dyDescent="0.25">
      <c r="A12" s="151">
        <v>2012</v>
      </c>
      <c r="B12">
        <v>11</v>
      </c>
      <c r="C12" t="str">
        <f>IF($A$2=2020,East2020[[#This Row],[Teams]],IF($A$2=2019,East2019[[#This Row],[Teams]],IF($A$2=2018,'Historical Standings'!B45,IF($A$2=2017,'Historical Standings'!L45,IF($A$2=2016,'Historical Standings'!B79,IF($A$2=2015,'Historical Standings'!L79,IF($A$2=2014,'Historical Standings'!B113,IF($A$2=2013,'Historical Standings'!L113,IF($A$2=2012,'Historical Standings'!B147,IF($A$2=2011,'Historical Standings'!L147,IF($A$2=2010,'Historical Standings'!B181,IF($A$2=2009,'Historical Standings'!L181,IF($A$2=2008,'Historical Standings'!B215,IF($A$2=2007,'Historical Standings'!L215,IF($A$2=2006,'Historical Standings'!B249,IF($A$2=2005,'Historical Standings'!L249,IF($A$2=2004,'Historical Standings'!B283,'Historical Standings'!L283)))))))))))))))))</f>
        <v>Detroit Pistons</v>
      </c>
      <c r="D12">
        <f>IF($A$2=2020,East2020[[#This Row],[W]],IF($A$2=2019,East2019[[#This Row],[W]],IF($A$2=2018,'Historical Standings'!C45,IF($A$2=2017,'Historical Standings'!M45,IF($A$2=2016,'Historical Standings'!C79,IF($A$2=2015,'Historical Standings'!M79,IF($A$2=2014,'Historical Standings'!C113,IF($A$2=2013,'Historical Standings'!M113,IF($A$2=2012,'Historical Standings'!C147,IF($A$2=2011,'Historical Standings'!M147,IF($A$2=2010,'Historical Standings'!C181,IF($A$2=2009,'Historical Standings'!M181,IF($A$2=2008,'Historical Standings'!C215,IF($A$2=2007,'Historical Standings'!M215,IF($A$2=2006,'Historical Standings'!C249,IF($A$2=2005,'Historical Standings'!M249,IF($A$2=2004,'Historical Standings'!C283,'Historical Standings'!M283)))))))))))))))))</f>
        <v>29</v>
      </c>
      <c r="E12">
        <f>IF($A$2=2020,East2020[[#This Row],[L]],IF($A$2=2019,East2019[[#This Row],[L]],IF($A$2=2018,'Historical Standings'!D45,IF($A$2=2017,'Historical Standings'!N45,IF($A$2=2016,'Historical Standings'!D79,IF($A$2=2015,'Historical Standings'!N79,IF($A$2=2014,'Historical Standings'!D113,IF($A$2=2013,'Historical Standings'!N113,IF($A$2=2012,'Historical Standings'!D147,IF($A$2=2011,'Historical Standings'!N147,IF($A$2=2010,'Historical Standings'!D181,IF($A$2=2009,'Historical Standings'!N181,IF($A$2=2008,'Historical Standings'!D215,IF($A$2=2007,'Historical Standings'!N215,IF($A$2=2006,'Historical Standings'!D249,IF($A$2=2005,'Historical Standings'!N249,IF($A$2=2004,'Historical Standings'!D283,'Historical Standings'!N283)))))))))))))))))</f>
        <v>53</v>
      </c>
      <c r="F12">
        <f>IF($A$2=2020,East2020[[#This Row],[WIN PCT]],IF($A$2=2019,East2019[[#This Row],[WIN PCT]],IF($A$2=2018,'Historical Standings'!E45,IF($A$2=2017,'Historical Standings'!O45,IF($A$2=2016,'Historical Standings'!E79,IF($A$2=2015,'Historical Standings'!O79,IF($A$2=2014,'Historical Standings'!E113,IF($A$2=2013,'Historical Standings'!O113,IF($A$2=2012,'Historical Standings'!E147,IF($A$2=2011,'Historical Standings'!O147,IF($A$2=2010,'Historical Standings'!E181,IF($A$2=2009,'Historical Standings'!O181,IF($A$2=2008,'Historical Standings'!E215,IF($A$2=2007,'Historical Standings'!O215,IF($A$2=2006,'Historical Standings'!E249,IF($A$2=2005,'Historical Standings'!O249,IF($A$2=2004,'Historical Standings'!E283,'Historical Standings'!O283)))))))))))))))))</f>
        <v>0.35399999999999998</v>
      </c>
      <c r="G12" s="4">
        <f>VLOOKUP($C12,'Historical Luck'!$A$7:$CM$36,5*ABS($A$2-2021),FALSE)</f>
        <v>0.37013583636992253</v>
      </c>
      <c r="H12" s="5">
        <f>VLOOKUP($C12,'Historical Luck'!$A$7:$CM$36,5*ABS($A$2-2020)+6,FALSE)</f>
        <v>-1.6135836369922552E-2</v>
      </c>
      <c r="I12">
        <f t="shared" si="1"/>
        <v>11</v>
      </c>
      <c r="J12">
        <f>IF($A$2=2020,East2020[[#This Row],[Diff]],IF($A$2=2019,East2019[[#This Row],[Diff]],IF($A$2=2018,'Historical Standings'!J45,IF($A$2=2017,'Historical Standings'!T45,IF($A$2=2016,'Historical Standings'!J79,IF($A$2=2015,'Historical Standings'!T79,IF($A$2=2014,'Historical Standings'!J113,IF($A$2=2013,'Historical Standings'!T113,IF($A$2=2012,'Historical Standings'!J147,IF($A$2=2011,'Historical Standings'!T147,IF($A$2=2010,'Historical Standings'!J181,IF($A$2=2009,'Historical Standings'!T181,IF($A$2=2008,'Historical Standings'!J215,IF($A$2=2007,'Historical Standings'!T215,IF($A$2=2006,'Historical Standings'!J249,IF($A$2=2005,'Historical Standings'!T249,IF($A$2=2004,'Historical Standings'!J283,'Historical Standings'!T283)))))))))))))))))</f>
        <v>6.53</v>
      </c>
      <c r="L12">
        <v>11</v>
      </c>
      <c r="M12" t="str">
        <f>IF($A$2=2020,'Historical Standings'!B28,IF($A$2=2019,'Historical Standings'!L28,IF($A$2=2018,'Historical Standings'!B62,IF($A$2=2017,'Historical Standings'!L62,IF($A$2=2016,'Historical Standings'!B96,IF($A$2=2015,'Historical Standings'!L96,IF($A$2=2014,'Historical Standings'!B130,IF($A$2=2013,'Historical Standings'!L130,IF($A$2=2012,'Historical Standings'!B164,IF($A$2=2011,'Historical Standings'!L164,IF($A$2=2010,'Historical Standings'!B198,IF($A$2=2009,'Historical Standings'!L198,IF($A$2=2008,'Historical Standings'!B232,IF($A$2=2007,'Historical Standings'!L232,IF($A$2=2006,'Historical Standings'!B266,IF($A$2=2005,'Historical Standings'!L266,IF($A$2=2004,'Historical Standings'!B300,'Historical Standings'!L300)))))))))))))))))</f>
        <v>Denver Nuggets</v>
      </c>
      <c r="N12">
        <f>IF($A$2=2020,'Historical Standings'!C28,IF($A$2=2019,'Historical Standings'!M28,IF($A$2=2018,'Historical Standings'!C62,IF($A$2=2017,'Historical Standings'!M62,IF($A$2=2016,'Historical Standings'!C96,IF($A$2=2015,'Historical Standings'!M96,IF($A$2=2014,'Historical Standings'!C130,IF($A$2=2013,'Historical Standings'!M130,IF($A$2=2012,'Historical Standings'!C164,IF($A$2=2011,'Historical Standings'!M164,IF($A$2=2010,'Historical Standings'!C198,IF($A$2=2009,'Historical Standings'!M198,IF($A$2=2008,'Historical Standings'!C232,IF($A$2=2007,'Historical Standings'!M232,IF($A$2=2006,'Historical Standings'!C266,IF($A$2=2005,'Historical Standings'!M266,IF($A$2=2004,'Historical Standings'!C300,'Historical Standings'!M300)))))))))))))))))</f>
        <v>36</v>
      </c>
      <c r="O12">
        <f>IF($A$2=2020,'Historical Standings'!D28,IF($A$2=2019,'Historical Standings'!N28,IF($A$2=2018,'Historical Standings'!D62,IF($A$2=2017,'Historical Standings'!N62,IF($A$2=2016,'Historical Standings'!D96,IF($A$2=2015,'Historical Standings'!N96,IF($A$2=2014,'Historical Standings'!D130,IF($A$2=2013,'Historical Standings'!N130,IF($A$2=2012,'Historical Standings'!D164,IF($A$2=2011,'Historical Standings'!N164,IF($A$2=2010,'Historical Standings'!D198,IF($A$2=2009,'Historical Standings'!N198,IF($A$2=2008,'Historical Standings'!D232,IF($A$2=2007,'Historical Standings'!N232,IF($A$2=2006,'Historical Standings'!D266,IF($A$2=2005,'Historical Standings'!N266,IF($A$2=2004,'Historical Standings'!D300,'Historical Standings'!N300)))))))))))))))))</f>
        <v>46</v>
      </c>
      <c r="P12" s="4">
        <f>IF($A$2=2020,'Historical Standings'!E28,IF($A$2=2019,'Historical Standings'!O28,IF($A$2=2018,'Historical Standings'!E62,IF($A$2=2017,'Historical Standings'!O62,IF($A$2=2016,'Historical Standings'!E96,IF($A$2=2015,'Historical Standings'!O96,IF($A$2=2014,'Historical Standings'!E130,IF($A$2=2013,'Historical Standings'!O130,IF($A$2=2012,'Historical Standings'!E164,IF($A$2=2011,'Historical Standings'!O164,IF($A$2=2010,'Historical Standings'!E198,IF($A$2=2009,'Historical Standings'!O198,IF($A$2=2008,'Historical Standings'!E232,IF($A$2=2007,'Historical Standings'!O232,IF($A$2=2006,'Historical Standings'!E266,IF($A$2=2005,'Historical Standings'!O266,IF($A$2=2004,'Historical Standings'!E300,'Historical Standings'!O300)))))))))))))))))</f>
        <v>0.439</v>
      </c>
      <c r="Q12" s="4">
        <f>IFERROR(VLOOKUP($M12,'Historical Luck'!$A$7:$CM$36,5*ABS($A$2-2021),FALSE),"")</f>
        <v>0.4269572237603651</v>
      </c>
      <c r="R12" s="5">
        <f>IFERROR(VLOOKUP($M12,'Historical Luck'!$A$7:$CM$36,5*ABS($A$2-2020)+6,FALSE),"")</f>
        <v>1.20427762396349E-2</v>
      </c>
      <c r="S12">
        <f t="shared" si="0"/>
        <v>11</v>
      </c>
      <c r="T12">
        <f>IF($A$2=2020,'Historical Standings'!J28,IF($A$2=2019,'Historical Standings'!T28,IF($A$2=2018,'Historical Standings'!J62,IF($A$2=2017,'Historical Standings'!T62,IF($A$2=2016,'Historical Standings'!J96,IF($A$2=2015,'Historical Standings'!T96,IF($A$2=2014,'Historical Standings'!J130,IF($A$2=2013,'Historical Standings'!T130,IF($A$2=2012,'Historical Standings'!J164,IF($A$2=2011,'Historical Standings'!T164,IF($A$2=2010,'Historical Standings'!J198,IF($A$2=2009,'Historical Standings'!T198,IF($A$2=2008,'Historical Standings'!J232,IF($A$2=2007,'Historical Standings'!T232,IF($A$2=2006,'Historical Standings'!J266,IF($A$2=2005,'Historical Standings'!T266,IF($A$2=2004,'Historical Standings'!J300,'Historical Standings'!T300)))))))))))))))))</f>
        <v>9.26</v>
      </c>
      <c r="W12">
        <f>COMBIN(6,3)*V3^4*(1-V3)^3+COMBIN(4,4)*V3^4+COMBIN(4,3)*V3^4*(1-V3)^1+COMBIN(5,2)*V3^4*(1-V3)^2</f>
        <v>0.43461074013740003</v>
      </c>
      <c r="X12">
        <f>SUM(X3:X6)</f>
        <v>0.43461074013739998</v>
      </c>
    </row>
    <row r="13" spans="1:29" x14ac:dyDescent="0.25">
      <c r="A13" s="151">
        <v>2011</v>
      </c>
      <c r="B13">
        <v>12</v>
      </c>
      <c r="C13" t="str">
        <f>IF($A$2=2020,East2020[[#This Row],[Teams]],IF($A$2=2019,East2019[[#This Row],[Teams]],IF($A$2=2018,'Historical Standings'!B46,IF($A$2=2017,'Historical Standings'!L46,IF($A$2=2016,'Historical Standings'!B80,IF($A$2=2015,'Historical Standings'!L80,IF($A$2=2014,'Historical Standings'!B114,IF($A$2=2013,'Historical Standings'!L114,IF($A$2=2012,'Historical Standings'!B148,IF($A$2=2011,'Historical Standings'!L148,IF($A$2=2010,'Historical Standings'!B182,IF($A$2=2009,'Historical Standings'!L182,IF($A$2=2008,'Historical Standings'!B216,IF($A$2=2007,'Historical Standings'!L216,IF($A$2=2006,'Historical Standings'!B250,IF($A$2=2005,'Historical Standings'!L250,IF($A$2=2004,'Historical Standings'!B284,'Historical Standings'!L284)))))))))))))))))</f>
        <v>Boston Celtics</v>
      </c>
      <c r="D13">
        <f>IF($A$2=2020,East2020[[#This Row],[W]],IF($A$2=2019,East2019[[#This Row],[W]],IF($A$2=2018,'Historical Standings'!C46,IF($A$2=2017,'Historical Standings'!M46,IF($A$2=2016,'Historical Standings'!C80,IF($A$2=2015,'Historical Standings'!M80,IF($A$2=2014,'Historical Standings'!C114,IF($A$2=2013,'Historical Standings'!M114,IF($A$2=2012,'Historical Standings'!C148,IF($A$2=2011,'Historical Standings'!M148,IF($A$2=2010,'Historical Standings'!C182,IF($A$2=2009,'Historical Standings'!M182,IF($A$2=2008,'Historical Standings'!C216,IF($A$2=2007,'Historical Standings'!M216,IF($A$2=2006,'Historical Standings'!C250,IF($A$2=2005,'Historical Standings'!M250,IF($A$2=2004,'Historical Standings'!C284,'Historical Standings'!M284)))))))))))))))))</f>
        <v>25</v>
      </c>
      <c r="E13">
        <f>IF($A$2=2020,East2020[[#This Row],[L]],IF($A$2=2019,East2019[[#This Row],[L]],IF($A$2=2018,'Historical Standings'!D46,IF($A$2=2017,'Historical Standings'!N46,IF($A$2=2016,'Historical Standings'!D80,IF($A$2=2015,'Historical Standings'!N80,IF($A$2=2014,'Historical Standings'!D114,IF($A$2=2013,'Historical Standings'!N114,IF($A$2=2012,'Historical Standings'!D148,IF($A$2=2011,'Historical Standings'!N148,IF($A$2=2010,'Historical Standings'!D182,IF($A$2=2009,'Historical Standings'!N182,IF($A$2=2008,'Historical Standings'!D216,IF($A$2=2007,'Historical Standings'!N216,IF($A$2=2006,'Historical Standings'!D250,IF($A$2=2005,'Historical Standings'!N250,IF($A$2=2004,'Historical Standings'!D284,'Historical Standings'!N284)))))))))))))))))</f>
        <v>57</v>
      </c>
      <c r="F13">
        <f>IF($A$2=2020,East2020[[#This Row],[WIN PCT]],IF($A$2=2019,East2019[[#This Row],[WIN PCT]],IF($A$2=2018,'Historical Standings'!E46,IF($A$2=2017,'Historical Standings'!O46,IF($A$2=2016,'Historical Standings'!E80,IF($A$2=2015,'Historical Standings'!O80,IF($A$2=2014,'Historical Standings'!E114,IF($A$2=2013,'Historical Standings'!O114,IF($A$2=2012,'Historical Standings'!E148,IF($A$2=2011,'Historical Standings'!O148,IF($A$2=2010,'Historical Standings'!E182,IF($A$2=2009,'Historical Standings'!O182,IF($A$2=2008,'Historical Standings'!E216,IF($A$2=2007,'Historical Standings'!O216,IF($A$2=2006,'Historical Standings'!E250,IF($A$2=2005,'Historical Standings'!O250,IF($A$2=2004,'Historical Standings'!E284,'Historical Standings'!O284)))))))))))))))))</f>
        <v>0.30499999999999999</v>
      </c>
      <c r="G13" s="4">
        <f>VLOOKUP($C13,'Historical Luck'!$A$7:$CM$36,5*ABS($A$2-2021),FALSE)</f>
        <v>0.33726095638718889</v>
      </c>
      <c r="H13" s="5">
        <f>VLOOKUP($C13,'Historical Luck'!$A$7:$CM$36,5*ABS($A$2-2020)+6,FALSE)</f>
        <v>-3.2260956387188899E-2</v>
      </c>
      <c r="I13">
        <f t="shared" si="1"/>
        <v>12</v>
      </c>
      <c r="J13">
        <f>IF($A$2=2020,East2020[[#This Row],[Diff]],IF($A$2=2019,East2019[[#This Row],[Diff]],IF($A$2=2018,'Historical Standings'!J46,IF($A$2=2017,'Historical Standings'!T46,IF($A$2=2016,'Historical Standings'!J80,IF($A$2=2015,'Historical Standings'!T80,IF($A$2=2014,'Historical Standings'!J114,IF($A$2=2013,'Historical Standings'!T114,IF($A$2=2012,'Historical Standings'!J148,IF($A$2=2011,'Historical Standings'!T148,IF($A$2=2010,'Historical Standings'!J182,IF($A$2=2009,'Historical Standings'!T182,IF($A$2=2008,'Historical Standings'!J216,IF($A$2=2007,'Historical Standings'!T216,IF($A$2=2006,'Historical Standings'!J250,IF($A$2=2005,'Historical Standings'!T250,IF($A$2=2004,'Historical Standings'!J284,'Historical Standings'!T284)))))))))))))))))</f>
        <v>5.69</v>
      </c>
      <c r="L13">
        <v>12</v>
      </c>
      <c r="M13" t="str">
        <f>IF($A$2=2020,'Historical Standings'!B29,IF($A$2=2019,'Historical Standings'!L29,IF($A$2=2018,'Historical Standings'!B63,IF($A$2=2017,'Historical Standings'!L63,IF($A$2=2016,'Historical Standings'!B97,IF($A$2=2015,'Historical Standings'!L97,IF($A$2=2014,'Historical Standings'!B131,IF($A$2=2013,'Historical Standings'!L131,IF($A$2=2012,'Historical Standings'!B165,IF($A$2=2011,'Historical Standings'!L165,IF($A$2=2010,'Historical Standings'!B199,IF($A$2=2009,'Historical Standings'!L199,IF($A$2=2008,'Historical Standings'!B233,IF($A$2=2007,'Historical Standings'!L233,IF($A$2=2006,'Historical Standings'!B267,IF($A$2=2005,'Historical Standings'!L267,IF($A$2=2004,'Historical Standings'!B301,'Historical Standings'!L301)))))))))))))))))</f>
        <v>New Orleans Pelicans</v>
      </c>
      <c r="N13">
        <f>IF($A$2=2020,'Historical Standings'!C29,IF($A$2=2019,'Historical Standings'!M29,IF($A$2=2018,'Historical Standings'!C63,IF($A$2=2017,'Historical Standings'!M63,IF($A$2=2016,'Historical Standings'!C97,IF($A$2=2015,'Historical Standings'!M97,IF($A$2=2014,'Historical Standings'!C131,IF($A$2=2013,'Historical Standings'!M131,IF($A$2=2012,'Historical Standings'!C165,IF($A$2=2011,'Historical Standings'!M165,IF($A$2=2010,'Historical Standings'!C199,IF($A$2=2009,'Historical Standings'!M199,IF($A$2=2008,'Historical Standings'!C233,IF($A$2=2007,'Historical Standings'!M233,IF($A$2=2006,'Historical Standings'!C267,IF($A$2=2005,'Historical Standings'!M267,IF($A$2=2004,'Historical Standings'!C301,'Historical Standings'!M301)))))))))))))))))</f>
        <v>34</v>
      </c>
      <c r="O13">
        <f>IF($A$2=2020,'Historical Standings'!D29,IF($A$2=2019,'Historical Standings'!N29,IF($A$2=2018,'Historical Standings'!D63,IF($A$2=2017,'Historical Standings'!N63,IF($A$2=2016,'Historical Standings'!D97,IF($A$2=2015,'Historical Standings'!N97,IF($A$2=2014,'Historical Standings'!D131,IF($A$2=2013,'Historical Standings'!N131,IF($A$2=2012,'Historical Standings'!D165,IF($A$2=2011,'Historical Standings'!N165,IF($A$2=2010,'Historical Standings'!D199,IF($A$2=2009,'Historical Standings'!N199,IF($A$2=2008,'Historical Standings'!D233,IF($A$2=2007,'Historical Standings'!N233,IF($A$2=2006,'Historical Standings'!D267,IF($A$2=2005,'Historical Standings'!N267,IF($A$2=2004,'Historical Standings'!D301,'Historical Standings'!N301)))))))))))))))))</f>
        <v>48</v>
      </c>
      <c r="P13" s="4">
        <f>IF($A$2=2020,'Historical Standings'!E29,IF($A$2=2019,'Historical Standings'!O29,IF($A$2=2018,'Historical Standings'!E63,IF($A$2=2017,'Historical Standings'!O63,IF($A$2=2016,'Historical Standings'!E97,IF($A$2=2015,'Historical Standings'!O97,IF($A$2=2014,'Historical Standings'!E131,IF($A$2=2013,'Historical Standings'!O131,IF($A$2=2012,'Historical Standings'!E165,IF($A$2=2011,'Historical Standings'!O165,IF($A$2=2010,'Historical Standings'!E199,IF($A$2=2009,'Historical Standings'!O199,IF($A$2=2008,'Historical Standings'!E233,IF($A$2=2007,'Historical Standings'!O233,IF($A$2=2006,'Historical Standings'!E267,IF($A$2=2005,'Historical Standings'!O267,IF($A$2=2004,'Historical Standings'!E301,'Historical Standings'!O301)))))))))))))))))</f>
        <v>0.41499999999999998</v>
      </c>
      <c r="Q13" s="4">
        <f>IFERROR(VLOOKUP($M13,'Historical Luck'!$A$7:$CM$36,5*ABS($A$2-2021),FALSE),"")</f>
        <v>0.40255255770121817</v>
      </c>
      <c r="R13" s="5">
        <f>IFERROR(VLOOKUP($M13,'Historical Luck'!$A$7:$CM$36,5*ABS($A$2-2020)+6,FALSE),"")</f>
        <v>1.2447442298781808E-2</v>
      </c>
      <c r="S13">
        <f t="shared" si="0"/>
        <v>12</v>
      </c>
      <c r="T13">
        <f>IF($A$2=2020,'Historical Standings'!J29,IF($A$2=2019,'Historical Standings'!T29,IF($A$2=2018,'Historical Standings'!J63,IF($A$2=2017,'Historical Standings'!T63,IF($A$2=2016,'Historical Standings'!J97,IF($A$2=2015,'Historical Standings'!T97,IF($A$2=2014,'Historical Standings'!J131,IF($A$2=2013,'Historical Standings'!T131,IF($A$2=2012,'Historical Standings'!J165,IF($A$2=2011,'Historical Standings'!T165,IF($A$2=2010,'Historical Standings'!J199,IF($A$2=2009,'Historical Standings'!T199,IF($A$2=2008,'Historical Standings'!J233,IF($A$2=2007,'Historical Standings'!T233,IF($A$2=2006,'Historical Standings'!J267,IF($A$2=2005,'Historical Standings'!T267,IF($A$2=2004,'Historical Standings'!J301,'Historical Standings'!T301)))))))))))))))))</f>
        <v>8.68</v>
      </c>
      <c r="X13">
        <f>SUM(X3:X10)</f>
        <v>1</v>
      </c>
    </row>
    <row r="14" spans="1:29" x14ac:dyDescent="0.25">
      <c r="A14" s="151">
        <v>2010</v>
      </c>
      <c r="B14">
        <v>13</v>
      </c>
      <c r="C14" t="str">
        <f>IF($A$2=2020,East2020[[#This Row],[Teams]],IF($A$2=2019,East2019[[#This Row],[Teams]],IF($A$2=2018,'Historical Standings'!B47,IF($A$2=2017,'Historical Standings'!L47,IF($A$2=2016,'Historical Standings'!B81,IF($A$2=2015,'Historical Standings'!L81,IF($A$2=2014,'Historical Standings'!B115,IF($A$2=2013,'Historical Standings'!L115,IF($A$2=2012,'Historical Standings'!B149,IF($A$2=2011,'Historical Standings'!L149,IF($A$2=2010,'Historical Standings'!B183,IF($A$2=2009,'Historical Standings'!L183,IF($A$2=2008,'Historical Standings'!B217,IF($A$2=2007,'Historical Standings'!L217,IF($A$2=2006,'Historical Standings'!B251,IF($A$2=2005,'Historical Standings'!L251,IF($A$2=2004,'Historical Standings'!B285,'Historical Standings'!L285)))))))))))))))))</f>
        <v>Orlando Magic</v>
      </c>
      <c r="D14">
        <f>IF($A$2=2020,East2020[[#This Row],[W]],IF($A$2=2019,East2019[[#This Row],[W]],IF($A$2=2018,'Historical Standings'!C47,IF($A$2=2017,'Historical Standings'!M47,IF($A$2=2016,'Historical Standings'!C81,IF($A$2=2015,'Historical Standings'!M81,IF($A$2=2014,'Historical Standings'!C115,IF($A$2=2013,'Historical Standings'!M115,IF($A$2=2012,'Historical Standings'!C149,IF($A$2=2011,'Historical Standings'!M149,IF($A$2=2010,'Historical Standings'!C183,IF($A$2=2009,'Historical Standings'!M183,IF($A$2=2008,'Historical Standings'!C217,IF($A$2=2007,'Historical Standings'!M217,IF($A$2=2006,'Historical Standings'!C251,IF($A$2=2005,'Historical Standings'!M251,IF($A$2=2004,'Historical Standings'!C285,'Historical Standings'!M285)))))))))))))))))</f>
        <v>23</v>
      </c>
      <c r="E14">
        <f>IF($A$2=2020,East2020[[#This Row],[L]],IF($A$2=2019,East2019[[#This Row],[L]],IF($A$2=2018,'Historical Standings'!D47,IF($A$2=2017,'Historical Standings'!N47,IF($A$2=2016,'Historical Standings'!D81,IF($A$2=2015,'Historical Standings'!N81,IF($A$2=2014,'Historical Standings'!D115,IF($A$2=2013,'Historical Standings'!N115,IF($A$2=2012,'Historical Standings'!D149,IF($A$2=2011,'Historical Standings'!N149,IF($A$2=2010,'Historical Standings'!D183,IF($A$2=2009,'Historical Standings'!N183,IF($A$2=2008,'Historical Standings'!D217,IF($A$2=2007,'Historical Standings'!N217,IF($A$2=2006,'Historical Standings'!D251,IF($A$2=2005,'Historical Standings'!N251,IF($A$2=2004,'Historical Standings'!D285,'Historical Standings'!N285)))))))))))))))))</f>
        <v>59</v>
      </c>
      <c r="F14">
        <f>IF($A$2=2020,East2020[[#This Row],[WIN PCT]],IF($A$2=2019,East2019[[#This Row],[WIN PCT]],IF($A$2=2018,'Historical Standings'!E47,IF($A$2=2017,'Historical Standings'!O47,IF($A$2=2016,'Historical Standings'!E81,IF($A$2=2015,'Historical Standings'!O81,IF($A$2=2014,'Historical Standings'!E115,IF($A$2=2013,'Historical Standings'!O115,IF($A$2=2012,'Historical Standings'!E149,IF($A$2=2011,'Historical Standings'!O149,IF($A$2=2010,'Historical Standings'!E183,IF($A$2=2009,'Historical Standings'!O183,IF($A$2=2008,'Historical Standings'!E217,IF($A$2=2007,'Historical Standings'!O217,IF($A$2=2006,'Historical Standings'!E251,IF($A$2=2005,'Historical Standings'!O251,IF($A$2=2004,'Historical Standings'!E285,'Historical Standings'!O285)))))))))))))))))</f>
        <v>0.28000000000000003</v>
      </c>
      <c r="G14" s="4">
        <f>VLOOKUP($C14,'Historical Luck'!$A$7:$CM$36,5*ABS($A$2-2021),FALSE)</f>
        <v>0.30596475163176839</v>
      </c>
      <c r="H14" s="5">
        <f>VLOOKUP($C14,'Historical Luck'!$A$7:$CM$36,5*ABS($A$2-2020)+6,FALSE)</f>
        <v>-2.5964751631768368E-2</v>
      </c>
      <c r="I14">
        <f t="shared" si="1"/>
        <v>13</v>
      </c>
      <c r="J14">
        <f>IF($A$2=2020,East2020[[#This Row],[Diff]],IF($A$2=2019,East2019[[#This Row],[Diff]],IF($A$2=2018,'Historical Standings'!J47,IF($A$2=2017,'Historical Standings'!T47,IF($A$2=2016,'Historical Standings'!J81,IF($A$2=2015,'Historical Standings'!T81,IF($A$2=2014,'Historical Standings'!J115,IF($A$2=2013,'Historical Standings'!T115,IF($A$2=2012,'Historical Standings'!J149,IF($A$2=2011,'Historical Standings'!T149,IF($A$2=2010,'Historical Standings'!J183,IF($A$2=2009,'Historical Standings'!T183,IF($A$2=2008,'Historical Standings'!J217,IF($A$2=2007,'Historical Standings'!T217,IF($A$2=2006,'Historical Standings'!J251,IF($A$2=2005,'Historical Standings'!T251,IF($A$2=2004,'Historical Standings'!J285,'Historical Standings'!T285)))))))))))))))))</f>
        <v>4.78</v>
      </c>
      <c r="L14">
        <v>13</v>
      </c>
      <c r="M14" t="str">
        <f>IF($A$2=2020,'Historical Standings'!B30,IF($A$2=2019,'Historical Standings'!L30,IF($A$2=2018,'Historical Standings'!B64,IF($A$2=2017,'Historical Standings'!L64,IF($A$2=2016,'Historical Standings'!B98,IF($A$2=2015,'Historical Standings'!L98,IF($A$2=2014,'Historical Standings'!B132,IF($A$2=2013,'Historical Standings'!L132,IF($A$2=2012,'Historical Standings'!B166,IF($A$2=2011,'Historical Standings'!L166,IF($A$2=2010,'Historical Standings'!B200,IF($A$2=2009,'Historical Standings'!L200,IF($A$2=2008,'Historical Standings'!B234,IF($A$2=2007,'Historical Standings'!L234,IF($A$2=2006,'Historical Standings'!B268,IF($A$2=2005,'Historical Standings'!L268,IF($A$2=2004,'Historical Standings'!B302,'Historical Standings'!L302)))))))))))))))))</f>
        <v>Sacramento Kings</v>
      </c>
      <c r="N14">
        <f>IF($A$2=2020,'Historical Standings'!C30,IF($A$2=2019,'Historical Standings'!M30,IF($A$2=2018,'Historical Standings'!C64,IF($A$2=2017,'Historical Standings'!M64,IF($A$2=2016,'Historical Standings'!C98,IF($A$2=2015,'Historical Standings'!M98,IF($A$2=2014,'Historical Standings'!C132,IF($A$2=2013,'Historical Standings'!M132,IF($A$2=2012,'Historical Standings'!C166,IF($A$2=2011,'Historical Standings'!M166,IF($A$2=2010,'Historical Standings'!C200,IF($A$2=2009,'Historical Standings'!M200,IF($A$2=2008,'Historical Standings'!C234,IF($A$2=2007,'Historical Standings'!M234,IF($A$2=2006,'Historical Standings'!C268,IF($A$2=2005,'Historical Standings'!M268,IF($A$2=2004,'Historical Standings'!C302,'Historical Standings'!M302)))))))))))))))))</f>
        <v>28</v>
      </c>
      <c r="O14">
        <f>IF($A$2=2020,'Historical Standings'!D30,IF($A$2=2019,'Historical Standings'!N30,IF($A$2=2018,'Historical Standings'!D64,IF($A$2=2017,'Historical Standings'!N64,IF($A$2=2016,'Historical Standings'!D98,IF($A$2=2015,'Historical Standings'!N98,IF($A$2=2014,'Historical Standings'!D132,IF($A$2=2013,'Historical Standings'!N132,IF($A$2=2012,'Historical Standings'!D166,IF($A$2=2011,'Historical Standings'!N166,IF($A$2=2010,'Historical Standings'!D200,IF($A$2=2009,'Historical Standings'!N200,IF($A$2=2008,'Historical Standings'!D234,IF($A$2=2007,'Historical Standings'!N234,IF($A$2=2006,'Historical Standings'!D268,IF($A$2=2005,'Historical Standings'!N268,IF($A$2=2004,'Historical Standings'!D302,'Historical Standings'!N302)))))))))))))))))</f>
        <v>54</v>
      </c>
      <c r="P14" s="4">
        <f>IF($A$2=2020,'Historical Standings'!E30,IF($A$2=2019,'Historical Standings'!O30,IF($A$2=2018,'Historical Standings'!E64,IF($A$2=2017,'Historical Standings'!O64,IF($A$2=2016,'Historical Standings'!E98,IF($A$2=2015,'Historical Standings'!O98,IF($A$2=2014,'Historical Standings'!E132,IF($A$2=2013,'Historical Standings'!O132,IF($A$2=2012,'Historical Standings'!E166,IF($A$2=2011,'Historical Standings'!O166,IF($A$2=2010,'Historical Standings'!E200,IF($A$2=2009,'Historical Standings'!O200,IF($A$2=2008,'Historical Standings'!E234,IF($A$2=2007,'Historical Standings'!O234,IF($A$2=2006,'Historical Standings'!E268,IF($A$2=2005,'Historical Standings'!O268,IF($A$2=2004,'Historical Standings'!E302,'Historical Standings'!O302)))))))))))))))))</f>
        <v>0.34100000000000003</v>
      </c>
      <c r="Q14" s="4">
        <f>IFERROR(VLOOKUP($M14,'Historical Luck'!$A$7:$CM$36,5*ABS($A$2-2021),FALSE),"")</f>
        <v>0.39643356284939935</v>
      </c>
      <c r="R14" s="5">
        <f>IFERROR(VLOOKUP($M14,'Historical Luck'!$A$7:$CM$36,5*ABS($A$2-2020)+6,FALSE),"")</f>
        <v>-5.543356284939932E-2</v>
      </c>
      <c r="S14">
        <f t="shared" si="0"/>
        <v>13</v>
      </c>
      <c r="T14">
        <f>IF($A$2=2020,'Historical Standings'!J30,IF($A$2=2019,'Historical Standings'!T30,IF($A$2=2018,'Historical Standings'!J64,IF($A$2=2017,'Historical Standings'!T64,IF($A$2=2016,'Historical Standings'!J98,IF($A$2=2015,'Historical Standings'!T98,IF($A$2=2014,'Historical Standings'!J132,IF($A$2=2013,'Historical Standings'!T132,IF($A$2=2012,'Historical Standings'!J166,IF($A$2=2011,'Historical Standings'!T166,IF($A$2=2010,'Historical Standings'!J200,IF($A$2=2009,'Historical Standings'!T200,IF($A$2=2008,'Historical Standings'!J234,IF($A$2=2007,'Historical Standings'!T234,IF($A$2=2006,'Historical Standings'!J268,IF($A$2=2005,'Historical Standings'!T268,IF($A$2=2004,'Historical Standings'!J302,'Historical Standings'!T302)))))))))))))))))</f>
        <v>8.58</v>
      </c>
    </row>
    <row r="15" spans="1:29" x14ac:dyDescent="0.25">
      <c r="A15" s="151">
        <v>2009</v>
      </c>
      <c r="B15">
        <v>14</v>
      </c>
      <c r="C15" t="str">
        <f>IF($A$2=2020,East2020[[#This Row],[Teams]],IF($A$2=2019,East2019[[#This Row],[Teams]],IF($A$2=2018,'Historical Standings'!B48,IF($A$2=2017,'Historical Standings'!L48,IF($A$2=2016,'Historical Standings'!B82,IF($A$2=2015,'Historical Standings'!L82,IF($A$2=2014,'Historical Standings'!B116,IF($A$2=2013,'Historical Standings'!L116,IF($A$2=2012,'Historical Standings'!B150,IF($A$2=2011,'Historical Standings'!L150,IF($A$2=2010,'Historical Standings'!B184,IF($A$2=2009,'Historical Standings'!L184,IF($A$2=2008,'Historical Standings'!B218,IF($A$2=2007,'Historical Standings'!L218,IF($A$2=2006,'Historical Standings'!B252,IF($A$2=2005,'Historical Standings'!L252,IF($A$2=2004,'Historical Standings'!B286,'Historical Standings'!L286)))))))))))))))))</f>
        <v>Philadelphia 76ers</v>
      </c>
      <c r="D15">
        <f>IF($A$2=2020,East2020[[#This Row],[W]],IF($A$2=2019,East2019[[#This Row],[W]],IF($A$2=2018,'Historical Standings'!C48,IF($A$2=2017,'Historical Standings'!M48,IF($A$2=2016,'Historical Standings'!C82,IF($A$2=2015,'Historical Standings'!M82,IF($A$2=2014,'Historical Standings'!C116,IF($A$2=2013,'Historical Standings'!M116,IF($A$2=2012,'Historical Standings'!C150,IF($A$2=2011,'Historical Standings'!M150,IF($A$2=2010,'Historical Standings'!C184,IF($A$2=2009,'Historical Standings'!M184,IF($A$2=2008,'Historical Standings'!C218,IF($A$2=2007,'Historical Standings'!M218,IF($A$2=2006,'Historical Standings'!C252,IF($A$2=2005,'Historical Standings'!M252,IF($A$2=2004,'Historical Standings'!C286,'Historical Standings'!M286)))))))))))))))))</f>
        <v>19</v>
      </c>
      <c r="E15">
        <f>IF($A$2=2020,East2020[[#This Row],[L]],IF($A$2=2019,East2019[[#This Row],[L]],IF($A$2=2018,'Historical Standings'!D48,IF($A$2=2017,'Historical Standings'!N48,IF($A$2=2016,'Historical Standings'!D82,IF($A$2=2015,'Historical Standings'!N82,IF($A$2=2014,'Historical Standings'!D116,IF($A$2=2013,'Historical Standings'!N116,IF($A$2=2012,'Historical Standings'!D150,IF($A$2=2011,'Historical Standings'!N150,IF($A$2=2010,'Historical Standings'!D184,IF($A$2=2009,'Historical Standings'!N184,IF($A$2=2008,'Historical Standings'!D218,IF($A$2=2007,'Historical Standings'!N218,IF($A$2=2006,'Historical Standings'!D252,IF($A$2=2005,'Historical Standings'!N252,IF($A$2=2004,'Historical Standings'!D286,'Historical Standings'!N286)))))))))))))))))</f>
        <v>63</v>
      </c>
      <c r="F15">
        <f>IF($A$2=2020,East2020[[#This Row],[WIN PCT]],IF($A$2=2019,East2019[[#This Row],[WIN PCT]],IF($A$2=2018,'Historical Standings'!E48,IF($A$2=2017,'Historical Standings'!O48,IF($A$2=2016,'Historical Standings'!E82,IF($A$2=2015,'Historical Standings'!O82,IF($A$2=2014,'Historical Standings'!E116,IF($A$2=2013,'Historical Standings'!O116,IF($A$2=2012,'Historical Standings'!E150,IF($A$2=2011,'Historical Standings'!O150,IF($A$2=2010,'Historical Standings'!E184,IF($A$2=2009,'Historical Standings'!O184,IF($A$2=2008,'Historical Standings'!E218,IF($A$2=2007,'Historical Standings'!O218,IF($A$2=2006,'Historical Standings'!E252,IF($A$2=2005,'Historical Standings'!O252,IF($A$2=2004,'Historical Standings'!E286,'Historical Standings'!O286)))))))))))))))))</f>
        <v>0.23200000000000001</v>
      </c>
      <c r="G15" s="4">
        <f>VLOOKUP($C15,'Historical Luck'!$A$7:$CM$36,5*ABS($A$2-2021),FALSE)</f>
        <v>0.18709933507636328</v>
      </c>
      <c r="H15" s="5">
        <f>VLOOKUP($C15,'Historical Luck'!$A$7:$CM$36,5*ABS($A$2-2020)+6,FALSE)</f>
        <v>4.4900664923636729E-2</v>
      </c>
      <c r="I15">
        <f t="shared" si="1"/>
        <v>15</v>
      </c>
      <c r="J15">
        <f>IF($A$2=2020,East2020[[#This Row],[Diff]],IF($A$2=2019,East2019[[#This Row],[Diff]],IF($A$2=2018,'Historical Standings'!J48,IF($A$2=2017,'Historical Standings'!T48,IF($A$2=2016,'Historical Standings'!J82,IF($A$2=2015,'Historical Standings'!T82,IF($A$2=2014,'Historical Standings'!J116,IF($A$2=2013,'Historical Standings'!T116,IF($A$2=2012,'Historical Standings'!J150,IF($A$2=2011,'Historical Standings'!T150,IF($A$2=2010,'Historical Standings'!J184,IF($A$2=2009,'Historical Standings'!T184,IF($A$2=2008,'Historical Standings'!J218,IF($A$2=2007,'Historical Standings'!T218,IF($A$2=2006,'Historical Standings'!J252,IF($A$2=2005,'Historical Standings'!T252,IF($A$2=2004,'Historical Standings'!J286,'Historical Standings'!T286)))))))))))))))))</f>
        <v>0</v>
      </c>
      <c r="L15">
        <v>14</v>
      </c>
      <c r="M15" t="str">
        <f>IF($A$2=2020,'Historical Standings'!B31,IF($A$2=2019,'Historical Standings'!L31,IF($A$2=2018,'Historical Standings'!B65,IF($A$2=2017,'Historical Standings'!L65,IF($A$2=2016,'Historical Standings'!B99,IF($A$2=2015,'Historical Standings'!L99,IF($A$2=2014,'Historical Standings'!B133,IF($A$2=2013,'Historical Standings'!L133,IF($A$2=2012,'Historical Standings'!B167,IF($A$2=2011,'Historical Standings'!L167,IF($A$2=2010,'Historical Standings'!B201,IF($A$2=2009,'Historical Standings'!L201,IF($A$2=2008,'Historical Standings'!B235,IF($A$2=2007,'Historical Standings'!L235,IF($A$2=2006,'Historical Standings'!B269,IF($A$2=2005,'Historical Standings'!L269,IF($A$2=2004,'Historical Standings'!B303,'Historical Standings'!L303)))))))))))))))))</f>
        <v>Los Angeles Lakers</v>
      </c>
      <c r="N15">
        <f>IF($A$2=2020,'Historical Standings'!C31,IF($A$2=2019,'Historical Standings'!M31,IF($A$2=2018,'Historical Standings'!C65,IF($A$2=2017,'Historical Standings'!M65,IF($A$2=2016,'Historical Standings'!C99,IF($A$2=2015,'Historical Standings'!M99,IF($A$2=2014,'Historical Standings'!C133,IF($A$2=2013,'Historical Standings'!M133,IF($A$2=2012,'Historical Standings'!C167,IF($A$2=2011,'Historical Standings'!M167,IF($A$2=2010,'Historical Standings'!C201,IF($A$2=2009,'Historical Standings'!M201,IF($A$2=2008,'Historical Standings'!C235,IF($A$2=2007,'Historical Standings'!M235,IF($A$2=2006,'Historical Standings'!C269,IF($A$2=2005,'Historical Standings'!M269,IF($A$2=2004,'Historical Standings'!C303,'Historical Standings'!M303)))))))))))))))))</f>
        <v>27</v>
      </c>
      <c r="O15">
        <f>IF($A$2=2020,'Historical Standings'!D31,IF($A$2=2019,'Historical Standings'!N31,IF($A$2=2018,'Historical Standings'!D65,IF($A$2=2017,'Historical Standings'!N65,IF($A$2=2016,'Historical Standings'!D99,IF($A$2=2015,'Historical Standings'!N99,IF($A$2=2014,'Historical Standings'!D133,IF($A$2=2013,'Historical Standings'!N133,IF($A$2=2012,'Historical Standings'!D167,IF($A$2=2011,'Historical Standings'!N167,IF($A$2=2010,'Historical Standings'!D201,IF($A$2=2009,'Historical Standings'!N201,IF($A$2=2008,'Historical Standings'!D235,IF($A$2=2007,'Historical Standings'!N235,IF($A$2=2006,'Historical Standings'!D269,IF($A$2=2005,'Historical Standings'!N269,IF($A$2=2004,'Historical Standings'!D303,'Historical Standings'!N303)))))))))))))))))</f>
        <v>55</v>
      </c>
      <c r="P15" s="4">
        <f>IF($A$2=2020,'Historical Standings'!E31,IF($A$2=2019,'Historical Standings'!O31,IF($A$2=2018,'Historical Standings'!E65,IF($A$2=2017,'Historical Standings'!O65,IF($A$2=2016,'Historical Standings'!E99,IF($A$2=2015,'Historical Standings'!O99,IF($A$2=2014,'Historical Standings'!E133,IF($A$2=2013,'Historical Standings'!O133,IF($A$2=2012,'Historical Standings'!E167,IF($A$2=2011,'Historical Standings'!O167,IF($A$2=2010,'Historical Standings'!E201,IF($A$2=2009,'Historical Standings'!O201,IF($A$2=2008,'Historical Standings'!E235,IF($A$2=2007,'Historical Standings'!O235,IF($A$2=2006,'Historical Standings'!E269,IF($A$2=2005,'Historical Standings'!O269,IF($A$2=2004,'Historical Standings'!E303,'Historical Standings'!O303)))))))))))))))))</f>
        <v>0.32900000000000001</v>
      </c>
      <c r="Q15" s="4">
        <f>IFERROR(VLOOKUP($M15,'Historical Luck'!$A$7:$CM$36,5*ABS($A$2-2021),FALSE),"")</f>
        <v>0.29656457190481345</v>
      </c>
      <c r="R15" s="5">
        <f>IFERROR(VLOOKUP($M15,'Historical Luck'!$A$7:$CM$36,5*ABS($A$2-2020)+6,FALSE),"")</f>
        <v>3.2435428095186569E-2</v>
      </c>
      <c r="S15">
        <f t="shared" si="0"/>
        <v>14</v>
      </c>
      <c r="T15">
        <f>IF($A$2=2020,'Historical Standings'!J31,IF($A$2=2019,'Historical Standings'!T31,IF($A$2=2018,'Historical Standings'!J65,IF($A$2=2017,'Historical Standings'!T65,IF($A$2=2016,'Historical Standings'!J99,IF($A$2=2015,'Historical Standings'!T99,IF($A$2=2014,'Historical Standings'!J133,IF($A$2=2013,'Historical Standings'!T133,IF($A$2=2012,'Historical Standings'!J167,IF($A$2=2011,'Historical Standings'!T167,IF($A$2=2010,'Historical Standings'!J201,IF($A$2=2009,'Historical Standings'!T201,IF($A$2=2008,'Historical Standings'!J235,IF($A$2=2007,'Historical Standings'!T235,IF($A$2=2006,'Historical Standings'!J269,IF($A$2=2005,'Historical Standings'!T269,IF($A$2=2004,'Historical Standings'!J303,'Historical Standings'!T303)))))))))))))))))</f>
        <v>5.33</v>
      </c>
    </row>
    <row r="16" spans="1:29" x14ac:dyDescent="0.25">
      <c r="A16" s="151">
        <v>2008</v>
      </c>
      <c r="B16">
        <v>15</v>
      </c>
      <c r="C16" t="str">
        <f>IF($A$2=2020,East2020[[#This Row],[Teams]],IF($A$2=2019,East2019[[#This Row],[Teams]],IF($A$2=2018,'Historical Standings'!B49,IF($A$2=2017,'Historical Standings'!L49,IF($A$2=2016,'Historical Standings'!B83,IF($A$2=2015,'Historical Standings'!L83,IF($A$2=2014,'Historical Standings'!B117,IF($A$2=2013,'Historical Standings'!L117,IF($A$2=2012,'Historical Standings'!B151,IF($A$2=2011,'Historical Standings'!L151,IF($A$2=2010,'Historical Standings'!B185,IF($A$2=2009,'Historical Standings'!L185,IF($A$2=2008,'Historical Standings'!B219,IF($A$2=2007,'Historical Standings'!L219,IF($A$2=2006,'Historical Standings'!B253,IF($A$2=2005,'Historical Standings'!L253,IF($A$2=2004,'Historical Standings'!B287,'Historical Standings'!L287)))))))))))))))))</f>
        <v>Milwaukee Bucks</v>
      </c>
      <c r="D16">
        <f>IF($A$2=2020,East2020[[#This Row],[W]],IF($A$2=2019,East2019[[#This Row],[W]],IF($A$2=2018,'Historical Standings'!C49,IF($A$2=2017,'Historical Standings'!M49,IF($A$2=2016,'Historical Standings'!C83,IF($A$2=2015,'Historical Standings'!M83,IF($A$2=2014,'Historical Standings'!C117,IF($A$2=2013,'Historical Standings'!M117,IF($A$2=2012,'Historical Standings'!C151,IF($A$2=2011,'Historical Standings'!M151,IF($A$2=2010,'Historical Standings'!C185,IF($A$2=2009,'Historical Standings'!M185,IF($A$2=2008,'Historical Standings'!C219,IF($A$2=2007,'Historical Standings'!M219,IF($A$2=2006,'Historical Standings'!C253,IF($A$2=2005,'Historical Standings'!M253,IF($A$2=2004,'Historical Standings'!C287,'Historical Standings'!M287)))))))))))))))))</f>
        <v>15</v>
      </c>
      <c r="E16">
        <f>IF($A$2=2020,East2020[[#This Row],[L]],IF($A$2=2019,East2019[[#This Row],[L]],IF($A$2=2018,'Historical Standings'!D49,IF($A$2=2017,'Historical Standings'!N49,IF($A$2=2016,'Historical Standings'!D83,IF($A$2=2015,'Historical Standings'!N83,IF($A$2=2014,'Historical Standings'!D117,IF($A$2=2013,'Historical Standings'!N117,IF($A$2=2012,'Historical Standings'!D151,IF($A$2=2011,'Historical Standings'!N151,IF($A$2=2010,'Historical Standings'!D185,IF($A$2=2009,'Historical Standings'!N185,IF($A$2=2008,'Historical Standings'!D219,IF($A$2=2007,'Historical Standings'!N219,IF($A$2=2006,'Historical Standings'!D253,IF($A$2=2005,'Historical Standings'!N253,IF($A$2=2004,'Historical Standings'!D287,'Historical Standings'!N287)))))))))))))))))</f>
        <v>67</v>
      </c>
      <c r="F16">
        <f>IF($A$2=2020,East2020[[#This Row],[WIN PCT]],IF($A$2=2019,East2019[[#This Row],[WIN PCT]],IF($A$2=2018,'Historical Standings'!E49,IF($A$2=2017,'Historical Standings'!O49,IF($A$2=2016,'Historical Standings'!E83,IF($A$2=2015,'Historical Standings'!O83,IF($A$2=2014,'Historical Standings'!E117,IF($A$2=2013,'Historical Standings'!O117,IF($A$2=2012,'Historical Standings'!E151,IF($A$2=2011,'Historical Standings'!O151,IF($A$2=2010,'Historical Standings'!E185,IF($A$2=2009,'Historical Standings'!O185,IF($A$2=2008,'Historical Standings'!E219,IF($A$2=2007,'Historical Standings'!O219,IF($A$2=2006,'Historical Standings'!E253,IF($A$2=2005,'Historical Standings'!O253,IF($A$2=2004,'Historical Standings'!E287,'Historical Standings'!O287)))))))))))))))))</f>
        <v>0.183</v>
      </c>
      <c r="G16" s="4">
        <f>VLOOKUP($C16,'Historical Luck'!$A$7:$CM$36,5*ABS($A$2-2021),FALSE)</f>
        <v>0.22842629803281003</v>
      </c>
      <c r="H16" s="5">
        <f>VLOOKUP($C16,'Historical Luck'!$A$7:$CM$36,5*ABS($A$2-2020)+6,FALSE)</f>
        <v>-4.5426298032810036E-2</v>
      </c>
      <c r="I16">
        <f t="shared" si="1"/>
        <v>14</v>
      </c>
      <c r="J16">
        <f>IF($A$2=2020,East2020[[#This Row],[Diff]],IF($A$2=2019,East2019[[#This Row],[Diff]],IF($A$2=2018,'Historical Standings'!J49,IF($A$2=2017,'Historical Standings'!T49,IF($A$2=2016,'Historical Standings'!J83,IF($A$2=2015,'Historical Standings'!T83,IF($A$2=2014,'Historical Standings'!J117,IF($A$2=2013,'Historical Standings'!T117,IF($A$2=2012,'Historical Standings'!J151,IF($A$2=2011,'Historical Standings'!T151,IF($A$2=2010,'Historical Standings'!J185,IF($A$2=2009,'Historical Standings'!T185,IF($A$2=2008,'Historical Standings'!J219,IF($A$2=2007,'Historical Standings'!T219,IF($A$2=2006,'Historical Standings'!J253,IF($A$2=2005,'Historical Standings'!T253,IF($A$2=2004,'Historical Standings'!J287,'Historical Standings'!T287)))))))))))))))))</f>
        <v>2.25</v>
      </c>
      <c r="L16">
        <v>15</v>
      </c>
      <c r="M16" t="str">
        <f>IF($A$2=2020,'Historical Standings'!B32,IF($A$2=2019,'Historical Standings'!L32,IF($A$2=2018,'Historical Standings'!B66,IF($A$2=2017,'Historical Standings'!L66,IF($A$2=2016,'Historical Standings'!B100,IF($A$2=2015,'Historical Standings'!L100,IF($A$2=2014,'Historical Standings'!B134,IF($A$2=2013,'Historical Standings'!L134,IF($A$2=2012,'Historical Standings'!B168,IF($A$2=2011,'Historical Standings'!L168,IF($A$2=2010,'Historical Standings'!B202,IF($A$2=2009,'Historical Standings'!L202,IF($A$2=2008,'Historical Standings'!B236,IF($A$2=2007,'Historical Standings'!L236,IF($A$2=2006,'Historical Standings'!B270,IF($A$2=2005,'Historical Standings'!L270,IF($A$2=2004,'Historical Standings'!B304,'Historical Standings'!L304)))))))))))))))))</f>
        <v>Utah Jazz</v>
      </c>
      <c r="N16">
        <f>IF($A$2=2020,'Historical Standings'!C32,IF($A$2=2019,'Historical Standings'!M32,IF($A$2=2018,'Historical Standings'!C66,IF($A$2=2017,'Historical Standings'!M66,IF($A$2=2016,'Historical Standings'!C100,IF($A$2=2015,'Historical Standings'!M100,IF($A$2=2014,'Historical Standings'!C134,IF($A$2=2013,'Historical Standings'!M134,IF($A$2=2012,'Historical Standings'!C168,IF($A$2=2011,'Historical Standings'!M168,IF($A$2=2010,'Historical Standings'!C202,IF($A$2=2009,'Historical Standings'!M202,IF($A$2=2008,'Historical Standings'!C236,IF($A$2=2007,'Historical Standings'!M236,IF($A$2=2006,'Historical Standings'!C270,IF($A$2=2005,'Historical Standings'!M270,IF($A$2=2004,'Historical Standings'!C304,'Historical Standings'!M304)))))))))))))))))</f>
        <v>25</v>
      </c>
      <c r="O16">
        <f>IF($A$2=2020,'Historical Standings'!D32,IF($A$2=2019,'Historical Standings'!N32,IF($A$2=2018,'Historical Standings'!D66,IF($A$2=2017,'Historical Standings'!N66,IF($A$2=2016,'Historical Standings'!D100,IF($A$2=2015,'Historical Standings'!N100,IF($A$2=2014,'Historical Standings'!D134,IF($A$2=2013,'Historical Standings'!N134,IF($A$2=2012,'Historical Standings'!D168,IF($A$2=2011,'Historical Standings'!N168,IF($A$2=2010,'Historical Standings'!D202,IF($A$2=2009,'Historical Standings'!N202,IF($A$2=2008,'Historical Standings'!D236,IF($A$2=2007,'Historical Standings'!N236,IF($A$2=2006,'Historical Standings'!D270,IF($A$2=2005,'Historical Standings'!N270,IF($A$2=2004,'Historical Standings'!D304,'Historical Standings'!N304)))))))))))))))))</f>
        <v>57</v>
      </c>
      <c r="P16" s="4">
        <f>IF($A$2=2020,'Historical Standings'!E32,IF($A$2=2019,'Historical Standings'!O32,IF($A$2=2018,'Historical Standings'!E66,IF($A$2=2017,'Historical Standings'!O66,IF($A$2=2016,'Historical Standings'!E100,IF($A$2=2015,'Historical Standings'!O100,IF($A$2=2014,'Historical Standings'!E134,IF($A$2=2013,'Historical Standings'!O134,IF($A$2=2012,'Historical Standings'!E168,IF($A$2=2011,'Historical Standings'!O168,IF($A$2=2010,'Historical Standings'!E202,IF($A$2=2009,'Historical Standings'!O202,IF($A$2=2008,'Historical Standings'!E236,IF($A$2=2007,'Historical Standings'!O236,IF($A$2=2006,'Historical Standings'!E270,IF($A$2=2005,'Historical Standings'!O270,IF($A$2=2004,'Historical Standings'!E304,'Historical Standings'!O304)))))))))))))))))</f>
        <v>0.30499999999999999</v>
      </c>
      <c r="Q16" s="4">
        <f>IFERROR(VLOOKUP($M16,'Historical Luck'!$A$7:$CM$36,5*ABS($A$2-2021),FALSE),"")</f>
        <v>0.25360318935625381</v>
      </c>
      <c r="R16" s="5">
        <f>IFERROR(VLOOKUP($M16,'Historical Luck'!$A$7:$CM$36,5*ABS($A$2-2020)+6,FALSE),"")</f>
        <v>5.1396810643746182E-2</v>
      </c>
      <c r="S16">
        <f t="shared" si="0"/>
        <v>15</v>
      </c>
      <c r="T16">
        <f>IF($A$2=2020,'Historical Standings'!J32,IF($A$2=2019,'Historical Standings'!T32,IF($A$2=2018,'Historical Standings'!J66,IF($A$2=2017,'Historical Standings'!T66,IF($A$2=2016,'Historical Standings'!J100,IF($A$2=2015,'Historical Standings'!T100,IF($A$2=2014,'Historical Standings'!J134,IF($A$2=2013,'Historical Standings'!T134,IF($A$2=2012,'Historical Standings'!J168,IF($A$2=2011,'Historical Standings'!T168,IF($A$2=2010,'Historical Standings'!J202,IF($A$2=2009,'Historical Standings'!T202,IF($A$2=2008,'Historical Standings'!J236,IF($A$2=2007,'Historical Standings'!T236,IF($A$2=2006,'Historical Standings'!J270,IF($A$2=2005,'Historical Standings'!T270,IF($A$2=2004,'Historical Standings'!J304,'Historical Standings'!T304)))))))))))))))))</f>
        <v>4.3900000000000006</v>
      </c>
    </row>
    <row r="17" spans="1:34" x14ac:dyDescent="0.25">
      <c r="A17" s="151">
        <v>2007</v>
      </c>
    </row>
    <row r="18" spans="1:34" x14ac:dyDescent="0.25">
      <c r="A18" s="151">
        <v>2006</v>
      </c>
      <c r="C18" t="s">
        <v>227</v>
      </c>
      <c r="D18" s="4">
        <f>AVERAGE(East_Snapshot[Γ WIN PCT],West_Snapshot[Γ WIN PCT])</f>
        <v>0.5016964062645769</v>
      </c>
      <c r="E18" s="4">
        <f>AVERAGE(East_Snapshot[SRS Adj],West_Snapshot[SRS Adj])</f>
        <v>10.662666666666665</v>
      </c>
      <c r="F18" t="s">
        <v>225</v>
      </c>
      <c r="G18" t="s">
        <v>228</v>
      </c>
      <c r="H18">
        <f>E18/D18</f>
        <v>21.253225124844828</v>
      </c>
      <c r="I18" t="s">
        <v>229</v>
      </c>
      <c r="J18">
        <f>GammaPower*(MAX(East_Snapshot[SRS Adj],West_Snapshot[SRS Adj])/MAX('Gamma Prediction'!J33:J62))</f>
        <v>1.0445569348394803</v>
      </c>
    </row>
    <row r="19" spans="1:34" x14ac:dyDescent="0.25">
      <c r="A19" s="151">
        <v>2005</v>
      </c>
      <c r="D19">
        <v>0.01</v>
      </c>
    </row>
    <row r="20" spans="1:34" x14ac:dyDescent="0.25">
      <c r="A20" s="151">
        <v>2004</v>
      </c>
      <c r="C20" t="s">
        <v>224</v>
      </c>
      <c r="D20" t="s">
        <v>150</v>
      </c>
      <c r="E20" t="s">
        <v>130</v>
      </c>
      <c r="F20" t="s">
        <v>136</v>
      </c>
      <c r="G20" t="s">
        <v>140</v>
      </c>
      <c r="H20" t="s">
        <v>144</v>
      </c>
      <c r="I20" t="s">
        <v>152</v>
      </c>
      <c r="J20" t="s">
        <v>159</v>
      </c>
      <c r="L20" t="s">
        <v>155</v>
      </c>
      <c r="M20" t="s">
        <v>148</v>
      </c>
      <c r="N20" t="s">
        <v>173</v>
      </c>
      <c r="O20" t="s">
        <v>156</v>
      </c>
      <c r="P20" t="s">
        <v>131</v>
      </c>
      <c r="Q20" t="s">
        <v>154</v>
      </c>
      <c r="R20" t="s">
        <v>153</v>
      </c>
      <c r="S20" t="s">
        <v>162</v>
      </c>
      <c r="T20" t="s">
        <v>132</v>
      </c>
      <c r="U20" t="s">
        <v>128</v>
      </c>
      <c r="V20" t="s">
        <v>171</v>
      </c>
      <c r="W20" t="s">
        <v>169</v>
      </c>
      <c r="X20" t="s">
        <v>146</v>
      </c>
      <c r="Y20" t="s">
        <v>157</v>
      </c>
      <c r="Z20" t="s">
        <v>138</v>
      </c>
      <c r="AA20" t="s">
        <v>134</v>
      </c>
      <c r="AB20" t="s">
        <v>164</v>
      </c>
      <c r="AC20" t="s">
        <v>160</v>
      </c>
      <c r="AD20" t="s">
        <v>167</v>
      </c>
      <c r="AE20" t="s">
        <v>165</v>
      </c>
      <c r="AF20" t="s">
        <v>129</v>
      </c>
      <c r="AG20" t="s">
        <v>158</v>
      </c>
      <c r="AH20" t="s">
        <v>142</v>
      </c>
    </row>
    <row r="21" spans="1:34" x14ac:dyDescent="0.25">
      <c r="A21" s="151">
        <v>2003</v>
      </c>
      <c r="C21" t="s">
        <v>150</v>
      </c>
      <c r="D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D$20,East_Snapshot[],5,FALSE),VLOOKUP(D$20,West_Snapshot[],5,FALSE))^$J$18+IFERROR(VLOOKUP(D$20,East_Snapshot[],8,FALSE),VLOOKUP(D$20,West_Snapshot[],8,FALSE))^$J$18))+$D$19*(VLOOKUP($C21,Tracker!$A$46:$T$75,2023-$A$2,FALSE)-VLOOKUP(D$20,Tracker!$A$46:$T$75,2023-$A$2,FALSE))</f>
        <v>0.5</v>
      </c>
      <c r="E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E$20,East_Snapshot[],5,FALSE),VLOOKUP(E$20,West_Snapshot[],5,FALSE))^$J$18+IFERROR(VLOOKUP(E$20,East_Snapshot[],8,FALSE),VLOOKUP(E$20,West_Snapshot[],8,FALSE))^$J$18))+$D$19*(VLOOKUP($C21,Tracker!$A$46:$T$75,2023-$A$2,FALSE)-VLOOKUP(E$20,Tracker!$A$46:$T$75,2023-$A$2,FALSE))</f>
        <v>0.61508131255406251</v>
      </c>
      <c r="F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F$20,East_Snapshot[],5,FALSE),VLOOKUP(F$20,West_Snapshot[],5,FALSE))^$J$18+IFERROR(VLOOKUP(F$20,East_Snapshot[],8,FALSE),VLOOKUP(F$20,West_Snapshot[],8,FALSE))^$J$18))+$D$19*(VLOOKUP($C21,Tracker!$A$46:$T$75,2023-$A$2,FALSE)-VLOOKUP(F$20,Tracker!$A$46:$T$75,2023-$A$2,FALSE))</f>
        <v>0.51510547662213335</v>
      </c>
      <c r="G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G$20,East_Snapshot[],5,FALSE),VLOOKUP(G$20,West_Snapshot[],5,FALSE))^$J$18+IFERROR(VLOOKUP(G$20,East_Snapshot[],8,FALSE),VLOOKUP(G$20,West_Snapshot[],8,FALSE))^$J$18))+$D$19*(VLOOKUP($C21,Tracker!$A$46:$T$75,2023-$A$2,FALSE)-VLOOKUP(G$20,Tracker!$A$46:$T$75,2023-$A$2,FALSE))</f>
        <v>0.49740076290522156</v>
      </c>
      <c r="H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H$20,East_Snapshot[],5,FALSE),VLOOKUP(H$20,West_Snapshot[],5,FALSE))^$J$18+IFERROR(VLOOKUP(H$20,East_Snapshot[],8,FALSE),VLOOKUP(H$20,West_Snapshot[],8,FALSE))^$J$18))+$D$19*(VLOOKUP($C21,Tracker!$A$46:$T$75,2023-$A$2,FALSE)-VLOOKUP(H$20,Tracker!$A$46:$T$75,2023-$A$2,FALSE))</f>
        <v>0.44175049251223408</v>
      </c>
      <c r="I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I$20,East_Snapshot[],5,FALSE),VLOOKUP(I$20,West_Snapshot[],5,FALSE))^$J$18+IFERROR(VLOOKUP(I$20,East_Snapshot[],8,FALSE),VLOOKUP(I$20,West_Snapshot[],8,FALSE))^$J$18))+$D$19*(VLOOKUP($C21,Tracker!$A$46:$T$75,2023-$A$2,FALSE)-VLOOKUP(I$20,Tracker!$A$46:$T$75,2023-$A$2,FALSE))</f>
        <v>0.57788359202278372</v>
      </c>
      <c r="J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J$20,East_Snapshot[],5,FALSE),VLOOKUP(J$20,West_Snapshot[],5,FALSE))^$J$18+IFERROR(VLOOKUP(J$20,East_Snapshot[],8,FALSE),VLOOKUP(J$20,West_Snapshot[],8,FALSE))^$J$18))+$D$19*(VLOOKUP($C21,Tracker!$A$46:$T$75,2023-$A$2,FALSE)-VLOOKUP(J$20,Tracker!$A$46:$T$75,2023-$A$2,FALSE))</f>
        <v>0.42100469609541896</v>
      </c>
      <c r="K21" s="4" t="e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K$20,East_Snapshot[],5,FALSE),VLOOKUP(K$20,West_Snapshot[],5,FALSE))^$J$18+IFERROR(VLOOKUP(K$20,East_Snapshot[],8,FALSE),VLOOKUP(K$20,West_Snapshot[],8,FALSE))^$J$18))+$D$19*(VLOOKUP($C21,Tracker!$A$46:$T$75,2023-$A$2,FALSE)-VLOOKUP(K$20,Tracker!$A$46:$T$75,2023-$A$2,FALSE))</f>
        <v>#N/A</v>
      </c>
      <c r="L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L$20,East_Snapshot[],5,FALSE),VLOOKUP(L$20,West_Snapshot[],5,FALSE))^$J$18+IFERROR(VLOOKUP(L$20,East_Snapshot[],8,FALSE),VLOOKUP(L$20,West_Snapshot[],8,FALSE))^$J$18))+$D$19*(VLOOKUP($C21,Tracker!$A$46:$T$75,2023-$A$2,FALSE)-VLOOKUP(L$20,Tracker!$A$46:$T$75,2023-$A$2,FALSE))</f>
        <v>0.52235861956025598</v>
      </c>
      <c r="M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M$20,East_Snapshot[],5,FALSE),VLOOKUP(M$20,West_Snapshot[],5,FALSE))^$J$18+IFERROR(VLOOKUP(M$20,East_Snapshot[],8,FALSE),VLOOKUP(M$20,West_Snapshot[],8,FALSE))^$J$18))+$D$19*(VLOOKUP($C21,Tracker!$A$46:$T$75,2023-$A$2,FALSE)-VLOOKUP(M$20,Tracker!$A$46:$T$75,2023-$A$2,FALSE))</f>
        <v>0.58641870049764988</v>
      </c>
      <c r="N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N$20,East_Snapshot[],5,FALSE),VLOOKUP(N$20,West_Snapshot[],5,FALSE))^$J$18+IFERROR(VLOOKUP(N$20,East_Snapshot[],8,FALSE),VLOOKUP(N$20,West_Snapshot[],8,FALSE))^$J$18))+$D$19*(VLOOKUP($C21,Tracker!$A$46:$T$75,2023-$A$2,FALSE)-VLOOKUP(N$20,Tracker!$A$46:$T$75,2023-$A$2,FALSE))</f>
        <v>0.38464562630907267</v>
      </c>
      <c r="O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O$20,East_Snapshot[],5,FALSE),VLOOKUP(O$20,West_Snapshot[],5,FALSE))^$J$18+IFERROR(VLOOKUP(O$20,East_Snapshot[],8,FALSE),VLOOKUP(O$20,West_Snapshot[],8,FALSE))^$J$18))+$D$19*(VLOOKUP($C21,Tracker!$A$46:$T$75,2023-$A$2,FALSE)-VLOOKUP(O$20,Tracker!$A$46:$T$75,2023-$A$2,FALSE))</f>
        <v>0.38733767801207281</v>
      </c>
      <c r="P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P$20,East_Snapshot[],5,FALSE),VLOOKUP(P$20,West_Snapshot[],5,FALSE))^$J$18+IFERROR(VLOOKUP(P$20,East_Snapshot[],8,FALSE),VLOOKUP(P$20,West_Snapshot[],8,FALSE))^$J$18))+$D$19*(VLOOKUP($C21,Tracker!$A$46:$T$75,2023-$A$2,FALSE)-VLOOKUP(P$20,Tracker!$A$46:$T$75,2023-$A$2,FALSE))</f>
        <v>0.39889021235801841</v>
      </c>
      <c r="Q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Q$20,East_Snapshot[],5,FALSE),VLOOKUP(Q$20,West_Snapshot[],5,FALSE))^$J$18+IFERROR(VLOOKUP(Q$20,East_Snapshot[],8,FALSE),VLOOKUP(Q$20,West_Snapshot[],8,FALSE))^$J$18))+$D$19*(VLOOKUP($C21,Tracker!$A$46:$T$75,2023-$A$2,FALSE)-VLOOKUP(Q$20,Tracker!$A$46:$T$75,2023-$A$2,FALSE))</f>
        <v>0.34801785292746346</v>
      </c>
      <c r="R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R$20,East_Snapshot[],5,FALSE),VLOOKUP(R$20,West_Snapshot[],5,FALSE))^$J$18+IFERROR(VLOOKUP(R$20,East_Snapshot[],8,FALSE),VLOOKUP(R$20,West_Snapshot[],8,FALSE))^$J$18))+$D$19*(VLOOKUP($C21,Tracker!$A$46:$T$75,2023-$A$2,FALSE)-VLOOKUP(R$20,Tracker!$A$46:$T$75,2023-$A$2,FALSE))</f>
        <v>0.63904156113009314</v>
      </c>
      <c r="S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S$20,East_Snapshot[],5,FALSE),VLOOKUP(S$20,West_Snapshot[],5,FALSE))^$J$18+IFERROR(VLOOKUP(S$20,East_Snapshot[],8,FALSE),VLOOKUP(S$20,West_Snapshot[],8,FALSE))^$J$18))+$D$19*(VLOOKUP($C21,Tracker!$A$46:$T$75,2023-$A$2,FALSE)-VLOOKUP(S$20,Tracker!$A$46:$T$75,2023-$A$2,FALSE))</f>
        <v>0.43428253860411398</v>
      </c>
      <c r="T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T$20,East_Snapshot[],5,FALSE),VLOOKUP(T$20,West_Snapshot[],5,FALSE))^$J$18+IFERROR(VLOOKUP(T$20,East_Snapshot[],8,FALSE),VLOOKUP(T$20,West_Snapshot[],8,FALSE))^$J$18))+$D$19*(VLOOKUP($C21,Tracker!$A$46:$T$75,2023-$A$2,FALSE)-VLOOKUP(T$20,Tracker!$A$46:$T$75,2023-$A$2,FALSE))</f>
        <v>0.39315281490047549</v>
      </c>
      <c r="U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U$20,East_Snapshot[],5,FALSE),VLOOKUP(U$20,West_Snapshot[],5,FALSE))^$J$18+IFERROR(VLOOKUP(U$20,East_Snapshot[],8,FALSE),VLOOKUP(U$20,West_Snapshot[],8,FALSE))^$J$18))+$D$19*(VLOOKUP($C21,Tracker!$A$46:$T$75,2023-$A$2,FALSE)-VLOOKUP(U$20,Tracker!$A$46:$T$75,2023-$A$2,FALSE))</f>
        <v>0.75092159958484739</v>
      </c>
      <c r="V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V$20,East_Snapshot[],5,FALSE),VLOOKUP(V$20,West_Snapshot[],5,FALSE))^$J$18+IFERROR(VLOOKUP(V$20,East_Snapshot[],8,FALSE),VLOOKUP(V$20,West_Snapshot[],8,FALSE))^$J$18))+$D$19*(VLOOKUP($C21,Tracker!$A$46:$T$75,2023-$A$2,FALSE)-VLOOKUP(V$20,Tracker!$A$46:$T$75,2023-$A$2,FALSE))</f>
        <v>0.41801574649381951</v>
      </c>
      <c r="W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W$20,East_Snapshot[],5,FALSE),VLOOKUP(W$20,West_Snapshot[],5,FALSE))^$J$18+IFERROR(VLOOKUP(W$20,East_Snapshot[],8,FALSE),VLOOKUP(W$20,West_Snapshot[],8,FALSE))^$J$18))+$D$19*(VLOOKUP($C21,Tracker!$A$46:$T$75,2023-$A$2,FALSE)-VLOOKUP(W$20,Tracker!$A$46:$T$75,2023-$A$2,FALSE))</f>
        <v>0.52848648151188815</v>
      </c>
      <c r="X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X$20,East_Snapshot[],5,FALSE),VLOOKUP(X$20,West_Snapshot[],5,FALSE))^$J$18+IFERROR(VLOOKUP(X$20,East_Snapshot[],8,FALSE),VLOOKUP(X$20,West_Snapshot[],8,FALSE))^$J$18))+$D$19*(VLOOKUP($C21,Tracker!$A$46:$T$75,2023-$A$2,FALSE)-VLOOKUP(X$20,Tracker!$A$46:$T$75,2023-$A$2,FALSE))</f>
        <v>0.50045269519089319</v>
      </c>
      <c r="Y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Y$20,East_Snapshot[],5,FALSE),VLOOKUP(Y$20,West_Snapshot[],5,FALSE))^$J$18+IFERROR(VLOOKUP(Y$20,East_Snapshot[],8,FALSE),VLOOKUP(Y$20,West_Snapshot[],8,FALSE))^$J$18))+$D$19*(VLOOKUP($C21,Tracker!$A$46:$T$75,2023-$A$2,FALSE)-VLOOKUP(Y$20,Tracker!$A$46:$T$75,2023-$A$2,FALSE))</f>
        <v>0.36453003276974549</v>
      </c>
      <c r="Z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Z$20,East_Snapshot[],5,FALSE),VLOOKUP(Z$20,West_Snapshot[],5,FALSE))^$J$18+IFERROR(VLOOKUP(Z$20,East_Snapshot[],8,FALSE),VLOOKUP(Z$20,West_Snapshot[],8,FALSE))^$J$18))+$D$19*(VLOOKUP($C21,Tracker!$A$46:$T$75,2023-$A$2,FALSE)-VLOOKUP(Z$20,Tracker!$A$46:$T$75,2023-$A$2,FALSE))</f>
        <v>0.64741461182561899</v>
      </c>
      <c r="AA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A$20,East_Snapshot[],5,FALSE),VLOOKUP(AA$20,West_Snapshot[],5,FALSE))^$J$18+IFERROR(VLOOKUP(AA$20,East_Snapshot[],8,FALSE),VLOOKUP(AA$20,West_Snapshot[],8,FALSE))^$J$18))+$D$19*(VLOOKUP($C21,Tracker!$A$46:$T$75,2023-$A$2,FALSE)-VLOOKUP(AA$20,Tracker!$A$46:$T$75,2023-$A$2,FALSE))</f>
        <v>0.84892804976066849</v>
      </c>
      <c r="AB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B$20,East_Snapshot[],5,FALSE),VLOOKUP(AB$20,West_Snapshot[],5,FALSE))^$J$18+IFERROR(VLOOKUP(AB$20,East_Snapshot[],8,FALSE),VLOOKUP(AB$20,West_Snapshot[],8,FALSE))^$J$18))+$D$19*(VLOOKUP($C21,Tracker!$A$46:$T$75,2023-$A$2,FALSE)-VLOOKUP(AB$20,Tracker!$A$46:$T$75,2023-$A$2,FALSE))</f>
        <v>0.418570304929549</v>
      </c>
      <c r="AC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C$20,East_Snapshot[],5,FALSE),VLOOKUP(AC$20,West_Snapshot[],5,FALSE))^$J$18+IFERROR(VLOOKUP(AC$20,East_Snapshot[],8,FALSE),VLOOKUP(AC$20,West_Snapshot[],8,FALSE))^$J$18))+$D$19*(VLOOKUP($C21,Tracker!$A$46:$T$75,2023-$A$2,FALSE)-VLOOKUP(AC$20,Tracker!$A$46:$T$75,2023-$A$2,FALSE))</f>
        <v>0.38671972133987731</v>
      </c>
      <c r="AD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D$20,East_Snapshot[],5,FALSE),VLOOKUP(AD$20,West_Snapshot[],5,FALSE))^$J$18+IFERROR(VLOOKUP(AD$20,East_Snapshot[],8,FALSE),VLOOKUP(AD$20,West_Snapshot[],8,FALSE))^$J$18))+$D$19*(VLOOKUP($C21,Tracker!$A$46:$T$75,2023-$A$2,FALSE)-VLOOKUP(AD$20,Tracker!$A$46:$T$75,2023-$A$2,FALSE))</f>
        <v>0.5319397017394768</v>
      </c>
      <c r="AE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E$20,East_Snapshot[],5,FALSE),VLOOKUP(AE$20,West_Snapshot[],5,FALSE))^$J$18+IFERROR(VLOOKUP(AE$20,East_Snapshot[],8,FALSE),VLOOKUP(AE$20,West_Snapshot[],8,FALSE))^$J$18))+$D$19*(VLOOKUP($C21,Tracker!$A$46:$T$75,2023-$A$2,FALSE)-VLOOKUP(AE$20,Tracker!$A$46:$T$75,2023-$A$2,FALSE))</f>
        <v>0.34824490440461264</v>
      </c>
      <c r="AF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F$20,East_Snapshot[],5,FALSE),VLOOKUP(AF$20,West_Snapshot[],5,FALSE))^$J$18+IFERROR(VLOOKUP(AF$20,East_Snapshot[],8,FALSE),VLOOKUP(AF$20,West_Snapshot[],8,FALSE))^$J$18))+$D$19*(VLOOKUP($C21,Tracker!$A$46:$T$75,2023-$A$2,FALSE)-VLOOKUP(AF$20,Tracker!$A$46:$T$75,2023-$A$2,FALSE))</f>
        <v>0.41796294493843128</v>
      </c>
      <c r="AG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G$20,East_Snapshot[],5,FALSE),VLOOKUP(AG$20,West_Snapshot[],5,FALSE))^$J$18+IFERROR(VLOOKUP(AG$20,East_Snapshot[],8,FALSE),VLOOKUP(AG$20,West_Snapshot[],8,FALSE))^$J$18))+$D$19*(VLOOKUP($C21,Tracker!$A$46:$T$75,2023-$A$2,FALSE)-VLOOKUP(AG$20,Tracker!$A$46:$T$75,2023-$A$2,FALSE))</f>
        <v>0.67998440331663379</v>
      </c>
      <c r="AH21" s="4">
        <f>($H$18*IFERROR(VLOOKUP($C21,East_Snapshot[],5,FALSE),VLOOKUP($C21,West_Snapshot[],5,FALSE))^$J$18+IFERROR(VLOOKUP($C21,East_Snapshot[],8,FALSE),VLOOKUP($C21,West_Snapshot[],8,FALSE))^$J$18)/(($H$18*IFERROR(VLOOKUP($C21,East_Snapshot[],5,FALSE),VLOOKUP($C21,West_Snapshot[],5,FALSE))^$J$18+IFERROR(VLOOKUP($C21,East_Snapshot[],8,FALSE),VLOOKUP($C21,West_Snapshot[],8,FALSE))^$J$18)+($H$18*IFERROR(VLOOKUP(AH$20,East_Snapshot[],5,FALSE),VLOOKUP(AH$20,West_Snapshot[],5,FALSE))^$J$18+IFERROR(VLOOKUP(AH$20,East_Snapshot[],8,FALSE),VLOOKUP(AH$20,West_Snapshot[],8,FALSE))^$J$18))+$D$19*(VLOOKUP($C21,Tracker!$A$46:$T$75,2023-$A$2,FALSE)-VLOOKUP(AH$20,Tracker!$A$46:$T$75,2023-$A$2,FALSE))</f>
        <v>0.45625657917010437</v>
      </c>
    </row>
    <row r="22" spans="1:34" x14ac:dyDescent="0.25">
      <c r="C22" t="s">
        <v>130</v>
      </c>
      <c r="D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D$20,East_Snapshot[],5,FALSE),VLOOKUP(D$20,West_Snapshot[],5,FALSE))^$J$18+IFERROR(VLOOKUP(D$20,East_Snapshot[],8,FALSE),VLOOKUP(D$20,West_Snapshot[],8,FALSE))^$J$18))+$D$19*(VLOOKUP($C22,Tracker!$A$46:$T$75,2023-$A$2,FALSE)-VLOOKUP(D$20,Tracker!$A$46:$T$75,2023-$A$2,FALSE))</f>
        <v>0.3849186874459376</v>
      </c>
      <c r="E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E$20,East_Snapshot[],5,FALSE),VLOOKUP(E$20,West_Snapshot[],5,FALSE))^$J$18+IFERROR(VLOOKUP(E$20,East_Snapshot[],8,FALSE),VLOOKUP(E$20,West_Snapshot[],8,FALSE))^$J$18))+$D$19*(VLOOKUP($C22,Tracker!$A$46:$T$75,2023-$A$2,FALSE)-VLOOKUP(E$20,Tracker!$A$46:$T$75,2023-$A$2,FALSE))</f>
        <v>0.5</v>
      </c>
      <c r="F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F$20,East_Snapshot[],5,FALSE),VLOOKUP(F$20,West_Snapshot[],5,FALSE))^$J$18+IFERROR(VLOOKUP(F$20,East_Snapshot[],8,FALSE),VLOOKUP(F$20,West_Snapshot[],8,FALSE))^$J$18))+$D$19*(VLOOKUP($C22,Tracker!$A$46:$T$75,2023-$A$2,FALSE)-VLOOKUP(F$20,Tracker!$A$46:$T$75,2023-$A$2,FALSE))</f>
        <v>0.39932412115973637</v>
      </c>
      <c r="G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G$20,East_Snapshot[],5,FALSE),VLOOKUP(G$20,West_Snapshot[],5,FALSE))^$J$18+IFERROR(VLOOKUP(G$20,East_Snapshot[],8,FALSE),VLOOKUP(G$20,West_Snapshot[],8,FALSE))^$J$18))+$D$19*(VLOOKUP($C22,Tracker!$A$46:$T$75,2023-$A$2,FALSE)-VLOOKUP(G$20,Tracker!$A$46:$T$75,2023-$A$2,FALSE))</f>
        <v>0.38246008620754884</v>
      </c>
      <c r="H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H$20,East_Snapshot[],5,FALSE),VLOOKUP(H$20,West_Snapshot[],5,FALSE))^$J$18+IFERROR(VLOOKUP(H$20,East_Snapshot[],8,FALSE),VLOOKUP(H$20,West_Snapshot[],8,FALSE))^$J$18))+$D$19*(VLOOKUP($C22,Tracker!$A$46:$T$75,2023-$A$2,FALSE)-VLOOKUP(H$20,Tracker!$A$46:$T$75,2023-$A$2,FALSE))</f>
        <v>0.33021801245691607</v>
      </c>
      <c r="I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I$20,East_Snapshot[],5,FALSE),VLOOKUP(I$20,West_Snapshot[],5,FALSE))^$J$18+IFERROR(VLOOKUP(I$20,East_Snapshot[],8,FALSE),VLOOKUP(I$20,West_Snapshot[],8,FALSE))^$J$18))+$D$19*(VLOOKUP($C22,Tracker!$A$46:$T$75,2023-$A$2,FALSE)-VLOOKUP(I$20,Tracker!$A$46:$T$75,2023-$A$2,FALSE))</f>
        <v>0.46141908483215593</v>
      </c>
      <c r="J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J$20,East_Snapshot[],5,FALSE),VLOOKUP(J$20,West_Snapshot[],5,FALSE))^$J$18+IFERROR(VLOOKUP(J$20,East_Snapshot[],8,FALSE),VLOOKUP(J$20,West_Snapshot[],8,FALSE))^$J$18))+$D$19*(VLOOKUP($C22,Tracker!$A$46:$T$75,2023-$A$2,FALSE)-VLOOKUP(J$20,Tracker!$A$46:$T$75,2023-$A$2,FALSE))</f>
        <v>0.31158974334286282</v>
      </c>
      <c r="K22" s="4" t="e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K$20,East_Snapshot[],5,FALSE),VLOOKUP(K$20,West_Snapshot[],5,FALSE))^$J$18+IFERROR(VLOOKUP(K$20,East_Snapshot[],8,FALSE),VLOOKUP(K$20,West_Snapshot[],8,FALSE))^$J$18))+$D$19*(VLOOKUP($C22,Tracker!$A$46:$T$75,2023-$A$2,FALSE)-VLOOKUP(K$20,Tracker!$A$46:$T$75,2023-$A$2,FALSE))</f>
        <v>#N/A</v>
      </c>
      <c r="L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L$20,East_Snapshot[],5,FALSE),VLOOKUP(L$20,West_Snapshot[],5,FALSE))^$J$18+IFERROR(VLOOKUP(L$20,East_Snapshot[],8,FALSE),VLOOKUP(L$20,West_Snapshot[],8,FALSE))^$J$18))+$D$19*(VLOOKUP($C22,Tracker!$A$46:$T$75,2023-$A$2,FALSE)-VLOOKUP(L$20,Tracker!$A$46:$T$75,2023-$A$2,FALSE))</f>
        <v>0.40631305879000507</v>
      </c>
      <c r="M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M$20,East_Snapshot[],5,FALSE),VLOOKUP(M$20,West_Snapshot[],5,FALSE))^$J$18+IFERROR(VLOOKUP(M$20,East_Snapshot[],8,FALSE),VLOOKUP(M$20,West_Snapshot[],8,FALSE))^$J$18))+$D$19*(VLOOKUP($C22,Tracker!$A$46:$T$75,2023-$A$2,FALSE)-VLOOKUP(M$20,Tracker!$A$46:$T$75,2023-$A$2,FALSE))</f>
        <v>0.47014993100761254</v>
      </c>
      <c r="N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N$20,East_Snapshot[],5,FALSE),VLOOKUP(N$20,West_Snapshot[],5,FALSE))^$J$18+IFERROR(VLOOKUP(N$20,East_Snapshot[],8,FALSE),VLOOKUP(N$20,West_Snapshot[],8,FALSE))^$J$18))+$D$19*(VLOOKUP($C22,Tracker!$A$46:$T$75,2023-$A$2,FALSE)-VLOOKUP(N$20,Tracker!$A$46:$T$75,2023-$A$2,FALSE))</f>
        <v>0.2797603639229958</v>
      </c>
      <c r="O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O$20,East_Snapshot[],5,FALSE),VLOOKUP(O$20,West_Snapshot[],5,FALSE))^$J$18+IFERROR(VLOOKUP(O$20,East_Snapshot[],8,FALSE),VLOOKUP(O$20,West_Snapshot[],8,FALSE))^$J$18))+$D$19*(VLOOKUP($C22,Tracker!$A$46:$T$75,2023-$A$2,FALSE)-VLOOKUP(O$20,Tracker!$A$46:$T$75,2023-$A$2,FALSE))</f>
        <v>0.28208215906394418</v>
      </c>
      <c r="P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P$20,East_Snapshot[],5,FALSE),VLOOKUP(P$20,West_Snapshot[],5,FALSE))^$J$18+IFERROR(VLOOKUP(P$20,East_Snapshot[],8,FALSE),VLOOKUP(P$20,West_Snapshot[],8,FALSE))^$J$18))+$D$19*(VLOOKUP($C22,Tracker!$A$46:$T$75,2023-$A$2,FALSE)-VLOOKUP(P$20,Tracker!$A$46:$T$75,2023-$A$2,FALSE))</f>
        <v>0.29210849633983238</v>
      </c>
      <c r="Q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Q$20,East_Snapshot[],5,FALSE),VLOOKUP(Q$20,West_Snapshot[],5,FALSE))^$J$18+IFERROR(VLOOKUP(Q$20,East_Snapshot[],8,FALSE),VLOOKUP(Q$20,West_Snapshot[],8,FALSE))^$J$18))+$D$19*(VLOOKUP($C22,Tracker!$A$46:$T$75,2023-$A$2,FALSE)-VLOOKUP(Q$20,Tracker!$A$46:$T$75,2023-$A$2,FALSE))</f>
        <v>0.24708709736382703</v>
      </c>
      <c r="R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R$20,East_Snapshot[],5,FALSE),VLOOKUP(R$20,West_Snapshot[],5,FALSE))^$J$18+IFERROR(VLOOKUP(R$20,East_Snapshot[],8,FALSE),VLOOKUP(R$20,West_Snapshot[],8,FALSE))^$J$18))+$D$19*(VLOOKUP($C22,Tracker!$A$46:$T$75,2023-$A$2,FALSE)-VLOOKUP(R$20,Tracker!$A$46:$T$75,2023-$A$2,FALSE))</f>
        <v>0.52559867490445544</v>
      </c>
      <c r="S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S$20,East_Snapshot[],5,FALSE),VLOOKUP(S$20,West_Snapshot[],5,FALSE))^$J$18+IFERROR(VLOOKUP(S$20,East_Snapshot[],8,FALSE),VLOOKUP(S$20,West_Snapshot[],8,FALSE))^$J$18))+$D$19*(VLOOKUP($C22,Tracker!$A$46:$T$75,2023-$A$2,FALSE)-VLOOKUP(S$20,Tracker!$A$46:$T$75,2023-$A$2,FALSE))</f>
        <v>0.32347235284913084</v>
      </c>
      <c r="T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T$20,East_Snapshot[],5,FALSE),VLOOKUP(T$20,West_Snapshot[],5,FALSE))^$J$18+IFERROR(VLOOKUP(T$20,East_Snapshot[],8,FALSE),VLOOKUP(T$20,West_Snapshot[],8,FALSE))^$J$18))+$D$19*(VLOOKUP($C22,Tracker!$A$46:$T$75,2023-$A$2,FALSE)-VLOOKUP(T$20,Tracker!$A$46:$T$75,2023-$A$2,FALSE))</f>
        <v>0.28711630201916472</v>
      </c>
      <c r="U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U$20,East_Snapshot[],5,FALSE),VLOOKUP(U$20,West_Snapshot[],5,FALSE))^$J$18+IFERROR(VLOOKUP(U$20,East_Snapshot[],8,FALSE),VLOOKUP(U$20,West_Snapshot[],8,FALSE))^$J$18))+$D$19*(VLOOKUP($C22,Tracker!$A$46:$T$75,2023-$A$2,FALSE)-VLOOKUP(U$20,Tracker!$A$46:$T$75,2023-$A$2,FALSE))</f>
        <v>0.65357958067579258</v>
      </c>
      <c r="V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V$20,East_Snapshot[],5,FALSE),VLOOKUP(V$20,West_Snapshot[],5,FALSE))^$J$18+IFERROR(VLOOKUP(V$20,East_Snapshot[],8,FALSE),VLOOKUP(V$20,West_Snapshot[],8,FALSE))^$J$18))+$D$19*(VLOOKUP($C22,Tracker!$A$46:$T$75,2023-$A$2,FALSE)-VLOOKUP(V$20,Tracker!$A$46:$T$75,2023-$A$2,FALSE))</f>
        <v>0.30893425902460347</v>
      </c>
      <c r="W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W$20,East_Snapshot[],5,FALSE),VLOOKUP(W$20,West_Snapshot[],5,FALSE))^$J$18+IFERROR(VLOOKUP(W$20,East_Snapshot[],8,FALSE),VLOOKUP(W$20,West_Snapshot[],8,FALSE))^$J$18))+$D$19*(VLOOKUP($C22,Tracker!$A$46:$T$75,2023-$A$2,FALSE)-VLOOKUP(W$20,Tracker!$A$46:$T$75,2023-$A$2,FALSE))</f>
        <v>0.41202371780954844</v>
      </c>
      <c r="X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X$20,East_Snapshot[],5,FALSE),VLOOKUP(X$20,West_Snapshot[],5,FALSE))^$J$18+IFERROR(VLOOKUP(X$20,East_Snapshot[],8,FALSE),VLOOKUP(X$20,West_Snapshot[],8,FALSE))^$J$18))+$D$19*(VLOOKUP($C22,Tracker!$A$46:$T$75,2023-$A$2,FALSE)-VLOOKUP(X$20,Tracker!$A$46:$T$75,2023-$A$2,FALSE))</f>
        <v>0.38486551338515451</v>
      </c>
      <c r="Y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Y$20,East_Snapshot[],5,FALSE),VLOOKUP(Y$20,West_Snapshot[],5,FALSE))^$J$18+IFERROR(VLOOKUP(Y$20,East_Snapshot[],8,FALSE),VLOOKUP(Y$20,West_Snapshot[],8,FALSE))^$J$18))+$D$19*(VLOOKUP($C22,Tracker!$A$46:$T$75,2023-$A$2,FALSE)-VLOOKUP(Y$20,Tracker!$A$46:$T$75,2023-$A$2,FALSE))</f>
        <v>0.26258360744935277</v>
      </c>
      <c r="Z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Z$20,East_Snapshot[],5,FALSE),VLOOKUP(Z$20,West_Snapshot[],5,FALSE))^$J$18+IFERROR(VLOOKUP(Z$20,East_Snapshot[],8,FALSE),VLOOKUP(Z$20,West_Snapshot[],8,FALSE))^$J$18))+$D$19*(VLOOKUP($C22,Tracker!$A$46:$T$75,2023-$A$2,FALSE)-VLOOKUP(Z$20,Tracker!$A$46:$T$75,2023-$A$2,FALSE))</f>
        <v>0.53468712110936512</v>
      </c>
      <c r="AA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A$20,East_Snapshot[],5,FALSE),VLOOKUP(AA$20,West_Snapshot[],5,FALSE))^$J$18+IFERROR(VLOOKUP(AA$20,East_Snapshot[],8,FALSE),VLOOKUP(AA$20,West_Snapshot[],8,FALSE))^$J$18))+$D$19*(VLOOKUP($C22,Tracker!$A$46:$T$75,2023-$A$2,FALSE)-VLOOKUP(AA$20,Tracker!$A$46:$T$75,2023-$A$2,FALSE))</f>
        <v>0.77859473225928233</v>
      </c>
      <c r="AB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B$20,East_Snapshot[],5,FALSE),VLOOKUP(AB$20,West_Snapshot[],5,FALSE))^$J$18+IFERROR(VLOOKUP(AB$20,East_Snapshot[],8,FALSE),VLOOKUP(AB$20,West_Snapshot[],8,FALSE))^$J$18))+$D$19*(VLOOKUP($C22,Tracker!$A$46:$T$75,2023-$A$2,FALSE)-VLOOKUP(AB$20,Tracker!$A$46:$T$75,2023-$A$2,FALSE))</f>
        <v>0.30942641303286411</v>
      </c>
      <c r="AC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C$20,East_Snapshot[],5,FALSE),VLOOKUP(AC$20,West_Snapshot[],5,FALSE))^$J$18+IFERROR(VLOOKUP(AC$20,East_Snapshot[],8,FALSE),VLOOKUP(AC$20,West_Snapshot[],8,FALSE))^$J$18))+$D$19*(VLOOKUP($C22,Tracker!$A$46:$T$75,2023-$A$2,FALSE)-VLOOKUP(AC$20,Tracker!$A$46:$T$75,2023-$A$2,FALSE))</f>
        <v>0.28021694677315673</v>
      </c>
      <c r="AD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D$20,East_Snapshot[],5,FALSE),VLOOKUP(AD$20,West_Snapshot[],5,FALSE))^$J$18+IFERROR(VLOOKUP(AD$20,East_Snapshot[],8,FALSE),VLOOKUP(AD$20,West_Snapshot[],8,FALSE))^$J$18))+$D$19*(VLOOKUP($C22,Tracker!$A$46:$T$75,2023-$A$2,FALSE)-VLOOKUP(AD$20,Tracker!$A$46:$T$75,2023-$A$2,FALSE))</f>
        <v>0.41541852643925392</v>
      </c>
      <c r="AE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E$20,East_Snapshot[],5,FALSE),VLOOKUP(AE$20,West_Snapshot[],5,FALSE))^$J$18+IFERROR(VLOOKUP(AE$20,East_Snapshot[],8,FALSE),VLOOKUP(AE$20,West_Snapshot[],8,FALSE))^$J$18))+$D$19*(VLOOKUP($C22,Tracker!$A$46:$T$75,2023-$A$2,FALSE)-VLOOKUP(AE$20,Tracker!$A$46:$T$75,2023-$A$2,FALSE))</f>
        <v>0.24889643146824258</v>
      </c>
      <c r="AF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F$20,East_Snapshot[],5,FALSE),VLOOKUP(AF$20,West_Snapshot[],5,FALSE))^$J$18+IFERROR(VLOOKUP(AF$20,East_Snapshot[],8,FALSE),VLOOKUP(AF$20,West_Snapshot[],8,FALSE))^$J$18))+$D$19*(VLOOKUP($C22,Tracker!$A$46:$T$75,2023-$A$2,FALSE)-VLOOKUP(AF$20,Tracker!$A$46:$T$75,2023-$A$2,FALSE))</f>
        <v>0.30888741190578356</v>
      </c>
      <c r="AG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G$20,East_Snapshot[],5,FALSE),VLOOKUP(AG$20,West_Snapshot[],5,FALSE))^$J$18+IFERROR(VLOOKUP(AG$20,East_Snapshot[],8,FALSE),VLOOKUP(AG$20,West_Snapshot[],8,FALSE))^$J$18))+$D$19*(VLOOKUP($C22,Tracker!$A$46:$T$75,2023-$A$2,FALSE)-VLOOKUP(AG$20,Tracker!$A$46:$T$75,2023-$A$2,FALSE))</f>
        <v>0.57076616408786418</v>
      </c>
      <c r="AH22" s="4">
        <f>($H$18*IFERROR(VLOOKUP($C22,East_Snapshot[],5,FALSE),VLOOKUP($C22,West_Snapshot[],5,FALSE))^$J$18+IFERROR(VLOOKUP($C22,East_Snapshot[],8,FALSE),VLOOKUP($C22,West_Snapshot[],8,FALSE))^$J$18)/(($H$18*IFERROR(VLOOKUP($C22,East_Snapshot[],5,FALSE),VLOOKUP($C22,West_Snapshot[],5,FALSE))^$J$18+IFERROR(VLOOKUP($C22,East_Snapshot[],8,FALSE),VLOOKUP($C22,West_Snapshot[],8,FALSE))^$J$18)+($H$18*IFERROR(VLOOKUP(AH$20,East_Snapshot[],5,FALSE),VLOOKUP(AH$20,West_Snapshot[],5,FALSE))^$J$18+IFERROR(VLOOKUP(AH$20,East_Snapshot[],8,FALSE),VLOOKUP(AH$20,West_Snapshot[],8,FALSE))^$J$18))+$D$19*(VLOOKUP($C22,Tracker!$A$46:$T$75,2023-$A$2,FALSE)-VLOOKUP(AH$20,Tracker!$A$46:$T$75,2023-$A$2,FALSE))</f>
        <v>0.34345159545660103</v>
      </c>
    </row>
    <row r="23" spans="1:34" x14ac:dyDescent="0.25">
      <c r="C23" t="s">
        <v>136</v>
      </c>
      <c r="D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D$20,East_Snapshot[],5,FALSE),VLOOKUP(D$20,West_Snapshot[],5,FALSE))^$J$18+IFERROR(VLOOKUP(D$20,East_Snapshot[],8,FALSE),VLOOKUP(D$20,West_Snapshot[],8,FALSE))^$J$18))+$D$19*(VLOOKUP($C23,Tracker!$A$46:$T$75,2023-$A$2,FALSE)-VLOOKUP(D$20,Tracker!$A$46:$T$75,2023-$A$2,FALSE))</f>
        <v>0.4848945233778667</v>
      </c>
      <c r="E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E$20,East_Snapshot[],5,FALSE),VLOOKUP(E$20,West_Snapshot[],5,FALSE))^$J$18+IFERROR(VLOOKUP(E$20,East_Snapshot[],8,FALSE),VLOOKUP(E$20,West_Snapshot[],8,FALSE))^$J$18))+$D$19*(VLOOKUP($C23,Tracker!$A$46:$T$75,2023-$A$2,FALSE)-VLOOKUP(E$20,Tracker!$A$46:$T$75,2023-$A$2,FALSE))</f>
        <v>0.60067587884026363</v>
      </c>
      <c r="F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F$20,East_Snapshot[],5,FALSE),VLOOKUP(F$20,West_Snapshot[],5,FALSE))^$J$18+IFERROR(VLOOKUP(F$20,East_Snapshot[],8,FALSE),VLOOKUP(F$20,West_Snapshot[],8,FALSE))^$J$18))+$D$19*(VLOOKUP($C23,Tracker!$A$46:$T$75,2023-$A$2,FALSE)-VLOOKUP(F$20,Tracker!$A$46:$T$75,2023-$A$2,FALSE))</f>
        <v>0.5</v>
      </c>
      <c r="G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G$20,East_Snapshot[],5,FALSE),VLOOKUP(G$20,West_Snapshot[],5,FALSE))^$J$18+IFERROR(VLOOKUP(G$20,East_Snapshot[],8,FALSE),VLOOKUP(G$20,West_Snapshot[],8,FALSE))^$J$18))+$D$19*(VLOOKUP($C23,Tracker!$A$46:$T$75,2023-$A$2,FALSE)-VLOOKUP(G$20,Tracker!$A$46:$T$75,2023-$A$2,FALSE))</f>
        <v>0.48229806638699779</v>
      </c>
      <c r="H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H$20,East_Snapshot[],5,FALSE),VLOOKUP(H$20,West_Snapshot[],5,FALSE))^$J$18+IFERROR(VLOOKUP(H$20,East_Snapshot[],8,FALSE),VLOOKUP(H$20,West_Snapshot[],8,FALSE))^$J$18))+$D$19*(VLOOKUP($C23,Tracker!$A$46:$T$75,2023-$A$2,FALSE)-VLOOKUP(H$20,Tracker!$A$46:$T$75,2023-$A$2,FALSE))</f>
        <v>0.42682917950320765</v>
      </c>
      <c r="I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I$20,East_Snapshot[],5,FALSE),VLOOKUP(I$20,West_Snapshot[],5,FALSE))^$J$18+IFERROR(VLOOKUP(I$20,East_Snapshot[],8,FALSE),VLOOKUP(I$20,West_Snapshot[],8,FALSE))^$J$18))+$D$19*(VLOOKUP($C23,Tracker!$A$46:$T$75,2023-$A$2,FALSE)-VLOOKUP(I$20,Tracker!$A$46:$T$75,2023-$A$2,FALSE))</f>
        <v>0.56307493818257293</v>
      </c>
      <c r="J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J$20,East_Snapshot[],5,FALSE),VLOOKUP(J$20,West_Snapshot[],5,FALSE))^$J$18+IFERROR(VLOOKUP(J$20,East_Snapshot[],8,FALSE),VLOOKUP(J$20,West_Snapshot[],8,FALSE))^$J$18))+$D$19*(VLOOKUP($C23,Tracker!$A$46:$T$75,2023-$A$2,FALSE)-VLOOKUP(J$20,Tracker!$A$46:$T$75,2023-$A$2,FALSE))</f>
        <v>0.40624836561506117</v>
      </c>
      <c r="K23" s="4" t="e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K$20,East_Snapshot[],5,FALSE),VLOOKUP(K$20,West_Snapshot[],5,FALSE))^$J$18+IFERROR(VLOOKUP(K$20,East_Snapshot[],8,FALSE),VLOOKUP(K$20,West_Snapshot[],8,FALSE))^$J$18))+$D$19*(VLOOKUP($C23,Tracker!$A$46:$T$75,2023-$A$2,FALSE)-VLOOKUP(K$20,Tracker!$A$46:$T$75,2023-$A$2,FALSE))</f>
        <v>#N/A</v>
      </c>
      <c r="L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L$20,East_Snapshot[],5,FALSE),VLOOKUP(L$20,West_Snapshot[],5,FALSE))^$J$18+IFERROR(VLOOKUP(L$20,East_Snapshot[],8,FALSE),VLOOKUP(L$20,West_Snapshot[],8,FALSE))^$J$18))+$D$19*(VLOOKUP($C23,Tracker!$A$46:$T$75,2023-$A$2,FALSE)-VLOOKUP(L$20,Tracker!$A$46:$T$75,2023-$A$2,FALSE))</f>
        <v>0.50726295483000272</v>
      </c>
      <c r="M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M$20,East_Snapshot[],5,FALSE),VLOOKUP(M$20,West_Snapshot[],5,FALSE))^$J$18+IFERROR(VLOOKUP(M$20,East_Snapshot[],8,FALSE),VLOOKUP(M$20,West_Snapshot[],8,FALSE))^$J$18))+$D$19*(VLOOKUP($C23,Tracker!$A$46:$T$75,2023-$A$2,FALSE)-VLOOKUP(M$20,Tracker!$A$46:$T$75,2023-$A$2,FALSE))</f>
        <v>0.57168754632292418</v>
      </c>
      <c r="N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N$20,East_Snapshot[],5,FALSE),VLOOKUP(N$20,West_Snapshot[],5,FALSE))^$J$18+IFERROR(VLOOKUP(N$20,East_Snapshot[],8,FALSE),VLOOKUP(N$20,West_Snapshot[],8,FALSE))^$J$18))+$D$19*(VLOOKUP($C23,Tracker!$A$46:$T$75,2023-$A$2,FALSE)-VLOOKUP(N$20,Tracker!$A$46:$T$75,2023-$A$2,FALSE))</f>
        <v>0.37030211198286717</v>
      </c>
      <c r="O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O$20,East_Snapshot[],5,FALSE),VLOOKUP(O$20,West_Snapshot[],5,FALSE))^$J$18+IFERROR(VLOOKUP(O$20,East_Snapshot[],8,FALSE),VLOOKUP(O$20,West_Snapshot[],8,FALSE))^$J$18))+$D$19*(VLOOKUP($C23,Tracker!$A$46:$T$75,2023-$A$2,FALSE)-VLOOKUP(O$20,Tracker!$A$46:$T$75,2023-$A$2,FALSE))</f>
        <v>0.37295821779381688</v>
      </c>
      <c r="P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P$20,East_Snapshot[],5,FALSE),VLOOKUP(P$20,West_Snapshot[],5,FALSE))^$J$18+IFERROR(VLOOKUP(P$20,East_Snapshot[],8,FALSE),VLOOKUP(P$20,West_Snapshot[],8,FALSE))^$J$18))+$D$19*(VLOOKUP($C23,Tracker!$A$46:$T$75,2023-$A$2,FALSE)-VLOOKUP(P$20,Tracker!$A$46:$T$75,2023-$A$2,FALSE))</f>
        <v>0.38436625237596528</v>
      </c>
      <c r="Q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Q$20,East_Snapshot[],5,FALSE),VLOOKUP(Q$20,West_Snapshot[],5,FALSE))^$J$18+IFERROR(VLOOKUP(Q$20,East_Snapshot[],8,FALSE),VLOOKUP(Q$20,West_Snapshot[],8,FALSE))^$J$18))+$D$19*(VLOOKUP($C23,Tracker!$A$46:$T$75,2023-$A$2,FALSE)-VLOOKUP(Q$20,Tracker!$A$46:$T$75,2023-$A$2,FALSE))</f>
        <v>0.33407606322107403</v>
      </c>
      <c r="R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R$20,East_Snapshot[],5,FALSE),VLOOKUP(R$20,West_Snapshot[],5,FALSE))^$J$18+IFERROR(VLOOKUP(R$20,East_Snapshot[],8,FALSE),VLOOKUP(R$20,West_Snapshot[],8,FALSE))^$J$18))+$D$19*(VLOOKUP($C23,Tracker!$A$46:$T$75,2023-$A$2,FALSE)-VLOOKUP(R$20,Tracker!$A$46:$T$75,2023-$A$2,FALSE))</f>
        <v>0.62498611236131574</v>
      </c>
      <c r="S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S$20,East_Snapshot[],5,FALSE),VLOOKUP(S$20,West_Snapshot[],5,FALSE))^$J$18+IFERROR(VLOOKUP(S$20,East_Snapshot[],8,FALSE),VLOOKUP(S$20,West_Snapshot[],8,FALSE))^$J$18))+$D$19*(VLOOKUP($C23,Tracker!$A$46:$T$75,2023-$A$2,FALSE)-VLOOKUP(S$20,Tracker!$A$46:$T$75,2023-$A$2,FALSE))</f>
        <v>0.41941469132293263</v>
      </c>
      <c r="T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T$20,East_Snapshot[],5,FALSE),VLOOKUP(T$20,West_Snapshot[],5,FALSE))^$J$18+IFERROR(VLOOKUP(T$20,East_Snapshot[],8,FALSE),VLOOKUP(T$20,West_Snapshot[],8,FALSE))^$J$18))+$D$19*(VLOOKUP($C23,Tracker!$A$46:$T$75,2023-$A$2,FALSE)-VLOOKUP(T$20,Tracker!$A$46:$T$75,2023-$A$2,FALSE))</f>
        <v>0.37869863951033206</v>
      </c>
      <c r="U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U$20,East_Snapshot[],5,FALSE),VLOOKUP(U$20,West_Snapshot[],5,FALSE))^$J$18+IFERROR(VLOOKUP(U$20,East_Snapshot[],8,FALSE),VLOOKUP(U$20,West_Snapshot[],8,FALSE))^$J$18))+$D$19*(VLOOKUP($C23,Tracker!$A$46:$T$75,2023-$A$2,FALSE)-VLOOKUP(U$20,Tracker!$A$46:$T$75,2023-$A$2,FALSE))</f>
        <v>0.73944640861664346</v>
      </c>
      <c r="V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V$20,East_Snapshot[],5,FALSE),VLOOKUP(V$20,West_Snapshot[],5,FALSE))^$J$18+IFERROR(VLOOKUP(V$20,East_Snapshot[],8,FALSE),VLOOKUP(V$20,West_Snapshot[],8,FALSE))^$J$18))+$D$19*(VLOOKUP($C23,Tracker!$A$46:$T$75,2023-$A$2,FALSE)-VLOOKUP(V$20,Tracker!$A$46:$T$75,2023-$A$2,FALSE))</f>
        <v>0.40328741980810534</v>
      </c>
      <c r="W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W$20,East_Snapshot[],5,FALSE),VLOOKUP(W$20,West_Snapshot[],5,FALSE))^$J$18+IFERROR(VLOOKUP(W$20,East_Snapshot[],8,FALSE),VLOOKUP(W$20,West_Snapshot[],8,FALSE))^$J$18))+$D$19*(VLOOKUP($C23,Tracker!$A$46:$T$75,2023-$A$2,FALSE)-VLOOKUP(W$20,Tracker!$A$46:$T$75,2023-$A$2,FALSE))</f>
        <v>0.51343550243018532</v>
      </c>
      <c r="X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X$20,East_Snapshot[],5,FALSE),VLOOKUP(X$20,West_Snapshot[],5,FALSE))^$J$18+IFERROR(VLOOKUP(X$20,East_Snapshot[],8,FALSE),VLOOKUP(X$20,West_Snapshot[],8,FALSE))^$J$18))+$D$19*(VLOOKUP($C23,Tracker!$A$46:$T$75,2023-$A$2,FALSE)-VLOOKUP(X$20,Tracker!$A$46:$T$75,2023-$A$2,FALSE))</f>
        <v>0.48534427814626163</v>
      </c>
      <c r="Y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Y$20,East_Snapshot[],5,FALSE),VLOOKUP(Y$20,West_Snapshot[],5,FALSE))^$J$18+IFERROR(VLOOKUP(Y$20,East_Snapshot[],8,FALSE),VLOOKUP(Y$20,West_Snapshot[],8,FALSE))^$J$18))+$D$19*(VLOOKUP($C23,Tracker!$A$46:$T$75,2023-$A$2,FALSE)-VLOOKUP(Y$20,Tracker!$A$46:$T$75,2023-$A$2,FALSE))</f>
        <v>0.35048225892556711</v>
      </c>
      <c r="Z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Z$20,East_Snapshot[],5,FALSE),VLOOKUP(Z$20,West_Snapshot[],5,FALSE))^$J$18+IFERROR(VLOOKUP(Z$20,East_Snapshot[],8,FALSE),VLOOKUP(Z$20,West_Snapshot[],8,FALSE))^$J$18))+$D$19*(VLOOKUP($C23,Tracker!$A$46:$T$75,2023-$A$2,FALSE)-VLOOKUP(Z$20,Tracker!$A$46:$T$75,2023-$A$2,FALSE))</f>
        <v>0.63349821338741685</v>
      </c>
      <c r="AA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A$20,East_Snapshot[],5,FALSE),VLOOKUP(AA$20,West_Snapshot[],5,FALSE))^$J$18+IFERROR(VLOOKUP(AA$20,East_Snapshot[],8,FALSE),VLOOKUP(AA$20,West_Snapshot[],8,FALSE))^$J$18))+$D$19*(VLOOKUP($C23,Tracker!$A$46:$T$75,2023-$A$2,FALSE)-VLOOKUP(AA$20,Tracker!$A$46:$T$75,2023-$A$2,FALSE))</f>
        <v>0.84101209638121444</v>
      </c>
      <c r="AB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B$20,East_Snapshot[],5,FALSE),VLOOKUP(AB$20,West_Snapshot[],5,FALSE))^$J$18+IFERROR(VLOOKUP(AB$20,East_Snapshot[],8,FALSE),VLOOKUP(AB$20,West_Snapshot[],8,FALSE))^$J$18))+$D$19*(VLOOKUP($C23,Tracker!$A$46:$T$75,2023-$A$2,FALSE)-VLOOKUP(AB$20,Tracker!$A$46:$T$75,2023-$A$2,FALSE))</f>
        <v>0.40383670206658434</v>
      </c>
      <c r="AC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C$20,East_Snapshot[],5,FALSE),VLOOKUP(AC$20,West_Snapshot[],5,FALSE))^$J$18+IFERROR(VLOOKUP(AC$20,East_Snapshot[],8,FALSE),VLOOKUP(AC$20,West_Snapshot[],8,FALSE))^$J$18))+$D$19*(VLOOKUP($C23,Tracker!$A$46:$T$75,2023-$A$2,FALSE)-VLOOKUP(AC$20,Tracker!$A$46:$T$75,2023-$A$2,FALSE))</f>
        <v>0.37222170177399028</v>
      </c>
      <c r="AD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D$20,East_Snapshot[],5,FALSE),VLOOKUP(AD$20,West_Snapshot[],5,FALSE))^$J$18+IFERROR(VLOOKUP(AD$20,East_Snapshot[],8,FALSE),VLOOKUP(AD$20,West_Snapshot[],8,FALSE))^$J$18))+$D$19*(VLOOKUP($C23,Tracker!$A$46:$T$75,2023-$A$2,FALSE)-VLOOKUP(AD$20,Tracker!$A$46:$T$75,2023-$A$2,FALSE))</f>
        <v>0.51690239785791559</v>
      </c>
      <c r="AE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E$20,East_Snapshot[],5,FALSE),VLOOKUP(AE$20,West_Snapshot[],5,FALSE))^$J$18+IFERROR(VLOOKUP(AE$20,East_Snapshot[],8,FALSE),VLOOKUP(AE$20,West_Snapshot[],8,FALSE))^$J$18))+$D$19*(VLOOKUP($C23,Tracker!$A$46:$T$75,2023-$A$2,FALSE)-VLOOKUP(AE$20,Tracker!$A$46:$T$75,2023-$A$2,FALSE))</f>
        <v>0.33447154658099942</v>
      </c>
      <c r="AF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F$20,East_Snapshot[],5,FALSE),VLOOKUP(AF$20,West_Snapshot[],5,FALSE))^$J$18+IFERROR(VLOOKUP(AF$20,East_Snapshot[],8,FALSE),VLOOKUP(AF$20,West_Snapshot[],8,FALSE))^$J$18))+$D$19*(VLOOKUP($C23,Tracker!$A$46:$T$75,2023-$A$2,FALSE)-VLOOKUP(AF$20,Tracker!$A$46:$T$75,2023-$A$2,FALSE))</f>
        <v>0.40323512252797622</v>
      </c>
      <c r="AG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G$20,East_Snapshot[],5,FALSE),VLOOKUP(AG$20,West_Snapshot[],5,FALSE))^$J$18+IFERROR(VLOOKUP(AG$20,East_Snapshot[],8,FALSE),VLOOKUP(AG$20,West_Snapshot[],8,FALSE))^$J$18))+$D$19*(VLOOKUP($C23,Tracker!$A$46:$T$75,2023-$A$2,FALSE)-VLOOKUP(AG$20,Tracker!$A$46:$T$75,2023-$A$2,FALSE))</f>
        <v>0.66669169905281811</v>
      </c>
      <c r="AH23" s="4">
        <f>($H$18*IFERROR(VLOOKUP($C23,East_Snapshot[],5,FALSE),VLOOKUP($C23,West_Snapshot[],5,FALSE))^$J$18+IFERROR(VLOOKUP($C23,East_Snapshot[],8,FALSE),VLOOKUP($C23,West_Snapshot[],8,FALSE))^$J$18)/(($H$18*IFERROR(VLOOKUP($C23,East_Snapshot[],5,FALSE),VLOOKUP($C23,West_Snapshot[],5,FALSE))^$J$18+IFERROR(VLOOKUP($C23,East_Snapshot[],8,FALSE),VLOOKUP($C23,West_Snapshot[],8,FALSE))^$J$18)+($H$18*IFERROR(VLOOKUP(AH$20,East_Snapshot[],5,FALSE),VLOOKUP(AH$20,West_Snapshot[],5,FALSE))^$J$18+IFERROR(VLOOKUP(AH$20,East_Snapshot[],8,FALSE),VLOOKUP(AH$20,West_Snapshot[],8,FALSE))^$J$18))+$D$19*(VLOOKUP($C23,Tracker!$A$46:$T$75,2023-$A$2,FALSE)-VLOOKUP(AH$20,Tracker!$A$46:$T$75,2023-$A$2,FALSE))</f>
        <v>0.4412504950772137</v>
      </c>
    </row>
    <row r="24" spans="1:34" x14ac:dyDescent="0.25">
      <c r="C24" t="s">
        <v>140</v>
      </c>
      <c r="D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D$20,East_Snapshot[],5,FALSE),VLOOKUP(D$20,West_Snapshot[],5,FALSE))^$J$18+IFERROR(VLOOKUP(D$20,East_Snapshot[],8,FALSE),VLOOKUP(D$20,West_Snapshot[],8,FALSE))^$J$18))+$D$19*(VLOOKUP($C24,Tracker!$A$46:$T$75,2023-$A$2,FALSE)-VLOOKUP(D$20,Tracker!$A$46:$T$75,2023-$A$2,FALSE))</f>
        <v>0.50259923709477849</v>
      </c>
      <c r="E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E$20,East_Snapshot[],5,FALSE),VLOOKUP(E$20,West_Snapshot[],5,FALSE))^$J$18+IFERROR(VLOOKUP(E$20,East_Snapshot[],8,FALSE),VLOOKUP(E$20,West_Snapshot[],8,FALSE))^$J$18))+$D$19*(VLOOKUP($C24,Tracker!$A$46:$T$75,2023-$A$2,FALSE)-VLOOKUP(E$20,Tracker!$A$46:$T$75,2023-$A$2,FALSE))</f>
        <v>0.61753991379245121</v>
      </c>
      <c r="F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F$20,East_Snapshot[],5,FALSE),VLOOKUP(F$20,West_Snapshot[],5,FALSE))^$J$18+IFERROR(VLOOKUP(F$20,East_Snapshot[],8,FALSE),VLOOKUP(F$20,West_Snapshot[],8,FALSE))^$J$18))+$D$19*(VLOOKUP($C24,Tracker!$A$46:$T$75,2023-$A$2,FALSE)-VLOOKUP(F$20,Tracker!$A$46:$T$75,2023-$A$2,FALSE))</f>
        <v>0.51770193361300221</v>
      </c>
      <c r="G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G$20,East_Snapshot[],5,FALSE),VLOOKUP(G$20,West_Snapshot[],5,FALSE))^$J$18+IFERROR(VLOOKUP(G$20,East_Snapshot[],8,FALSE),VLOOKUP(G$20,West_Snapshot[],8,FALSE))^$J$18))+$D$19*(VLOOKUP($C24,Tracker!$A$46:$T$75,2023-$A$2,FALSE)-VLOOKUP(G$20,Tracker!$A$46:$T$75,2023-$A$2,FALSE))</f>
        <v>0.5</v>
      </c>
      <c r="H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H$20,East_Snapshot[],5,FALSE),VLOOKUP(H$20,West_Snapshot[],5,FALSE))^$J$18+IFERROR(VLOOKUP(H$20,East_Snapshot[],8,FALSE),VLOOKUP(H$20,West_Snapshot[],8,FALSE))^$J$18))+$D$19*(VLOOKUP($C24,Tracker!$A$46:$T$75,2023-$A$2,FALSE)-VLOOKUP(H$20,Tracker!$A$46:$T$75,2023-$A$2,FALSE))</f>
        <v>0.44432681776299299</v>
      </c>
      <c r="I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I$20,East_Snapshot[],5,FALSE),VLOOKUP(I$20,West_Snapshot[],5,FALSE))^$J$18+IFERROR(VLOOKUP(I$20,East_Snapshot[],8,FALSE),VLOOKUP(I$20,West_Snapshot[],8,FALSE))^$J$18))+$D$19*(VLOOKUP($C24,Tracker!$A$46:$T$75,2023-$A$2,FALSE)-VLOOKUP(I$20,Tracker!$A$46:$T$75,2023-$A$2,FALSE))</f>
        <v>0.58041771074071846</v>
      </c>
      <c r="J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J$20,East_Snapshot[],5,FALSE),VLOOKUP(J$20,West_Snapshot[],5,FALSE))^$J$18+IFERROR(VLOOKUP(J$20,East_Snapshot[],8,FALSE),VLOOKUP(J$20,West_Snapshot[],8,FALSE))^$J$18))+$D$19*(VLOOKUP($C24,Tracker!$A$46:$T$75,2023-$A$2,FALSE)-VLOOKUP(J$20,Tracker!$A$46:$T$75,2023-$A$2,FALSE))</f>
        <v>0.42355627040447302</v>
      </c>
      <c r="K24" s="4" t="e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K$20,East_Snapshot[],5,FALSE),VLOOKUP(K$20,West_Snapshot[],5,FALSE))^$J$18+IFERROR(VLOOKUP(K$20,East_Snapshot[],8,FALSE),VLOOKUP(K$20,West_Snapshot[],8,FALSE))^$J$18))+$D$19*(VLOOKUP($C24,Tracker!$A$46:$T$75,2023-$A$2,FALSE)-VLOOKUP(K$20,Tracker!$A$46:$T$75,2023-$A$2,FALSE))</f>
        <v>#N/A</v>
      </c>
      <c r="L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L$20,East_Snapshot[],5,FALSE),VLOOKUP(L$20,West_Snapshot[],5,FALSE))^$J$18+IFERROR(VLOOKUP(L$20,East_Snapshot[],8,FALSE),VLOOKUP(L$20,West_Snapshot[],8,FALSE))^$J$18))+$D$19*(VLOOKUP($C24,Tracker!$A$46:$T$75,2023-$A$2,FALSE)-VLOOKUP(L$20,Tracker!$A$46:$T$75,2023-$A$2,FALSE))</f>
        <v>0.52495205626476804</v>
      </c>
      <c r="M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M$20,East_Snapshot[],5,FALSE),VLOOKUP(M$20,West_Snapshot[],5,FALSE))^$J$18+IFERROR(VLOOKUP(M$20,East_Snapshot[],8,FALSE),VLOOKUP(M$20,West_Snapshot[],8,FALSE))^$J$18))+$D$19*(VLOOKUP($C24,Tracker!$A$46:$T$75,2023-$A$2,FALSE)-VLOOKUP(M$20,Tracker!$A$46:$T$75,2023-$A$2,FALSE))</f>
        <v>0.58893802759570391</v>
      </c>
      <c r="N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N$20,East_Snapshot[],5,FALSE),VLOOKUP(N$20,West_Snapshot[],5,FALSE))^$J$18+IFERROR(VLOOKUP(N$20,East_Snapshot[],8,FALSE),VLOOKUP(N$20,West_Snapshot[],8,FALSE))^$J$18))+$D$19*(VLOOKUP($C24,Tracker!$A$46:$T$75,2023-$A$2,FALSE)-VLOOKUP(N$20,Tracker!$A$46:$T$75,2023-$A$2,FALSE))</f>
        <v>0.38713218570487945</v>
      </c>
      <c r="O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O$20,East_Snapshot[],5,FALSE),VLOOKUP(O$20,West_Snapshot[],5,FALSE))^$J$18+IFERROR(VLOOKUP(O$20,East_Snapshot[],8,FALSE),VLOOKUP(O$20,West_Snapshot[],8,FALSE))^$J$18))+$D$19*(VLOOKUP($C24,Tracker!$A$46:$T$75,2023-$A$2,FALSE)-VLOOKUP(O$20,Tracker!$A$46:$T$75,2023-$A$2,FALSE))</f>
        <v>0.38982999616281017</v>
      </c>
      <c r="P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P$20,East_Snapshot[],5,FALSE),VLOOKUP(P$20,West_Snapshot[],5,FALSE))^$J$18+IFERROR(VLOOKUP(P$20,East_Snapshot[],8,FALSE),VLOOKUP(P$20,West_Snapshot[],8,FALSE))^$J$18))+$D$19*(VLOOKUP($C24,Tracker!$A$46:$T$75,2023-$A$2,FALSE)-VLOOKUP(P$20,Tracker!$A$46:$T$75,2023-$A$2,FALSE))</f>
        <v>0.40140552711939426</v>
      </c>
      <c r="Q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Q$20,East_Snapshot[],5,FALSE),VLOOKUP(Q$20,West_Snapshot[],5,FALSE))^$J$18+IFERROR(VLOOKUP(Q$20,East_Snapshot[],8,FALSE),VLOOKUP(Q$20,West_Snapshot[],8,FALSE))^$J$18))+$D$19*(VLOOKUP($C24,Tracker!$A$46:$T$75,2023-$A$2,FALSE)-VLOOKUP(Q$20,Tracker!$A$46:$T$75,2023-$A$2,FALSE))</f>
        <v>0.35043930533799944</v>
      </c>
      <c r="R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R$20,East_Snapshot[],5,FALSE),VLOOKUP(R$20,West_Snapshot[],5,FALSE))^$J$18+IFERROR(VLOOKUP(R$20,East_Snapshot[],8,FALSE),VLOOKUP(R$20,West_Snapshot[],8,FALSE))^$J$18))+$D$19*(VLOOKUP($C24,Tracker!$A$46:$T$75,2023-$A$2,FALSE)-VLOOKUP(R$20,Tracker!$A$46:$T$75,2023-$A$2,FALSE))</f>
        <v>0.64143633673438616</v>
      </c>
      <c r="S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S$20,East_Snapshot[],5,FALSE),VLOOKUP(S$20,West_Snapshot[],5,FALSE))^$J$18+IFERROR(VLOOKUP(S$20,East_Snapshot[],8,FALSE),VLOOKUP(S$20,West_Snapshot[],8,FALSE))^$J$18))+$D$19*(VLOOKUP($C24,Tracker!$A$46:$T$75,2023-$A$2,FALSE)-VLOOKUP(S$20,Tracker!$A$46:$T$75,2023-$A$2,FALSE))</f>
        <v>0.43685098692366631</v>
      </c>
      <c r="T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T$20,East_Snapshot[],5,FALSE),VLOOKUP(T$20,West_Snapshot[],5,FALSE))^$J$18+IFERROR(VLOOKUP(T$20,East_Snapshot[],8,FALSE),VLOOKUP(T$20,West_Snapshot[],8,FALSE))^$J$18))+$D$19*(VLOOKUP($C24,Tracker!$A$46:$T$75,2023-$A$2,FALSE)-VLOOKUP(T$20,Tracker!$A$46:$T$75,2023-$A$2,FALSE))</f>
        <v>0.39565705665308132</v>
      </c>
      <c r="U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U$20,East_Snapshot[],5,FALSE),VLOOKUP(U$20,West_Snapshot[],5,FALSE))^$J$18+IFERROR(VLOOKUP(U$20,East_Snapshot[],8,FALSE),VLOOKUP(U$20,West_Snapshot[],8,FALSE))^$J$18))+$D$19*(VLOOKUP($C24,Tracker!$A$46:$T$75,2023-$A$2,FALSE)-VLOOKUP(U$20,Tracker!$A$46:$T$75,2023-$A$2,FALSE))</f>
        <v>0.75286116768172795</v>
      </c>
      <c r="V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V$20,East_Snapshot[],5,FALSE),VLOOKUP(V$20,West_Snapshot[],5,FALSE))^$J$18+IFERROR(VLOOKUP(V$20,East_Snapshot[],8,FALSE),VLOOKUP(V$20,West_Snapshot[],8,FALSE))^$J$18))+$D$19*(VLOOKUP($C24,Tracker!$A$46:$T$75,2023-$A$2,FALSE)-VLOOKUP(V$20,Tracker!$A$46:$T$75,2023-$A$2,FALSE))</f>
        <v>0.42056301579920313</v>
      </c>
      <c r="W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W$20,East_Snapshot[],5,FALSE),VLOOKUP(W$20,West_Snapshot[],5,FALSE))^$J$18+IFERROR(VLOOKUP(W$20,East_Snapshot[],8,FALSE),VLOOKUP(W$20,West_Snapshot[],8,FALSE))^$J$18))+$D$19*(VLOOKUP($C24,Tracker!$A$46:$T$75,2023-$A$2,FALSE)-VLOOKUP(W$20,Tracker!$A$46:$T$75,2023-$A$2,FALSE))</f>
        <v>0.53106928506238149</v>
      </c>
      <c r="X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X$20,East_Snapshot[],5,FALSE),VLOOKUP(X$20,West_Snapshot[],5,FALSE))^$J$18+IFERROR(VLOOKUP(X$20,East_Snapshot[],8,FALSE),VLOOKUP(X$20,West_Snapshot[],8,FALSE))^$J$18))+$D$19*(VLOOKUP($C24,Tracker!$A$46:$T$75,2023-$A$2,FALSE)-VLOOKUP(X$20,Tracker!$A$46:$T$75,2023-$A$2,FALSE))</f>
        <v>0.50305051400628464</v>
      </c>
      <c r="Y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Y$20,East_Snapshot[],5,FALSE),VLOOKUP(Y$20,West_Snapshot[],5,FALSE))^$J$18+IFERROR(VLOOKUP(Y$20,East_Snapshot[],8,FALSE),VLOOKUP(Y$20,West_Snapshot[],8,FALSE))^$J$18))+$D$19*(VLOOKUP($C24,Tracker!$A$46:$T$75,2023-$A$2,FALSE)-VLOOKUP(Y$20,Tracker!$A$46:$T$75,2023-$A$2,FALSE))</f>
        <v>0.3669687750444125</v>
      </c>
      <c r="Z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Z$20,East_Snapshot[],5,FALSE),VLOOKUP(Z$20,West_Snapshot[],5,FALSE))^$J$18+IFERROR(VLOOKUP(Z$20,East_Snapshot[],8,FALSE),VLOOKUP(Z$20,West_Snapshot[],8,FALSE))^$J$18))+$D$19*(VLOOKUP($C24,Tracker!$A$46:$T$75,2023-$A$2,FALSE)-VLOOKUP(Z$20,Tracker!$A$46:$T$75,2023-$A$2,FALSE))</f>
        <v>0.6497842802294943</v>
      </c>
      <c r="AA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A$20,East_Snapshot[],5,FALSE),VLOOKUP(AA$20,West_Snapshot[],5,FALSE))^$J$18+IFERROR(VLOOKUP(AA$20,East_Snapshot[],8,FALSE),VLOOKUP(AA$20,West_Snapshot[],8,FALSE))^$J$18))+$D$19*(VLOOKUP($C24,Tracker!$A$46:$T$75,2023-$A$2,FALSE)-VLOOKUP(AA$20,Tracker!$A$46:$T$75,2023-$A$2,FALSE))</f>
        <v>0.85025663043243516</v>
      </c>
      <c r="AB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B$20,East_Snapshot[],5,FALSE),VLOOKUP(AB$20,West_Snapshot[],5,FALSE))^$J$18+IFERROR(VLOOKUP(AB$20,East_Snapshot[],8,FALSE),VLOOKUP(AB$20,West_Snapshot[],8,FALSE))^$J$18))+$D$19*(VLOOKUP($C24,Tracker!$A$46:$T$75,2023-$A$2,FALSE)-VLOOKUP(AB$20,Tracker!$A$46:$T$75,2023-$A$2,FALSE))</f>
        <v>0.421118387035746</v>
      </c>
      <c r="AC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C$20,East_Snapshot[],5,FALSE),VLOOKUP(AC$20,West_Snapshot[],5,FALSE))^$J$18+IFERROR(VLOOKUP(AC$20,East_Snapshot[],8,FALSE),VLOOKUP(AC$20,West_Snapshot[],8,FALSE))^$J$18))+$D$19*(VLOOKUP($C24,Tracker!$A$46:$T$75,2023-$A$2,FALSE)-VLOOKUP(AC$20,Tracker!$A$46:$T$75,2023-$A$2,FALSE))</f>
        <v>0.38923092784343843</v>
      </c>
      <c r="AD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D$20,East_Snapshot[],5,FALSE),VLOOKUP(AD$20,West_Snapshot[],5,FALSE))^$J$18+IFERROR(VLOOKUP(AD$20,East_Snapshot[],8,FALSE),VLOOKUP(AD$20,West_Snapshot[],8,FALSE))^$J$18))+$D$19*(VLOOKUP($C24,Tracker!$A$46:$T$75,2023-$A$2,FALSE)-VLOOKUP(AD$20,Tracker!$A$46:$T$75,2023-$A$2,FALSE))</f>
        <v>0.53451952632122834</v>
      </c>
      <c r="AE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E$20,East_Snapshot[],5,FALSE),VLOOKUP(AE$20,West_Snapshot[],5,FALSE))^$J$18+IFERROR(VLOOKUP(AE$20,East_Snapshot[],8,FALSE),VLOOKUP(AE$20,West_Snapshot[],8,FALSE))^$J$18))+$D$19*(VLOOKUP($C24,Tracker!$A$46:$T$75,2023-$A$2,FALSE)-VLOOKUP(AE$20,Tracker!$A$46:$T$75,2023-$A$2,FALSE))</f>
        <v>0.35063874804169926</v>
      </c>
      <c r="AF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F$20,East_Snapshot[],5,FALSE),VLOOKUP(AF$20,West_Snapshot[],5,FALSE))^$J$18+IFERROR(VLOOKUP(AF$20,East_Snapshot[],8,FALSE),VLOOKUP(AF$20,West_Snapshot[],8,FALSE))^$J$18))+$D$19*(VLOOKUP($C24,Tracker!$A$46:$T$75,2023-$A$2,FALSE)-VLOOKUP(AF$20,Tracker!$A$46:$T$75,2023-$A$2,FALSE))</f>
        <v>0.42051013651988522</v>
      </c>
      <c r="AG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G$20,East_Snapshot[],5,FALSE),VLOOKUP(AG$20,West_Snapshot[],5,FALSE))^$J$18+IFERROR(VLOOKUP(AG$20,East_Snapshot[],8,FALSE),VLOOKUP(AG$20,West_Snapshot[],8,FALSE))^$J$18))+$D$19*(VLOOKUP($C24,Tracker!$A$46:$T$75,2023-$A$2,FALSE)-VLOOKUP(AG$20,Tracker!$A$46:$T$75,2023-$A$2,FALSE))</f>
        <v>0.68224261189838475</v>
      </c>
      <c r="AH24" s="4">
        <f>($H$18*IFERROR(VLOOKUP($C24,East_Snapshot[],5,FALSE),VLOOKUP($C24,West_Snapshot[],5,FALSE))^$J$18+IFERROR(VLOOKUP($C24,East_Snapshot[],8,FALSE),VLOOKUP($C24,West_Snapshot[],8,FALSE))^$J$18)/(($H$18*IFERROR(VLOOKUP($C24,East_Snapshot[],5,FALSE),VLOOKUP($C24,West_Snapshot[],5,FALSE))^$J$18+IFERROR(VLOOKUP($C24,East_Snapshot[],8,FALSE),VLOOKUP($C24,West_Snapshot[],8,FALSE))^$J$18)+($H$18*IFERROR(VLOOKUP(AH$20,East_Snapshot[],5,FALSE),VLOOKUP(AH$20,West_Snapshot[],5,FALSE))^$J$18+IFERROR(VLOOKUP(AH$20,East_Snapshot[],8,FALSE),VLOOKUP(AH$20,West_Snapshot[],8,FALSE))^$J$18))+$D$19*(VLOOKUP($C24,Tracker!$A$46:$T$75,2023-$A$2,FALSE)-VLOOKUP(AH$20,Tracker!$A$46:$T$75,2023-$A$2,FALSE))</f>
        <v>0.45884488615977115</v>
      </c>
    </row>
    <row r="25" spans="1:34" x14ac:dyDescent="0.25">
      <c r="C25" t="s">
        <v>144</v>
      </c>
      <c r="D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D$20,East_Snapshot[],5,FALSE),VLOOKUP(D$20,West_Snapshot[],5,FALSE))^$J$18+IFERROR(VLOOKUP(D$20,East_Snapshot[],8,FALSE),VLOOKUP(D$20,West_Snapshot[],8,FALSE))^$J$18))+$D$19*(VLOOKUP($C25,Tracker!$A$46:$T$75,2023-$A$2,FALSE)-VLOOKUP(D$20,Tracker!$A$46:$T$75,2023-$A$2,FALSE))</f>
        <v>0.55824950748776592</v>
      </c>
      <c r="E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E$20,East_Snapshot[],5,FALSE),VLOOKUP(E$20,West_Snapshot[],5,FALSE))^$J$18+IFERROR(VLOOKUP(E$20,East_Snapshot[],8,FALSE),VLOOKUP(E$20,West_Snapshot[],8,FALSE))^$J$18))+$D$19*(VLOOKUP($C25,Tracker!$A$46:$T$75,2023-$A$2,FALSE)-VLOOKUP(E$20,Tracker!$A$46:$T$75,2023-$A$2,FALSE))</f>
        <v>0.66978198754308405</v>
      </c>
      <c r="F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F$20,East_Snapshot[],5,FALSE),VLOOKUP(F$20,West_Snapshot[],5,FALSE))^$J$18+IFERROR(VLOOKUP(F$20,East_Snapshot[],8,FALSE),VLOOKUP(F$20,West_Snapshot[],8,FALSE))^$J$18))+$D$19*(VLOOKUP($C25,Tracker!$A$46:$T$75,2023-$A$2,FALSE)-VLOOKUP(F$20,Tracker!$A$46:$T$75,2023-$A$2,FALSE))</f>
        <v>0.57317082049679247</v>
      </c>
      <c r="G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G$20,East_Snapshot[],5,FALSE),VLOOKUP(G$20,West_Snapshot[],5,FALSE))^$J$18+IFERROR(VLOOKUP(G$20,East_Snapshot[],8,FALSE),VLOOKUP(G$20,West_Snapshot[],8,FALSE))^$J$18))+$D$19*(VLOOKUP($C25,Tracker!$A$46:$T$75,2023-$A$2,FALSE)-VLOOKUP(G$20,Tracker!$A$46:$T$75,2023-$A$2,FALSE))</f>
        <v>0.55567318223700712</v>
      </c>
      <c r="H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H$20,East_Snapshot[],5,FALSE),VLOOKUP(H$20,West_Snapshot[],5,FALSE))^$J$18+IFERROR(VLOOKUP(H$20,East_Snapshot[],8,FALSE),VLOOKUP(H$20,West_Snapshot[],8,FALSE))^$J$18))+$D$19*(VLOOKUP($C25,Tracker!$A$46:$T$75,2023-$A$2,FALSE)-VLOOKUP(H$20,Tracker!$A$46:$T$75,2023-$A$2,FALSE))</f>
        <v>0.5</v>
      </c>
      <c r="I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I$20,East_Snapshot[],5,FALSE),VLOOKUP(I$20,West_Snapshot[],5,FALSE))^$J$18+IFERROR(VLOOKUP(I$20,East_Snapshot[],8,FALSE),VLOOKUP(I$20,West_Snapshot[],8,FALSE))^$J$18))+$D$19*(VLOOKUP($C25,Tracker!$A$46:$T$75,2023-$A$2,FALSE)-VLOOKUP(I$20,Tracker!$A$46:$T$75,2023-$A$2,FALSE))</f>
        <v>0.63426522176307787</v>
      </c>
      <c r="J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J$20,East_Snapshot[],5,FALSE),VLOOKUP(J$20,West_Snapshot[],5,FALSE))^$J$18+IFERROR(VLOOKUP(J$20,East_Snapshot[],8,FALSE),VLOOKUP(J$20,West_Snapshot[],8,FALSE))^$J$18))+$D$19*(VLOOKUP($C25,Tracker!$A$46:$T$75,2023-$A$2,FALSE)-VLOOKUP(J$20,Tracker!$A$46:$T$75,2023-$A$2,FALSE))</f>
        <v>0.47897422525545746</v>
      </c>
      <c r="K25" s="4" t="e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K$20,East_Snapshot[],5,FALSE),VLOOKUP(K$20,West_Snapshot[],5,FALSE))^$J$18+IFERROR(VLOOKUP(K$20,East_Snapshot[],8,FALSE),VLOOKUP(K$20,West_Snapshot[],8,FALSE))^$J$18))+$D$19*(VLOOKUP($C25,Tracker!$A$46:$T$75,2023-$A$2,FALSE)-VLOOKUP(K$20,Tracker!$A$46:$T$75,2023-$A$2,FALSE))</f>
        <v>#N/A</v>
      </c>
      <c r="L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L$20,East_Snapshot[],5,FALSE),VLOOKUP(L$20,West_Snapshot[],5,FALSE))^$J$18+IFERROR(VLOOKUP(L$20,East_Snapshot[],8,FALSE),VLOOKUP(L$20,West_Snapshot[],8,FALSE))^$J$18))+$D$19*(VLOOKUP($C25,Tracker!$A$46:$T$75,2023-$A$2,FALSE)-VLOOKUP(L$20,Tracker!$A$46:$T$75,2023-$A$2,FALSE))</f>
        <v>0.58030475013260729</v>
      </c>
      <c r="M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M$20,East_Snapshot[],5,FALSE),VLOOKUP(M$20,West_Snapshot[],5,FALSE))^$J$18+IFERROR(VLOOKUP(M$20,East_Snapshot[],8,FALSE),VLOOKUP(M$20,West_Snapshot[],8,FALSE))^$J$18))+$D$19*(VLOOKUP($C25,Tracker!$A$46:$T$75,2023-$A$2,FALSE)-VLOOKUP(M$20,Tracker!$A$46:$T$75,2023-$A$2,FALSE))</f>
        <v>0.64245897260603224</v>
      </c>
      <c r="N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N$20,East_Snapshot[],5,FALSE),VLOOKUP(N$20,West_Snapshot[],5,FALSE))^$J$18+IFERROR(VLOOKUP(N$20,East_Snapshot[],8,FALSE),VLOOKUP(N$20,West_Snapshot[],8,FALSE))^$J$18))+$D$19*(VLOOKUP($C25,Tracker!$A$46:$T$75,2023-$A$2,FALSE)-VLOOKUP(N$20,Tracker!$A$46:$T$75,2023-$A$2,FALSE))</f>
        <v>0.44170991053256914</v>
      </c>
      <c r="O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O$20,East_Snapshot[],5,FALSE),VLOOKUP(O$20,West_Snapshot[],5,FALSE))^$J$18+IFERROR(VLOOKUP(O$20,East_Snapshot[],8,FALSE),VLOOKUP(O$20,West_Snapshot[],8,FALSE))^$J$18))+$D$19*(VLOOKUP($C25,Tracker!$A$46:$T$75,2023-$A$2,FALSE)-VLOOKUP(O$20,Tracker!$A$46:$T$75,2023-$A$2,FALSE))</f>
        <v>0.44448727717748321</v>
      </c>
      <c r="P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P$20,East_Snapshot[],5,FALSE),VLOOKUP(P$20,West_Snapshot[],5,FALSE))^$J$18+IFERROR(VLOOKUP(P$20,East_Snapshot[],8,FALSE),VLOOKUP(P$20,West_Snapshot[],8,FALSE))^$J$18))+$D$19*(VLOOKUP($C25,Tracker!$A$46:$T$75,2023-$A$2,FALSE)-VLOOKUP(P$20,Tracker!$A$46:$T$75,2023-$A$2,FALSE))</f>
        <v>0.4563725747852943</v>
      </c>
      <c r="Q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Q$20,East_Snapshot[],5,FALSE),VLOOKUP(Q$20,West_Snapshot[],5,FALSE))^$J$18+IFERROR(VLOOKUP(Q$20,East_Snapshot[],8,FALSE),VLOOKUP(Q$20,West_Snapshot[],8,FALSE))^$J$18))+$D$19*(VLOOKUP($C25,Tracker!$A$46:$T$75,2023-$A$2,FALSE)-VLOOKUP(Q$20,Tracker!$A$46:$T$75,2023-$A$2,FALSE))</f>
        <v>0.404078749017239</v>
      </c>
      <c r="R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R$20,East_Snapshot[],5,FALSE),VLOOKUP(R$20,West_Snapshot[],5,FALSE))^$J$18+IFERROR(VLOOKUP(R$20,East_Snapshot[],8,FALSE),VLOOKUP(R$20,West_Snapshot[],8,FALSE))^$J$18))+$D$19*(VLOOKUP($C25,Tracker!$A$46:$T$75,2023-$A$2,FALSE)-VLOOKUP(R$20,Tracker!$A$46:$T$75,2023-$A$2,FALSE))</f>
        <v>0.69239650449679679</v>
      </c>
      <c r="S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S$20,East_Snapshot[],5,FALSE),VLOOKUP(S$20,West_Snapshot[],5,FALSE))^$J$18+IFERROR(VLOOKUP(S$20,East_Snapshot[],8,FALSE),VLOOKUP(S$20,West_Snapshot[],8,FALSE))^$J$18))+$D$19*(VLOOKUP($C25,Tracker!$A$46:$T$75,2023-$A$2,FALSE)-VLOOKUP(S$20,Tracker!$A$46:$T$75,2023-$A$2,FALSE))</f>
        <v>0.49245086755082773</v>
      </c>
      <c r="T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T$20,East_Snapshot[],5,FALSE),VLOOKUP(T$20,West_Snapshot[],5,FALSE))^$J$18+IFERROR(VLOOKUP(T$20,East_Snapshot[],8,FALSE),VLOOKUP(T$20,West_Snapshot[],8,FALSE))^$J$18))+$D$19*(VLOOKUP($C25,Tracker!$A$46:$T$75,2023-$A$2,FALSE)-VLOOKUP(T$20,Tracker!$A$46:$T$75,2023-$A$2,FALSE))</f>
        <v>0.45047666610854387</v>
      </c>
      <c r="U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U$20,East_Snapshot[],5,FALSE),VLOOKUP(U$20,West_Snapshot[],5,FALSE))^$J$18+IFERROR(VLOOKUP(U$20,East_Snapshot[],8,FALSE),VLOOKUP(U$20,West_Snapshot[],8,FALSE))^$J$18))+$D$19*(VLOOKUP($C25,Tracker!$A$46:$T$75,2023-$A$2,FALSE)-VLOOKUP(U$20,Tracker!$A$46:$T$75,2023-$A$2,FALSE))</f>
        <v>0.79535224697475548</v>
      </c>
      <c r="V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V$20,East_Snapshot[],5,FALSE),VLOOKUP(V$20,West_Snapshot[],5,FALSE))^$J$18+IFERROR(VLOOKUP(V$20,East_Snapshot[],8,FALSE),VLOOKUP(V$20,West_Snapshot[],8,FALSE))^$J$18))+$D$19*(VLOOKUP($C25,Tracker!$A$46:$T$75,2023-$A$2,FALSE)-VLOOKUP(V$20,Tracker!$A$46:$T$75,2023-$A$2,FALSE))</f>
        <v>0.47593086585466921</v>
      </c>
      <c r="W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W$20,East_Snapshot[],5,FALSE),VLOOKUP(W$20,West_Snapshot[],5,FALSE))^$J$18+IFERROR(VLOOKUP(W$20,East_Snapshot[],8,FALSE),VLOOKUP(W$20,West_Snapshot[],8,FALSE))^$J$18))+$D$19*(VLOOKUP($C25,Tracker!$A$46:$T$75,2023-$A$2,FALSE)-VLOOKUP(W$20,Tracker!$A$46:$T$75,2023-$A$2,FALSE))</f>
        <v>0.5860964802625096</v>
      </c>
      <c r="X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X$20,East_Snapshot[],5,FALSE),VLOOKUP(X$20,West_Snapshot[],5,FALSE))^$J$18+IFERROR(VLOOKUP(X$20,East_Snapshot[],8,FALSE),VLOOKUP(X$20,West_Snapshot[],8,FALSE))^$J$18))+$D$19*(VLOOKUP($C25,Tracker!$A$46:$T$75,2023-$A$2,FALSE)-VLOOKUP(X$20,Tracker!$A$46:$T$75,2023-$A$2,FALSE))</f>
        <v>0.55858401823410786</v>
      </c>
      <c r="Y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Y$20,East_Snapshot[],5,FALSE),VLOOKUP(Y$20,West_Snapshot[],5,FALSE))^$J$18+IFERROR(VLOOKUP(Y$20,East_Snapshot[],8,FALSE),VLOOKUP(Y$20,West_Snapshot[],8,FALSE))^$J$18))+$D$19*(VLOOKUP($C25,Tracker!$A$46:$T$75,2023-$A$2,FALSE)-VLOOKUP(Y$20,Tracker!$A$46:$T$75,2023-$A$2,FALSE))</f>
        <v>0.42086320668188437</v>
      </c>
      <c r="Z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Z$20,East_Snapshot[],5,FALSE),VLOOKUP(Z$20,West_Snapshot[],5,FALSE))^$J$18+IFERROR(VLOOKUP(Z$20,East_Snapshot[],8,FALSE),VLOOKUP(Z$20,West_Snapshot[],8,FALSE))^$J$18))+$D$19*(VLOOKUP($C25,Tracker!$A$46:$T$75,2023-$A$2,FALSE)-VLOOKUP(Z$20,Tracker!$A$46:$T$75,2023-$A$2,FALSE))</f>
        <v>0.70025133015023744</v>
      </c>
      <c r="AA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A$20,East_Snapshot[],5,FALSE),VLOOKUP(AA$20,West_Snapshot[],5,FALSE))^$J$18+IFERROR(VLOOKUP(AA$20,East_Snapshot[],8,FALSE),VLOOKUP(AA$20,West_Snapshot[],8,FALSE))^$J$18))+$D$19*(VLOOKUP($C25,Tracker!$A$46:$T$75,2023-$A$2,FALSE)-VLOOKUP(AA$20,Tracker!$A$46:$T$75,2023-$A$2,FALSE))</f>
        <v>0.88211821389228462</v>
      </c>
      <c r="AB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B$20,East_Snapshot[],5,FALSE),VLOOKUP(AB$20,West_Snapshot[],5,FALSE))^$J$18+IFERROR(VLOOKUP(AB$20,East_Snapshot[],8,FALSE),VLOOKUP(AB$20,West_Snapshot[],8,FALSE))^$J$18))+$D$19*(VLOOKUP($C25,Tracker!$A$46:$T$75,2023-$A$2,FALSE)-VLOOKUP(AB$20,Tracker!$A$46:$T$75,2023-$A$2,FALSE))</f>
        <v>0.47649578828035843</v>
      </c>
      <c r="AC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C$20,East_Snapshot[],5,FALSE),VLOOKUP(AC$20,West_Snapshot[],5,FALSE))^$J$18+IFERROR(VLOOKUP(AC$20,East_Snapshot[],8,FALSE),VLOOKUP(AC$20,West_Snapshot[],8,FALSE))^$J$18))+$D$19*(VLOOKUP($C25,Tracker!$A$46:$T$75,2023-$A$2,FALSE)-VLOOKUP(AC$20,Tracker!$A$46:$T$75,2023-$A$2,FALSE))</f>
        <v>0.44414368165487095</v>
      </c>
      <c r="AD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D$20,East_Snapshot[],5,FALSE),VLOOKUP(AD$20,West_Snapshot[],5,FALSE))^$J$18+IFERROR(VLOOKUP(AD$20,East_Snapshot[],8,FALSE),VLOOKUP(AD$20,West_Snapshot[],8,FALSE))^$J$18))+$D$19*(VLOOKUP($C25,Tracker!$A$46:$T$75,2023-$A$2,FALSE)-VLOOKUP(AD$20,Tracker!$A$46:$T$75,2023-$A$2,FALSE))</f>
        <v>0.58946505404635519</v>
      </c>
      <c r="AE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E$20,East_Snapshot[],5,FALSE),VLOOKUP(AE$20,West_Snapshot[],5,FALSE))^$J$18+IFERROR(VLOOKUP(AE$20,East_Snapshot[],8,FALSE),VLOOKUP(AE$20,West_Snapshot[],8,FALSE))^$J$18))+$D$19*(VLOOKUP($C25,Tracker!$A$46:$T$75,2023-$A$2,FALSE)-VLOOKUP(AE$20,Tracker!$A$46:$T$75,2023-$A$2,FALSE))</f>
        <v>0.40386428740372937</v>
      </c>
      <c r="AF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F$20,East_Snapshot[],5,FALSE),VLOOKUP(AF$20,West_Snapshot[],5,FALSE))^$J$18+IFERROR(VLOOKUP(AF$20,East_Snapshot[],8,FALSE),VLOOKUP(AF$20,West_Snapshot[],8,FALSE))^$J$18))+$D$19*(VLOOKUP($C25,Tracker!$A$46:$T$75,2023-$A$2,FALSE)-VLOOKUP(AF$20,Tracker!$A$46:$T$75,2023-$A$2,FALSE))</f>
        <v>0.47587707111161981</v>
      </c>
      <c r="AG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G$20,East_Snapshot[],5,FALSE),VLOOKUP(AG$20,West_Snapshot[],5,FALSE))^$J$18+IFERROR(VLOOKUP(AG$20,East_Snapshot[],8,FALSE),VLOOKUP(AG$20,West_Snapshot[],8,FALSE))^$J$18))+$D$19*(VLOOKUP($C25,Tracker!$A$46:$T$75,2023-$A$2,FALSE)-VLOOKUP(AG$20,Tracker!$A$46:$T$75,2023-$A$2,FALSE))</f>
        <v>0.73057198230601328</v>
      </c>
      <c r="AH25" s="4">
        <f>($H$18*IFERROR(VLOOKUP($C25,East_Snapshot[],5,FALSE),VLOOKUP($C25,West_Snapshot[],5,FALSE))^$J$18+IFERROR(VLOOKUP($C25,East_Snapshot[],8,FALSE),VLOOKUP($C25,West_Snapshot[],8,FALSE))^$J$18)/(($H$18*IFERROR(VLOOKUP($C25,East_Snapshot[],5,FALSE),VLOOKUP($C25,West_Snapshot[],5,FALSE))^$J$18+IFERROR(VLOOKUP($C25,East_Snapshot[],8,FALSE),VLOOKUP($C25,West_Snapshot[],8,FALSE))^$J$18)+($H$18*IFERROR(VLOOKUP(AH$20,East_Snapshot[],5,FALSE),VLOOKUP(AH$20,West_Snapshot[],5,FALSE))^$J$18+IFERROR(VLOOKUP(AH$20,East_Snapshot[],8,FALSE),VLOOKUP(AH$20,West_Snapshot[],8,FALSE))^$J$18))+$D$19*(VLOOKUP($C25,Tracker!$A$46:$T$75,2023-$A$2,FALSE)-VLOOKUP(AH$20,Tracker!$A$46:$T$75,2023-$A$2,FALSE))</f>
        <v>0.51460117555422791</v>
      </c>
    </row>
    <row r="26" spans="1:34" x14ac:dyDescent="0.25">
      <c r="C26" t="s">
        <v>152</v>
      </c>
      <c r="D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D$20,East_Snapshot[],5,FALSE),VLOOKUP(D$20,West_Snapshot[],5,FALSE))^$J$18+IFERROR(VLOOKUP(D$20,East_Snapshot[],8,FALSE),VLOOKUP(D$20,West_Snapshot[],8,FALSE))^$J$18))+$D$19*(VLOOKUP($C26,Tracker!$A$46:$T$75,2023-$A$2,FALSE)-VLOOKUP(D$20,Tracker!$A$46:$T$75,2023-$A$2,FALSE))</f>
        <v>0.42211640797721622</v>
      </c>
      <c r="E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E$20,East_Snapshot[],5,FALSE),VLOOKUP(E$20,West_Snapshot[],5,FALSE))^$J$18+IFERROR(VLOOKUP(E$20,East_Snapshot[],8,FALSE),VLOOKUP(E$20,West_Snapshot[],8,FALSE))^$J$18))+$D$19*(VLOOKUP($C26,Tracker!$A$46:$T$75,2023-$A$2,FALSE)-VLOOKUP(E$20,Tracker!$A$46:$T$75,2023-$A$2,FALSE))</f>
        <v>0.53858091516784401</v>
      </c>
      <c r="F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F$20,East_Snapshot[],5,FALSE),VLOOKUP(F$20,West_Snapshot[],5,FALSE))^$J$18+IFERROR(VLOOKUP(F$20,East_Snapshot[],8,FALSE),VLOOKUP(F$20,West_Snapshot[],8,FALSE))^$J$18))+$D$19*(VLOOKUP($C26,Tracker!$A$46:$T$75,2023-$A$2,FALSE)-VLOOKUP(F$20,Tracker!$A$46:$T$75,2023-$A$2,FALSE))</f>
        <v>0.43692506181742702</v>
      </c>
      <c r="G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G$20,East_Snapshot[],5,FALSE),VLOOKUP(G$20,West_Snapshot[],5,FALSE))^$J$18+IFERROR(VLOOKUP(G$20,East_Snapshot[],8,FALSE),VLOOKUP(G$20,West_Snapshot[],8,FALSE))^$J$18))+$D$19*(VLOOKUP($C26,Tracker!$A$46:$T$75,2023-$A$2,FALSE)-VLOOKUP(G$20,Tracker!$A$46:$T$75,2023-$A$2,FALSE))</f>
        <v>0.41958228925928148</v>
      </c>
      <c r="H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H$20,East_Snapshot[],5,FALSE),VLOOKUP(H$20,West_Snapshot[],5,FALSE))^$J$18+IFERROR(VLOOKUP(H$20,East_Snapshot[],8,FALSE),VLOOKUP(H$20,West_Snapshot[],8,FALSE))^$J$18))+$D$19*(VLOOKUP($C26,Tracker!$A$46:$T$75,2023-$A$2,FALSE)-VLOOKUP(H$20,Tracker!$A$46:$T$75,2023-$A$2,FALSE))</f>
        <v>0.36573477823692202</v>
      </c>
      <c r="I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I$20,East_Snapshot[],5,FALSE),VLOOKUP(I$20,West_Snapshot[],5,FALSE))^$J$18+IFERROR(VLOOKUP(I$20,East_Snapshot[],8,FALSE),VLOOKUP(I$20,West_Snapshot[],8,FALSE))^$J$18))+$D$19*(VLOOKUP($C26,Tracker!$A$46:$T$75,2023-$A$2,FALSE)-VLOOKUP(I$20,Tracker!$A$46:$T$75,2023-$A$2,FALSE))</f>
        <v>0.5</v>
      </c>
      <c r="J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J$20,East_Snapshot[],5,FALSE),VLOOKUP(J$20,West_Snapshot[],5,FALSE))^$J$18+IFERROR(VLOOKUP(J$20,East_Snapshot[],8,FALSE),VLOOKUP(J$20,West_Snapshot[],8,FALSE))^$J$18))+$D$19*(VLOOKUP($C26,Tracker!$A$46:$T$75,2023-$A$2,FALSE)-VLOOKUP(J$20,Tracker!$A$46:$T$75,2023-$A$2,FALSE))</f>
        <v>0.34621174749554406</v>
      </c>
      <c r="K26" s="4" t="e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K$20,East_Snapshot[],5,FALSE),VLOOKUP(K$20,West_Snapshot[],5,FALSE))^$J$18+IFERROR(VLOOKUP(K$20,East_Snapshot[],8,FALSE),VLOOKUP(K$20,West_Snapshot[],8,FALSE))^$J$18))+$D$19*(VLOOKUP($C26,Tracker!$A$46:$T$75,2023-$A$2,FALSE)-VLOOKUP(K$20,Tracker!$A$46:$T$75,2023-$A$2,FALSE))</f>
        <v>#N/A</v>
      </c>
      <c r="L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L$20,East_Snapshot[],5,FALSE),VLOOKUP(L$20,West_Snapshot[],5,FALSE))^$J$18+IFERROR(VLOOKUP(L$20,East_Snapshot[],8,FALSE),VLOOKUP(L$20,West_Snapshot[],8,FALSE))^$J$18))+$D$19*(VLOOKUP($C26,Tracker!$A$46:$T$75,2023-$A$2,FALSE)-VLOOKUP(L$20,Tracker!$A$46:$T$75,2023-$A$2,FALSE))</f>
        <v>0.4440855566894446</v>
      </c>
      <c r="M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M$20,East_Snapshot[],5,FALSE),VLOOKUP(M$20,West_Snapshot[],5,FALSE))^$J$18+IFERROR(VLOOKUP(M$20,East_Snapshot[],8,FALSE),VLOOKUP(M$20,West_Snapshot[],8,FALSE))^$J$18))+$D$19*(VLOOKUP($C26,Tracker!$A$46:$T$75,2023-$A$2,FALSE)-VLOOKUP(M$20,Tracker!$A$46:$T$75,2023-$A$2,FALSE))</f>
        <v>0.50877125157665715</v>
      </c>
      <c r="N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N$20,East_Snapshot[],5,FALSE),VLOOKUP(N$20,West_Snapshot[],5,FALSE))^$J$18+IFERROR(VLOOKUP(N$20,East_Snapshot[],8,FALSE),VLOOKUP(N$20,West_Snapshot[],8,FALSE))^$J$18))+$D$19*(VLOOKUP($C26,Tracker!$A$46:$T$75,2023-$A$2,FALSE)-VLOOKUP(N$20,Tracker!$A$46:$T$75,2023-$A$2,FALSE))</f>
        <v>0.31258506019387111</v>
      </c>
      <c r="O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O$20,East_Snapshot[],5,FALSE),VLOOKUP(O$20,West_Snapshot[],5,FALSE))^$J$18+IFERROR(VLOOKUP(O$20,East_Snapshot[],8,FALSE),VLOOKUP(O$20,West_Snapshot[],8,FALSE))^$J$18))+$D$19*(VLOOKUP($C26,Tracker!$A$46:$T$75,2023-$A$2,FALSE)-VLOOKUP(O$20,Tracker!$A$46:$T$75,2023-$A$2,FALSE))</f>
        <v>0.31504950011618704</v>
      </c>
      <c r="P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P$20,East_Snapshot[],5,FALSE),VLOOKUP(P$20,West_Snapshot[],5,FALSE))^$J$18+IFERROR(VLOOKUP(P$20,East_Snapshot[],8,FALSE),VLOOKUP(P$20,West_Snapshot[],8,FALSE))^$J$18))+$D$19*(VLOOKUP($C26,Tracker!$A$46:$T$75,2023-$A$2,FALSE)-VLOOKUP(P$20,Tracker!$A$46:$T$75,2023-$A$2,FALSE))</f>
        <v>0.32567090932861897</v>
      </c>
      <c r="Q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Q$20,East_Snapshot[],5,FALSE),VLOOKUP(Q$20,West_Snapshot[],5,FALSE))^$J$18+IFERROR(VLOOKUP(Q$20,East_Snapshot[],8,FALSE),VLOOKUP(Q$20,West_Snapshot[],8,FALSE))^$J$18))+$D$19*(VLOOKUP($C26,Tracker!$A$46:$T$75,2023-$A$2,FALSE)-VLOOKUP(Q$20,Tracker!$A$46:$T$75,2023-$A$2,FALSE))</f>
        <v>0.2784225171833889</v>
      </c>
      <c r="R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R$20,East_Snapshot[],5,FALSE),VLOOKUP(R$20,West_Snapshot[],5,FALSE))^$J$18+IFERROR(VLOOKUP(R$20,East_Snapshot[],8,FALSE),VLOOKUP(R$20,West_Snapshot[],8,FALSE))^$J$18))+$D$19*(VLOOKUP($C26,Tracker!$A$46:$T$75,2023-$A$2,FALSE)-VLOOKUP(R$20,Tracker!$A$46:$T$75,2023-$A$2,FALSE))</f>
        <v>0.56392704747183808</v>
      </c>
      <c r="S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S$20,East_Snapshot[],5,FALSE),VLOOKUP(S$20,West_Snapshot[],5,FALSE))^$J$18+IFERROR(VLOOKUP(S$20,East_Snapshot[],8,FALSE),VLOOKUP(S$20,West_Snapshot[],8,FALSE))^$J$18))+$D$19*(VLOOKUP($C26,Tracker!$A$46:$T$75,2023-$A$2,FALSE)-VLOOKUP(S$20,Tracker!$A$46:$T$75,2023-$A$2,FALSE))</f>
        <v>0.35867841407962181</v>
      </c>
      <c r="T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T$20,East_Snapshot[],5,FALSE),VLOOKUP(T$20,West_Snapshot[],5,FALSE))^$J$18+IFERROR(VLOOKUP(T$20,East_Snapshot[],8,FALSE),VLOOKUP(T$20,West_Snapshot[],8,FALSE))^$J$18))+$D$19*(VLOOKUP($C26,Tracker!$A$46:$T$75,2023-$A$2,FALSE)-VLOOKUP(T$20,Tracker!$A$46:$T$75,2023-$A$2,FALSE))</f>
        <v>0.32038666523713488</v>
      </c>
      <c r="U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U$20,East_Snapshot[],5,FALSE),VLOOKUP(U$20,West_Snapshot[],5,FALSE))^$J$18+IFERROR(VLOOKUP(U$20,East_Snapshot[],8,FALSE),VLOOKUP(U$20,West_Snapshot[],8,FALSE))^$J$18))+$D$19*(VLOOKUP($C26,Tracker!$A$46:$T$75,2023-$A$2,FALSE)-VLOOKUP(U$20,Tracker!$A$46:$T$75,2023-$A$2,FALSE))</f>
        <v>0.68771155129404948</v>
      </c>
      <c r="V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V$20,East_Snapshot[],5,FALSE),VLOOKUP(V$20,West_Snapshot[],5,FALSE))^$J$18+IFERROR(VLOOKUP(V$20,East_Snapshot[],8,FALSE),VLOOKUP(V$20,West_Snapshot[],8,FALSE))^$J$18))+$D$19*(VLOOKUP($C26,Tracker!$A$46:$T$75,2023-$A$2,FALSE)-VLOOKUP(V$20,Tracker!$A$46:$T$75,2023-$A$2,FALSE))</f>
        <v>0.34341930984177493</v>
      </c>
      <c r="W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W$20,East_Snapshot[],5,FALSE),VLOOKUP(W$20,West_Snapshot[],5,FALSE))^$J$18+IFERROR(VLOOKUP(W$20,East_Snapshot[],8,FALSE),VLOOKUP(W$20,West_Snapshot[],8,FALSE))^$J$18))+$D$19*(VLOOKUP($C26,Tracker!$A$46:$T$75,2023-$A$2,FALSE)-VLOOKUP(W$20,Tracker!$A$46:$T$75,2023-$A$2,FALSE))</f>
        <v>0.45012479125103111</v>
      </c>
      <c r="X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X$20,East_Snapshot[],5,FALSE),VLOOKUP(X$20,West_Snapshot[],5,FALSE))^$J$18+IFERROR(VLOOKUP(X$20,East_Snapshot[],8,FALSE),VLOOKUP(X$20,West_Snapshot[],8,FALSE))^$J$18))+$D$19*(VLOOKUP($C26,Tracker!$A$46:$T$75,2023-$A$2,FALSE)-VLOOKUP(X$20,Tracker!$A$46:$T$75,2023-$A$2,FALSE))</f>
        <v>0.42234880559169868</v>
      </c>
      <c r="Y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Y$20,East_Snapshot[],5,FALSE),VLOOKUP(Y$20,West_Snapshot[],5,FALSE))^$J$18+IFERROR(VLOOKUP(Y$20,East_Snapshot[],8,FALSE),VLOOKUP(Y$20,West_Snapshot[],8,FALSE))^$J$18))+$D$19*(VLOOKUP($C26,Tracker!$A$46:$T$75,2023-$A$2,FALSE)-VLOOKUP(Y$20,Tracker!$A$46:$T$75,2023-$A$2,FALSE))</f>
        <v>0.29429615321218972</v>
      </c>
      <c r="Z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Z$20,East_Snapshot[],5,FALSE),VLOOKUP(Z$20,West_Snapshot[],5,FALSE))^$J$18+IFERROR(VLOOKUP(Z$20,East_Snapshot[],8,FALSE),VLOOKUP(Z$20,West_Snapshot[],8,FALSE))^$J$18))+$D$19*(VLOOKUP($C26,Tracker!$A$46:$T$75,2023-$A$2,FALSE)-VLOOKUP(Z$20,Tracker!$A$46:$T$75,2023-$A$2,FALSE))</f>
        <v>0.57287791761347018</v>
      </c>
      <c r="AA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A$20,East_Snapshot[],5,FALSE),VLOOKUP(AA$20,West_Snapshot[],5,FALSE))^$J$18+IFERROR(VLOOKUP(AA$20,East_Snapshot[],8,FALSE),VLOOKUP(AA$20,West_Snapshot[],8,FALSE))^$J$18))+$D$19*(VLOOKUP($C26,Tracker!$A$46:$T$75,2023-$A$2,FALSE)-VLOOKUP(AA$20,Tracker!$A$46:$T$75,2023-$A$2,FALSE))</f>
        <v>0.80410119400304625</v>
      </c>
      <c r="AB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B$20,East_Snapshot[],5,FALSE),VLOOKUP(AB$20,West_Snapshot[],5,FALSE))^$J$18+IFERROR(VLOOKUP(AB$20,East_Snapshot[],8,FALSE),VLOOKUP(AB$20,West_Snapshot[],8,FALSE))^$J$18))+$D$19*(VLOOKUP($C26,Tracker!$A$46:$T$75,2023-$A$2,FALSE)-VLOOKUP(AB$20,Tracker!$A$46:$T$75,2023-$A$2,FALSE))</f>
        <v>0.34393702382122632</v>
      </c>
      <c r="AC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C$20,East_Snapshot[],5,FALSE),VLOOKUP(AC$20,West_Snapshot[],5,FALSE))^$J$18+IFERROR(VLOOKUP(AC$20,East_Snapshot[],8,FALSE),VLOOKUP(AC$20,West_Snapshot[],8,FALSE))^$J$18))+$D$19*(VLOOKUP($C26,Tracker!$A$46:$T$75,2023-$A$2,FALSE)-VLOOKUP(AC$20,Tracker!$A$46:$T$75,2023-$A$2,FALSE))</f>
        <v>0.31366969022615176</v>
      </c>
      <c r="AD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D$20,East_Snapshot[],5,FALSE),VLOOKUP(AD$20,West_Snapshot[],5,FALSE))^$J$18+IFERROR(VLOOKUP(AD$20,East_Snapshot[],8,FALSE),VLOOKUP(AD$20,West_Snapshot[],8,FALSE))^$J$18))+$D$19*(VLOOKUP($C26,Tracker!$A$46:$T$75,2023-$A$2,FALSE)-VLOOKUP(AD$20,Tracker!$A$46:$T$75,2023-$A$2,FALSE))</f>
        <v>0.45358026185619921</v>
      </c>
      <c r="AE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E$20,East_Snapshot[],5,FALSE),VLOOKUP(AE$20,West_Snapshot[],5,FALSE))^$J$18+IFERROR(VLOOKUP(AE$20,East_Snapshot[],8,FALSE),VLOOKUP(AE$20,West_Snapshot[],8,FALSE))^$J$18))+$D$19*(VLOOKUP($C26,Tracker!$A$46:$T$75,2023-$A$2,FALSE)-VLOOKUP(AE$20,Tracker!$A$46:$T$75,2023-$A$2,FALSE))</f>
        <v>0.2796506719300792</v>
      </c>
      <c r="AF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F$20,East_Snapshot[],5,FALSE),VLOOKUP(AF$20,West_Snapshot[],5,FALSE))^$J$18+IFERROR(VLOOKUP(AF$20,East_Snapshot[],8,FALSE),VLOOKUP(AF$20,West_Snapshot[],8,FALSE))^$J$18))+$D$19*(VLOOKUP($C26,Tracker!$A$46:$T$75,2023-$A$2,FALSE)-VLOOKUP(AF$20,Tracker!$A$46:$T$75,2023-$A$2,FALSE))</f>
        <v>0.34337002550531798</v>
      </c>
      <c r="AG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G$20,East_Snapshot[],5,FALSE),VLOOKUP(AG$20,West_Snapshot[],5,FALSE))^$J$18+IFERROR(VLOOKUP(AG$20,East_Snapshot[],8,FALSE),VLOOKUP(AG$20,West_Snapshot[],8,FALSE))^$J$18))+$D$19*(VLOOKUP($C26,Tracker!$A$46:$T$75,2023-$A$2,FALSE)-VLOOKUP(AG$20,Tracker!$A$46:$T$75,2023-$A$2,FALSE))</f>
        <v>0.60816581194380925</v>
      </c>
      <c r="AH26" s="4">
        <f>($H$18*IFERROR(VLOOKUP($C26,East_Snapshot[],5,FALSE),VLOOKUP($C26,West_Snapshot[],5,FALSE))^$J$18+IFERROR(VLOOKUP($C26,East_Snapshot[],8,FALSE),VLOOKUP($C26,West_Snapshot[],8,FALSE))^$J$18)/(($H$18*IFERROR(VLOOKUP($C26,East_Snapshot[],5,FALSE),VLOOKUP($C26,West_Snapshot[],5,FALSE))^$J$18+IFERROR(VLOOKUP($C26,East_Snapshot[],8,FALSE),VLOOKUP($C26,West_Snapshot[],8,FALSE))^$J$18)+($H$18*IFERROR(VLOOKUP(AH$20,East_Snapshot[],5,FALSE),VLOOKUP(AH$20,West_Snapshot[],5,FALSE))^$J$18+IFERROR(VLOOKUP(AH$20,East_Snapshot[],8,FALSE),VLOOKUP(AH$20,West_Snapshot[],8,FALSE))^$J$18))+$D$19*(VLOOKUP($C26,Tracker!$A$46:$T$75,2023-$A$2,FALSE)-VLOOKUP(AH$20,Tracker!$A$46:$T$75,2023-$A$2,FALSE))</f>
        <v>0.37953422931970315</v>
      </c>
    </row>
    <row r="27" spans="1:34" x14ac:dyDescent="0.25">
      <c r="C27" t="s">
        <v>159</v>
      </c>
      <c r="D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D$20,East_Snapshot[],5,FALSE),VLOOKUP(D$20,West_Snapshot[],5,FALSE))^$J$18+IFERROR(VLOOKUP(D$20,East_Snapshot[],8,FALSE),VLOOKUP(D$20,West_Snapshot[],8,FALSE))^$J$18))+$D$19*(VLOOKUP($C27,Tracker!$A$46:$T$75,2023-$A$2,FALSE)-VLOOKUP(D$20,Tracker!$A$46:$T$75,2023-$A$2,FALSE))</f>
        <v>0.57899530390458098</v>
      </c>
      <c r="E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E$20,East_Snapshot[],5,FALSE),VLOOKUP(E$20,West_Snapshot[],5,FALSE))^$J$18+IFERROR(VLOOKUP(E$20,East_Snapshot[],8,FALSE),VLOOKUP(E$20,West_Snapshot[],8,FALSE))^$J$18))+$D$19*(VLOOKUP($C27,Tracker!$A$46:$T$75,2023-$A$2,FALSE)-VLOOKUP(E$20,Tracker!$A$46:$T$75,2023-$A$2,FALSE))</f>
        <v>0.68841025665713718</v>
      </c>
      <c r="F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F$20,East_Snapshot[],5,FALSE),VLOOKUP(F$20,West_Snapshot[],5,FALSE))^$J$18+IFERROR(VLOOKUP(F$20,East_Snapshot[],8,FALSE),VLOOKUP(F$20,West_Snapshot[],8,FALSE))^$J$18))+$D$19*(VLOOKUP($C27,Tracker!$A$46:$T$75,2023-$A$2,FALSE)-VLOOKUP(F$20,Tracker!$A$46:$T$75,2023-$A$2,FALSE))</f>
        <v>0.59375163438493883</v>
      </c>
      <c r="G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G$20,East_Snapshot[],5,FALSE),VLOOKUP(G$20,West_Snapshot[],5,FALSE))^$J$18+IFERROR(VLOOKUP(G$20,East_Snapshot[],8,FALSE),VLOOKUP(G$20,West_Snapshot[],8,FALSE))^$J$18))+$D$19*(VLOOKUP($C27,Tracker!$A$46:$T$75,2023-$A$2,FALSE)-VLOOKUP(G$20,Tracker!$A$46:$T$75,2023-$A$2,FALSE))</f>
        <v>0.57644372959552703</v>
      </c>
      <c r="H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H$20,East_Snapshot[],5,FALSE),VLOOKUP(H$20,West_Snapshot[],5,FALSE))^$J$18+IFERROR(VLOOKUP(H$20,East_Snapshot[],8,FALSE),VLOOKUP(H$20,West_Snapshot[],8,FALSE))^$J$18))+$D$19*(VLOOKUP($C27,Tracker!$A$46:$T$75,2023-$A$2,FALSE)-VLOOKUP(H$20,Tracker!$A$46:$T$75,2023-$A$2,FALSE))</f>
        <v>0.52102577474454248</v>
      </c>
      <c r="I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I$20,East_Snapshot[],5,FALSE),VLOOKUP(I$20,West_Snapshot[],5,FALSE))^$J$18+IFERROR(VLOOKUP(I$20,East_Snapshot[],8,FALSE),VLOOKUP(I$20,West_Snapshot[],8,FALSE))^$J$18))+$D$19*(VLOOKUP($C27,Tracker!$A$46:$T$75,2023-$A$2,FALSE)-VLOOKUP(I$20,Tracker!$A$46:$T$75,2023-$A$2,FALSE))</f>
        <v>0.65378825250445594</v>
      </c>
      <c r="J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J$20,East_Snapshot[],5,FALSE),VLOOKUP(J$20,West_Snapshot[],5,FALSE))^$J$18+IFERROR(VLOOKUP(J$20,East_Snapshot[],8,FALSE),VLOOKUP(J$20,West_Snapshot[],8,FALSE))^$J$18))+$D$19*(VLOOKUP($C27,Tracker!$A$46:$T$75,2023-$A$2,FALSE)-VLOOKUP(J$20,Tracker!$A$46:$T$75,2023-$A$2,FALSE))</f>
        <v>0.5</v>
      </c>
      <c r="K27" s="4" t="e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K$20,East_Snapshot[],5,FALSE),VLOOKUP(K$20,West_Snapshot[],5,FALSE))^$J$18+IFERROR(VLOOKUP(K$20,East_Snapshot[],8,FALSE),VLOOKUP(K$20,West_Snapshot[],8,FALSE))^$J$18))+$D$19*(VLOOKUP($C27,Tracker!$A$46:$T$75,2023-$A$2,FALSE)-VLOOKUP(K$20,Tracker!$A$46:$T$75,2023-$A$2,FALSE))</f>
        <v>#N/A</v>
      </c>
      <c r="L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L$20,East_Snapshot[],5,FALSE),VLOOKUP(L$20,West_Snapshot[],5,FALSE))^$J$18+IFERROR(VLOOKUP(L$20,East_Snapshot[],8,FALSE),VLOOKUP(L$20,West_Snapshot[],8,FALSE))^$J$18))+$D$19*(VLOOKUP($C27,Tracker!$A$46:$T$75,2023-$A$2,FALSE)-VLOOKUP(L$20,Tracker!$A$46:$T$75,2023-$A$2,FALSE))</f>
        <v>0.6007936757313842</v>
      </c>
      <c r="M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M$20,East_Snapshot[],5,FALSE),VLOOKUP(M$20,West_Snapshot[],5,FALSE))^$J$18+IFERROR(VLOOKUP(M$20,East_Snapshot[],8,FALSE),VLOOKUP(M$20,West_Snapshot[],8,FALSE))^$J$18))+$D$19*(VLOOKUP($C27,Tracker!$A$46:$T$75,2023-$A$2,FALSE)-VLOOKUP(M$20,Tracker!$A$46:$T$75,2023-$A$2,FALSE))</f>
        <v>0.66179373327253999</v>
      </c>
      <c r="N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N$20,East_Snapshot[],5,FALSE),VLOOKUP(N$20,West_Snapshot[],5,FALSE))^$J$18+IFERROR(VLOOKUP(N$20,East_Snapshot[],8,FALSE),VLOOKUP(N$20,West_Snapshot[],8,FALSE))^$J$18))+$D$19*(VLOOKUP($C27,Tracker!$A$46:$T$75,2023-$A$2,FALSE)-VLOOKUP(N$20,Tracker!$A$46:$T$75,2023-$A$2,FALSE))</f>
        <v>0.46255210155493759</v>
      </c>
      <c r="O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O$20,East_Snapshot[],5,FALSE),VLOOKUP(O$20,West_Snapshot[],5,FALSE))^$J$18+IFERROR(VLOOKUP(O$20,East_Snapshot[],8,FALSE),VLOOKUP(O$20,West_Snapshot[],8,FALSE))^$J$18))+$D$19*(VLOOKUP($C27,Tracker!$A$46:$T$75,2023-$A$2,FALSE)-VLOOKUP(O$20,Tracker!$A$46:$T$75,2023-$A$2,FALSE))</f>
        <v>0.4653512842744707</v>
      </c>
      <c r="P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P$20,East_Snapshot[],5,FALSE),VLOOKUP(P$20,West_Snapshot[],5,FALSE))^$J$18+IFERROR(VLOOKUP(P$20,East_Snapshot[],8,FALSE),VLOOKUP(P$20,West_Snapshot[],8,FALSE))^$J$18))+$D$19*(VLOOKUP($C27,Tracker!$A$46:$T$75,2023-$A$2,FALSE)-VLOOKUP(P$20,Tracker!$A$46:$T$75,2023-$A$2,FALSE))</f>
        <v>0.47731511410884547</v>
      </c>
      <c r="Q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Q$20,East_Snapshot[],5,FALSE),VLOOKUP(Q$20,West_Snapshot[],5,FALSE))^$J$18+IFERROR(VLOOKUP(Q$20,East_Snapshot[],8,FALSE),VLOOKUP(Q$20,West_Snapshot[],8,FALSE))^$J$18))+$D$19*(VLOOKUP($C27,Tracker!$A$46:$T$75,2023-$A$2,FALSE)-VLOOKUP(Q$20,Tracker!$A$46:$T$75,2023-$A$2,FALSE))</f>
        <v>0.42463215983325386</v>
      </c>
      <c r="R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R$20,East_Snapshot[],5,FALSE),VLOOKUP(R$20,West_Snapshot[],5,FALSE))^$J$18+IFERROR(VLOOKUP(R$20,East_Snapshot[],8,FALSE),VLOOKUP(R$20,West_Snapshot[],8,FALSE))^$J$18))+$D$19*(VLOOKUP($C27,Tracker!$A$46:$T$75,2023-$A$2,FALSE)-VLOOKUP(R$20,Tracker!$A$46:$T$75,2023-$A$2,FALSE))</f>
        <v>0.71034890474946633</v>
      </c>
      <c r="S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S$20,East_Snapshot[],5,FALSE),VLOOKUP(S$20,West_Snapshot[],5,FALSE))^$J$18+IFERROR(VLOOKUP(S$20,East_Snapshot[],8,FALSE),VLOOKUP(S$20,West_Snapshot[],8,FALSE))^$J$18))+$D$19*(VLOOKUP($C27,Tracker!$A$46:$T$75,2023-$A$2,FALSE)-VLOOKUP(S$20,Tracker!$A$46:$T$75,2023-$A$2,FALSE))</f>
        <v>0.51348520412474197</v>
      </c>
      <c r="T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T$20,East_Snapshot[],5,FALSE),VLOOKUP(T$20,West_Snapshot[],5,FALSE))^$J$18+IFERROR(VLOOKUP(T$20,East_Snapshot[],8,FALSE),VLOOKUP(T$20,West_Snapshot[],8,FALSE))^$J$18))+$D$19*(VLOOKUP($C27,Tracker!$A$46:$T$75,2023-$A$2,FALSE)-VLOOKUP(T$20,Tracker!$A$46:$T$75,2023-$A$2,FALSE))</f>
        <v>0.47138325020572291</v>
      </c>
      <c r="U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U$20,East_Snapshot[],5,FALSE),VLOOKUP(U$20,West_Snapshot[],5,FALSE))^$J$18+IFERROR(VLOOKUP(U$20,East_Snapshot[],8,FALSE),VLOOKUP(U$20,West_Snapshot[],8,FALSE))^$J$18))+$D$19*(VLOOKUP($C27,Tracker!$A$46:$T$75,2023-$A$2,FALSE)-VLOOKUP(U$20,Tracker!$A$46:$T$75,2023-$A$2,FALSE))</f>
        <v>0.80919757660373348</v>
      </c>
      <c r="V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V$20,East_Snapshot[],5,FALSE),VLOOKUP(V$20,West_Snapshot[],5,FALSE))^$J$18+IFERROR(VLOOKUP(V$20,East_Snapshot[],8,FALSE),VLOOKUP(V$20,West_Snapshot[],8,FALSE))^$J$18))+$D$19*(VLOOKUP($C27,Tracker!$A$46:$T$75,2023-$A$2,FALSE)-VLOOKUP(V$20,Tracker!$A$46:$T$75,2023-$A$2,FALSE))</f>
        <v>0.4969504674647427</v>
      </c>
      <c r="W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W$20,East_Snapshot[],5,FALSE),VLOOKUP(W$20,West_Snapshot[],5,FALSE))^$J$18+IFERROR(VLOOKUP(W$20,East_Snapshot[],8,FALSE),VLOOKUP(W$20,West_Snapshot[],8,FALSE))^$J$18))+$D$19*(VLOOKUP($C27,Tracker!$A$46:$T$75,2023-$A$2,FALSE)-VLOOKUP(W$20,Tracker!$A$46:$T$75,2023-$A$2,FALSE))</f>
        <v>0.60635216105071887</v>
      </c>
      <c r="X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X$20,East_Snapshot[],5,FALSE),VLOOKUP(X$20,West_Snapshot[],5,FALSE))^$J$18+IFERROR(VLOOKUP(X$20,East_Snapshot[],8,FALSE),VLOOKUP(X$20,West_Snapshot[],8,FALSE))^$J$18))+$D$19*(VLOOKUP($C27,Tracker!$A$46:$T$75,2023-$A$2,FALSE)-VLOOKUP(X$20,Tracker!$A$46:$T$75,2023-$A$2,FALSE))</f>
        <v>0.57921947092277648</v>
      </c>
      <c r="Y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Y$20,East_Snapshot[],5,FALSE),VLOOKUP(Y$20,West_Snapshot[],5,FALSE))^$J$18+IFERROR(VLOOKUP(Y$20,East_Snapshot[],8,FALSE),VLOOKUP(Y$20,West_Snapshot[],8,FALSE))^$J$18))+$D$19*(VLOOKUP($C27,Tracker!$A$46:$T$75,2023-$A$2,FALSE)-VLOOKUP(Y$20,Tracker!$A$46:$T$75,2023-$A$2,FALSE))</f>
        <v>0.44149962342071408</v>
      </c>
      <c r="Z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Z$20,East_Snapshot[],5,FALSE),VLOOKUP(Z$20,West_Snapshot[],5,FALSE))^$J$18+IFERROR(VLOOKUP(Z$20,East_Snapshot[],8,FALSE),VLOOKUP(Z$20,West_Snapshot[],8,FALSE))^$J$18))+$D$19*(VLOOKUP($C27,Tracker!$A$46:$T$75,2023-$A$2,FALSE)-VLOOKUP(Z$20,Tracker!$A$46:$T$75,2023-$A$2,FALSE))</f>
        <v>0.71794975770630387</v>
      </c>
      <c r="AA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A$20,East_Snapshot[],5,FALSE),VLOOKUP(AA$20,West_Snapshot[],5,FALSE))^$J$18+IFERROR(VLOOKUP(AA$20,East_Snapshot[],8,FALSE),VLOOKUP(AA$20,West_Snapshot[],8,FALSE))^$J$18))+$D$19*(VLOOKUP($C27,Tracker!$A$46:$T$75,2023-$A$2,FALSE)-VLOOKUP(AA$20,Tracker!$A$46:$T$75,2023-$A$2,FALSE))</f>
        <v>0.89121342096601264</v>
      </c>
      <c r="AB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B$20,East_Snapshot[],5,FALSE),VLOOKUP(AB$20,West_Snapshot[],5,FALSE))^$J$18+IFERROR(VLOOKUP(AB$20,East_Snapshot[],8,FALSE),VLOOKUP(AB$20,West_Snapshot[],8,FALSE))^$J$18))+$D$19*(VLOOKUP($C27,Tracker!$A$46:$T$75,2023-$A$2,FALSE)-VLOOKUP(AB$20,Tracker!$A$46:$T$75,2023-$A$2,FALSE))</f>
        <v>0.49751665400354117</v>
      </c>
      <c r="AC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C$20,East_Snapshot[],5,FALSE),VLOOKUP(AC$20,West_Snapshot[],5,FALSE))^$J$18+IFERROR(VLOOKUP(AC$20,East_Snapshot[],8,FALSE),VLOOKUP(AC$20,West_Snapshot[],8,FALSE))^$J$18))+$D$19*(VLOOKUP($C27,Tracker!$A$46:$T$75,2023-$A$2,FALSE)-VLOOKUP(AC$20,Tracker!$A$46:$T$75,2023-$A$2,FALSE))</f>
        <v>0.4650733227180821</v>
      </c>
      <c r="AD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D$20,East_Snapshot[],5,FALSE),VLOOKUP(AD$20,West_Snapshot[],5,FALSE))^$J$18+IFERROR(VLOOKUP(AD$20,East_Snapshot[],8,FALSE),VLOOKUP(AD$20,West_Snapshot[],8,FALSE))^$J$18))+$D$19*(VLOOKUP($C27,Tracker!$A$46:$T$75,2023-$A$2,FALSE)-VLOOKUP(AD$20,Tracker!$A$46:$T$75,2023-$A$2,FALSE))</f>
        <v>0.60966567265372595</v>
      </c>
      <c r="AE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E$20,East_Snapshot[],5,FALSE),VLOOKUP(AE$20,West_Snapshot[],5,FALSE))^$J$18+IFERROR(VLOOKUP(AE$20,East_Snapshot[],8,FALSE),VLOOKUP(AE$20,West_Snapshot[],8,FALSE))^$J$18))+$D$19*(VLOOKUP($C27,Tracker!$A$46:$T$75,2023-$A$2,FALSE)-VLOOKUP(AE$20,Tracker!$A$46:$T$75,2023-$A$2,FALSE))</f>
        <v>0.42427782478542486</v>
      </c>
      <c r="AF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F$20,East_Snapshot[],5,FALSE),VLOOKUP(AF$20,West_Snapshot[],5,FALSE))^$J$18+IFERROR(VLOOKUP(AF$20,East_Snapshot[],8,FALSE),VLOOKUP(AF$20,West_Snapshot[],8,FALSE))^$J$18))+$D$19*(VLOOKUP($C27,Tracker!$A$46:$T$75,2023-$A$2,FALSE)-VLOOKUP(AF$20,Tracker!$A$46:$T$75,2023-$A$2,FALSE))</f>
        <v>0.4968965495352789</v>
      </c>
      <c r="AG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G$20,East_Snapshot[],5,FALSE),VLOOKUP(AG$20,West_Snapshot[],5,FALSE))^$J$18+IFERROR(VLOOKUP(AG$20,East_Snapshot[],8,FALSE),VLOOKUP(AG$20,West_Snapshot[],8,FALSE))^$J$18))+$D$19*(VLOOKUP($C27,Tracker!$A$46:$T$75,2023-$A$2,FALSE)-VLOOKUP(AG$20,Tracker!$A$46:$T$75,2023-$A$2,FALSE))</f>
        <v>0.74719755565704249</v>
      </c>
      <c r="AH27" s="4">
        <f>($H$18*IFERROR(VLOOKUP($C27,East_Snapshot[],5,FALSE),VLOOKUP($C27,West_Snapshot[],5,FALSE))^$J$18+IFERROR(VLOOKUP($C27,East_Snapshot[],8,FALSE),VLOOKUP($C27,West_Snapshot[],8,FALSE))^$J$18)/(($H$18*IFERROR(VLOOKUP($C27,East_Snapshot[],5,FALSE),VLOOKUP($C27,West_Snapshot[],5,FALSE))^$J$18+IFERROR(VLOOKUP($C27,East_Snapshot[],8,FALSE),VLOOKUP($C27,West_Snapshot[],8,FALSE))^$J$18)+($H$18*IFERROR(VLOOKUP(AH$20,East_Snapshot[],5,FALSE),VLOOKUP(AH$20,West_Snapshot[],5,FALSE))^$J$18+IFERROR(VLOOKUP(AH$20,East_Snapshot[],8,FALSE),VLOOKUP(AH$20,West_Snapshot[],8,FALSE))^$J$18))+$D$19*(VLOOKUP($C27,Tracker!$A$46:$T$75,2023-$A$2,FALSE)-VLOOKUP(AH$20,Tracker!$A$46:$T$75,2023-$A$2,FALSE))</f>
        <v>0.53558325391661277</v>
      </c>
    </row>
    <row r="28" spans="1:34" x14ac:dyDescent="0.25">
      <c r="C28" t="s">
        <v>155</v>
      </c>
      <c r="D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D$20,East_Snapshot[],5,FALSE),VLOOKUP(D$20,West_Snapshot[],5,FALSE))^$J$18+IFERROR(VLOOKUP(D$20,East_Snapshot[],8,FALSE),VLOOKUP(D$20,West_Snapshot[],8,FALSE))^$J$18))+$D$19*(VLOOKUP($C28,Tracker!$A$46:$T$75,2023-$A$2,FALSE)-VLOOKUP(D$20,Tracker!$A$46:$T$75,2023-$A$2,FALSE))</f>
        <v>0.47764138043974397</v>
      </c>
      <c r="E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E$20,East_Snapshot[],5,FALSE),VLOOKUP(E$20,West_Snapshot[],5,FALSE))^$J$18+IFERROR(VLOOKUP(E$20,East_Snapshot[],8,FALSE),VLOOKUP(E$20,West_Snapshot[],8,FALSE))^$J$18))+$D$19*(VLOOKUP($C28,Tracker!$A$46:$T$75,2023-$A$2,FALSE)-VLOOKUP(E$20,Tracker!$A$46:$T$75,2023-$A$2,FALSE))</f>
        <v>0.59368694120999488</v>
      </c>
      <c r="F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F$20,East_Snapshot[],5,FALSE),VLOOKUP(F$20,West_Snapshot[],5,FALSE))^$J$18+IFERROR(VLOOKUP(F$20,East_Snapshot[],8,FALSE),VLOOKUP(F$20,West_Snapshot[],8,FALSE))^$J$18))+$D$19*(VLOOKUP($C28,Tracker!$A$46:$T$75,2023-$A$2,FALSE)-VLOOKUP(F$20,Tracker!$A$46:$T$75,2023-$A$2,FALSE))</f>
        <v>0.49273704516999728</v>
      </c>
      <c r="G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G$20,East_Snapshot[],5,FALSE),VLOOKUP(G$20,West_Snapshot[],5,FALSE))^$J$18+IFERROR(VLOOKUP(G$20,East_Snapshot[],8,FALSE),VLOOKUP(G$20,West_Snapshot[],8,FALSE))^$J$18))+$D$19*(VLOOKUP($C28,Tracker!$A$46:$T$75,2023-$A$2,FALSE)-VLOOKUP(G$20,Tracker!$A$46:$T$75,2023-$A$2,FALSE))</f>
        <v>0.47504794373523196</v>
      </c>
      <c r="H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H$20,East_Snapshot[],5,FALSE),VLOOKUP(H$20,West_Snapshot[],5,FALSE))^$J$18+IFERROR(VLOOKUP(H$20,East_Snapshot[],8,FALSE),VLOOKUP(H$20,West_Snapshot[],8,FALSE))^$J$18))+$D$19*(VLOOKUP($C28,Tracker!$A$46:$T$75,2023-$A$2,FALSE)-VLOOKUP(H$20,Tracker!$A$46:$T$75,2023-$A$2,FALSE))</f>
        <v>0.41969524986739265</v>
      </c>
      <c r="I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I$20,East_Snapshot[],5,FALSE),VLOOKUP(I$20,West_Snapshot[],5,FALSE))^$J$18+IFERROR(VLOOKUP(I$20,East_Snapshot[],8,FALSE),VLOOKUP(I$20,West_Snapshot[],8,FALSE))^$J$18))+$D$19*(VLOOKUP($C28,Tracker!$A$46:$T$75,2023-$A$2,FALSE)-VLOOKUP(I$20,Tracker!$A$46:$T$75,2023-$A$2,FALSE))</f>
        <v>0.5559144433105554</v>
      </c>
      <c r="J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J$20,East_Snapshot[],5,FALSE),VLOOKUP(J$20,West_Snapshot[],5,FALSE))^$J$18+IFERROR(VLOOKUP(J$20,East_Snapshot[],8,FALSE),VLOOKUP(J$20,West_Snapshot[],8,FALSE))^$J$18))+$D$19*(VLOOKUP($C28,Tracker!$A$46:$T$75,2023-$A$2,FALSE)-VLOOKUP(J$20,Tracker!$A$46:$T$75,2023-$A$2,FALSE))</f>
        <v>0.39920632426861585</v>
      </c>
      <c r="K28" s="4" t="e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K$20,East_Snapshot[],5,FALSE),VLOOKUP(K$20,West_Snapshot[],5,FALSE))^$J$18+IFERROR(VLOOKUP(K$20,East_Snapshot[],8,FALSE),VLOOKUP(K$20,West_Snapshot[],8,FALSE))^$J$18))+$D$19*(VLOOKUP($C28,Tracker!$A$46:$T$75,2023-$A$2,FALSE)-VLOOKUP(K$20,Tracker!$A$46:$T$75,2023-$A$2,FALSE))</f>
        <v>#N/A</v>
      </c>
      <c r="L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L$20,East_Snapshot[],5,FALSE),VLOOKUP(L$20,West_Snapshot[],5,FALSE))^$J$18+IFERROR(VLOOKUP(L$20,East_Snapshot[],8,FALSE),VLOOKUP(L$20,West_Snapshot[],8,FALSE))^$J$18))+$D$19*(VLOOKUP($C28,Tracker!$A$46:$T$75,2023-$A$2,FALSE)-VLOOKUP(L$20,Tracker!$A$46:$T$75,2023-$A$2,FALSE))</f>
        <v>0.5</v>
      </c>
      <c r="M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M$20,East_Snapshot[],5,FALSE),VLOOKUP(M$20,West_Snapshot[],5,FALSE))^$J$18+IFERROR(VLOOKUP(M$20,East_Snapshot[],8,FALSE),VLOOKUP(M$20,West_Snapshot[],8,FALSE))^$J$18))+$D$19*(VLOOKUP($C28,Tracker!$A$46:$T$75,2023-$A$2,FALSE)-VLOOKUP(M$20,Tracker!$A$46:$T$75,2023-$A$2,FALSE))</f>
        <v>0.56455904562449732</v>
      </c>
      <c r="N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N$20,East_Snapshot[],5,FALSE),VLOOKUP(N$20,West_Snapshot[],5,FALSE))^$J$18+IFERROR(VLOOKUP(N$20,East_Snapshot[],8,FALSE),VLOOKUP(N$20,West_Snapshot[],8,FALSE))^$J$18))+$D$19*(VLOOKUP($C28,Tracker!$A$46:$T$75,2023-$A$2,FALSE)-VLOOKUP(N$20,Tracker!$A$46:$T$75,2023-$A$2,FALSE))</f>
        <v>0.36347912607978022</v>
      </c>
      <c r="O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O$20,East_Snapshot[],5,FALSE),VLOOKUP(O$20,West_Snapshot[],5,FALSE))^$J$18+IFERROR(VLOOKUP(O$20,East_Snapshot[],8,FALSE),VLOOKUP(O$20,West_Snapshot[],8,FALSE))^$J$18))+$D$19*(VLOOKUP($C28,Tracker!$A$46:$T$75,2023-$A$2,FALSE)-VLOOKUP(O$20,Tracker!$A$46:$T$75,2023-$A$2,FALSE))</f>
        <v>0.36611650113968597</v>
      </c>
      <c r="P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P$20,East_Snapshot[],5,FALSE),VLOOKUP(P$20,West_Snapshot[],5,FALSE))^$J$18+IFERROR(VLOOKUP(P$20,East_Snapshot[],8,FALSE),VLOOKUP(P$20,West_Snapshot[],8,FALSE))^$J$18))+$D$19*(VLOOKUP($C28,Tracker!$A$46:$T$75,2023-$A$2,FALSE)-VLOOKUP(P$20,Tracker!$A$46:$T$75,2023-$A$2,FALSE))</f>
        <v>0.37744870088725824</v>
      </c>
      <c r="Q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Q$20,East_Snapshot[],5,FALSE),VLOOKUP(Q$20,West_Snapshot[],5,FALSE))^$J$18+IFERROR(VLOOKUP(Q$20,East_Snapshot[],8,FALSE),VLOOKUP(Q$20,West_Snapshot[],8,FALSE))^$J$18))+$D$19*(VLOOKUP($C28,Tracker!$A$46:$T$75,2023-$A$2,FALSE)-VLOOKUP(Q$20,Tracker!$A$46:$T$75,2023-$A$2,FALSE))</f>
        <v>0.32745978066163783</v>
      </c>
      <c r="R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R$20,East_Snapshot[],5,FALSE),VLOOKUP(R$20,West_Snapshot[],5,FALSE))^$J$18+IFERROR(VLOOKUP(R$20,East_Snapshot[],8,FALSE),VLOOKUP(R$20,West_Snapshot[],8,FALSE))^$J$18))+$D$19*(VLOOKUP($C28,Tracker!$A$46:$T$75,2023-$A$2,FALSE)-VLOOKUP(R$20,Tracker!$A$46:$T$75,2023-$A$2,FALSE))</f>
        <v>0.61815217682316415</v>
      </c>
      <c r="S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S$20,East_Snapshot[],5,FALSE),VLOOKUP(S$20,West_Snapshot[],5,FALSE))^$J$18+IFERROR(VLOOKUP(S$20,East_Snapshot[],8,FALSE),VLOOKUP(S$20,West_Snapshot[],8,FALSE))^$J$18))+$D$19*(VLOOKUP($C28,Tracker!$A$46:$T$75,2023-$A$2,FALSE)-VLOOKUP(S$20,Tracker!$A$46:$T$75,2023-$A$2,FALSE))</f>
        <v>0.41231104791571216</v>
      </c>
      <c r="T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T$20,East_Snapshot[],5,FALSE),VLOOKUP(T$20,West_Snapshot[],5,FALSE))^$J$18+IFERROR(VLOOKUP(T$20,East_Snapshot[],8,FALSE),VLOOKUP(T$20,West_Snapshot[],8,FALSE))^$J$18))+$D$19*(VLOOKUP($C28,Tracker!$A$46:$T$75,2023-$A$2,FALSE)-VLOOKUP(T$20,Tracker!$A$46:$T$75,2023-$A$2,FALSE))</f>
        <v>0.37181782756395126</v>
      </c>
      <c r="U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U$20,East_Snapshot[],5,FALSE),VLOOKUP(U$20,West_Snapshot[],5,FALSE))^$J$18+IFERROR(VLOOKUP(U$20,East_Snapshot[],8,FALSE),VLOOKUP(U$20,West_Snapshot[],8,FALSE))^$J$18))+$D$19*(VLOOKUP($C28,Tracker!$A$46:$T$75,2023-$A$2,FALSE)-VLOOKUP(U$20,Tracker!$A$46:$T$75,2023-$A$2,FALSE))</f>
        <v>0.73380991830027631</v>
      </c>
      <c r="V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V$20,East_Snapshot[],5,FALSE),VLOOKUP(V$20,West_Snapshot[],5,FALSE))^$J$18+IFERROR(VLOOKUP(V$20,East_Snapshot[],8,FALSE),VLOOKUP(V$20,West_Snapshot[],8,FALSE))^$J$18))+$D$19*(VLOOKUP($C28,Tracker!$A$46:$T$75,2023-$A$2,FALSE)-VLOOKUP(V$20,Tracker!$A$46:$T$75,2023-$A$2,FALSE))</f>
        <v>0.39626060933393442</v>
      </c>
      <c r="W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W$20,East_Snapshot[],5,FALSE),VLOOKUP(W$20,West_Snapshot[],5,FALSE))^$J$18+IFERROR(VLOOKUP(W$20,East_Snapshot[],8,FALSE),VLOOKUP(W$20,West_Snapshot[],8,FALSE))^$J$18))+$D$19*(VLOOKUP($C28,Tracker!$A$46:$T$75,2023-$A$2,FALSE)-VLOOKUP(W$20,Tracker!$A$46:$T$75,2023-$A$2,FALSE))</f>
        <v>0.50618356608376247</v>
      </c>
      <c r="X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X$20,East_Snapshot[],5,FALSE),VLOOKUP(X$20,West_Snapshot[],5,FALSE))^$J$18+IFERROR(VLOOKUP(X$20,East_Snapshot[],8,FALSE),VLOOKUP(X$20,West_Snapshot[],8,FALSE))^$J$18))+$D$19*(VLOOKUP($C28,Tracker!$A$46:$T$75,2023-$A$2,FALSE)-VLOOKUP(X$20,Tracker!$A$46:$T$75,2023-$A$2,FALSE))</f>
        <v>0.47808293518496009</v>
      </c>
      <c r="Y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Y$20,East_Snapshot[],5,FALSE),VLOOKUP(Y$20,West_Snapshot[],5,FALSE))^$J$18+IFERROR(VLOOKUP(Y$20,East_Snapshot[],8,FALSE),VLOOKUP(Y$20,West_Snapshot[],8,FALSE))^$J$18))+$D$19*(VLOOKUP($C28,Tracker!$A$46:$T$75,2023-$A$2,FALSE)-VLOOKUP(Y$20,Tracker!$A$46:$T$75,2023-$A$2,FALSE))</f>
        <v>0.34381184040636903</v>
      </c>
      <c r="Z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Z$20,East_Snapshot[],5,FALSE),VLOOKUP(Z$20,West_Snapshot[],5,FALSE))^$J$18+IFERROR(VLOOKUP(Z$20,East_Snapshot[],8,FALSE),VLOOKUP(Z$20,West_Snapshot[],8,FALSE))^$J$18))+$D$19*(VLOOKUP($C28,Tracker!$A$46:$T$75,2023-$A$2,FALSE)-VLOOKUP(Z$20,Tracker!$A$46:$T$75,2023-$A$2,FALSE))</f>
        <v>0.62672675127767596</v>
      </c>
      <c r="AA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A$20,East_Snapshot[],5,FALSE),VLOOKUP(AA$20,West_Snapshot[],5,FALSE))^$J$18+IFERROR(VLOOKUP(AA$20,East_Snapshot[],8,FALSE),VLOOKUP(AA$20,West_Snapshot[],8,FALSE))^$J$18))+$D$19*(VLOOKUP($C28,Tracker!$A$46:$T$75,2023-$A$2,FALSE)-VLOOKUP(AA$20,Tracker!$A$46:$T$75,2023-$A$2,FALSE))</f>
        <v>0.83708868652047608</v>
      </c>
      <c r="AB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B$20,East_Snapshot[],5,FALSE),VLOOKUP(AB$20,West_Snapshot[],5,FALSE))^$J$18+IFERROR(VLOOKUP(AB$20,East_Snapshot[],8,FALSE),VLOOKUP(AB$20,West_Snapshot[],8,FALSE))^$J$18))+$D$19*(VLOOKUP($C28,Tracker!$A$46:$T$75,2023-$A$2,FALSE)-VLOOKUP(AB$20,Tracker!$A$46:$T$75,2023-$A$2,FALSE))</f>
        <v>0.39680702793677181</v>
      </c>
      <c r="AC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C$20,East_Snapshot[],5,FALSE),VLOOKUP(AC$20,West_Snapshot[],5,FALSE))^$J$18+IFERROR(VLOOKUP(AC$20,East_Snapshot[],8,FALSE),VLOOKUP(AC$20,West_Snapshot[],8,FALSE))^$J$18))+$D$19*(VLOOKUP($C28,Tracker!$A$46:$T$75,2023-$A$2,FALSE)-VLOOKUP(AC$20,Tracker!$A$46:$T$75,2023-$A$2,FALSE))</f>
        <v>0.36531783465358553</v>
      </c>
      <c r="AD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D$20,East_Snapshot[],5,FALSE),VLOOKUP(AD$20,West_Snapshot[],5,FALSE))^$J$18+IFERROR(VLOOKUP(AD$20,East_Snapshot[],8,FALSE),VLOOKUP(AD$20,West_Snapshot[],8,FALSE))^$J$18))+$D$19*(VLOOKUP($C28,Tracker!$A$46:$T$75,2023-$A$2,FALSE)-VLOOKUP(AD$20,Tracker!$A$46:$T$75,2023-$A$2,FALSE))</f>
        <v>0.5096548045077175</v>
      </c>
      <c r="AE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E$20,East_Snapshot[],5,FALSE),VLOOKUP(AE$20,West_Snapshot[],5,FALSE))^$J$18+IFERROR(VLOOKUP(AE$20,East_Snapshot[],8,FALSE),VLOOKUP(AE$20,West_Snapshot[],8,FALSE))^$J$18))+$D$19*(VLOOKUP($C28,Tracker!$A$46:$T$75,2023-$A$2,FALSE)-VLOOKUP(AE$20,Tracker!$A$46:$T$75,2023-$A$2,FALSE))</f>
        <v>0.32794083736404728</v>
      </c>
      <c r="AF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F$20,East_Snapshot[],5,FALSE),VLOOKUP(AF$20,West_Snapshot[],5,FALSE))^$J$18+IFERROR(VLOOKUP(AF$20,East_Snapshot[],8,FALSE),VLOOKUP(AF$20,West_Snapshot[],8,FALSE))^$J$18))+$D$19*(VLOOKUP($C28,Tracker!$A$46:$T$75,2023-$A$2,FALSE)-VLOOKUP(AF$20,Tracker!$A$46:$T$75,2023-$A$2,FALSE))</f>
        <v>0.3962085856100126</v>
      </c>
      <c r="AG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G$20,East_Snapshot[],5,FALSE),VLOOKUP(AG$20,West_Snapshot[],5,FALSE))^$J$18+IFERROR(VLOOKUP(AG$20,East_Snapshot[],8,FALSE),VLOOKUP(AG$20,West_Snapshot[],8,FALSE))^$J$18))+$D$19*(VLOOKUP($C28,Tracker!$A$46:$T$75,2023-$A$2,FALSE)-VLOOKUP(AG$20,Tracker!$A$46:$T$75,2023-$A$2,FALSE))</f>
        <v>0.6602045664156927</v>
      </c>
      <c r="AH28" s="4">
        <f>($H$18*IFERROR(VLOOKUP($C28,East_Snapshot[],5,FALSE),VLOOKUP($C28,West_Snapshot[],5,FALSE))^$J$18+IFERROR(VLOOKUP($C28,East_Snapshot[],8,FALSE),VLOOKUP($C28,West_Snapshot[],8,FALSE))^$J$18)/(($H$18*IFERROR(VLOOKUP($C28,East_Snapshot[],5,FALSE),VLOOKUP($C28,West_Snapshot[],5,FALSE))^$J$18+IFERROR(VLOOKUP($C28,East_Snapshot[],8,FALSE),VLOOKUP($C28,West_Snapshot[],8,FALSE))^$J$18)+($H$18*IFERROR(VLOOKUP(AH$20,East_Snapshot[],5,FALSE),VLOOKUP(AH$20,West_Snapshot[],5,FALSE))^$J$18+IFERROR(VLOOKUP(AH$20,East_Snapshot[],8,FALSE),VLOOKUP(AH$20,West_Snapshot[],8,FALSE))^$J$18))+$D$19*(VLOOKUP($C28,Tracker!$A$46:$T$75,2023-$A$2,FALSE)-VLOOKUP(AH$20,Tracker!$A$46:$T$75,2023-$A$2,FALSE))</f>
        <v>0.4340667563640237</v>
      </c>
    </row>
    <row r="29" spans="1:34" x14ac:dyDescent="0.25">
      <c r="C29" t="s">
        <v>148</v>
      </c>
      <c r="D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D$20,East_Snapshot[],5,FALSE),VLOOKUP(D$20,West_Snapshot[],5,FALSE))^$J$18+IFERROR(VLOOKUP(D$20,East_Snapshot[],8,FALSE),VLOOKUP(D$20,West_Snapshot[],8,FALSE))^$J$18))+$D$19*(VLOOKUP($C29,Tracker!$A$46:$T$75,2023-$A$2,FALSE)-VLOOKUP(D$20,Tracker!$A$46:$T$75,2023-$A$2,FALSE))</f>
        <v>0.41358129950235006</v>
      </c>
      <c r="E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E$20,East_Snapshot[],5,FALSE),VLOOKUP(E$20,West_Snapshot[],5,FALSE))^$J$18+IFERROR(VLOOKUP(E$20,East_Snapshot[],8,FALSE),VLOOKUP(E$20,West_Snapshot[],8,FALSE))^$J$18))+$D$19*(VLOOKUP($C29,Tracker!$A$46:$T$75,2023-$A$2,FALSE)-VLOOKUP(E$20,Tracker!$A$46:$T$75,2023-$A$2,FALSE))</f>
        <v>0.52985006899238751</v>
      </c>
      <c r="F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F$20,East_Snapshot[],5,FALSE),VLOOKUP(F$20,West_Snapshot[],5,FALSE))^$J$18+IFERROR(VLOOKUP(F$20,East_Snapshot[],8,FALSE),VLOOKUP(F$20,West_Snapshot[],8,FALSE))^$J$18))+$D$19*(VLOOKUP($C29,Tracker!$A$46:$T$75,2023-$A$2,FALSE)-VLOOKUP(F$20,Tracker!$A$46:$T$75,2023-$A$2,FALSE))</f>
        <v>0.42831245367707582</v>
      </c>
      <c r="G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G$20,East_Snapshot[],5,FALSE),VLOOKUP(G$20,West_Snapshot[],5,FALSE))^$J$18+IFERROR(VLOOKUP(G$20,East_Snapshot[],8,FALSE),VLOOKUP(G$20,West_Snapshot[],8,FALSE))^$J$18))+$D$19*(VLOOKUP($C29,Tracker!$A$46:$T$75,2023-$A$2,FALSE)-VLOOKUP(G$20,Tracker!$A$46:$T$75,2023-$A$2,FALSE))</f>
        <v>0.41106197240429615</v>
      </c>
      <c r="H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H$20,East_Snapshot[],5,FALSE),VLOOKUP(H$20,West_Snapshot[],5,FALSE))^$J$18+IFERROR(VLOOKUP(H$20,East_Snapshot[],8,FALSE),VLOOKUP(H$20,West_Snapshot[],8,FALSE))^$J$18))+$D$19*(VLOOKUP($C29,Tracker!$A$46:$T$75,2023-$A$2,FALSE)-VLOOKUP(H$20,Tracker!$A$46:$T$75,2023-$A$2,FALSE))</f>
        <v>0.3575410273939677</v>
      </c>
      <c r="I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I$20,East_Snapshot[],5,FALSE),VLOOKUP(I$20,West_Snapshot[],5,FALSE))^$J$18+IFERROR(VLOOKUP(I$20,East_Snapshot[],8,FALSE),VLOOKUP(I$20,West_Snapshot[],8,FALSE))^$J$18))+$D$19*(VLOOKUP($C29,Tracker!$A$46:$T$75,2023-$A$2,FALSE)-VLOOKUP(I$20,Tracker!$A$46:$T$75,2023-$A$2,FALSE))</f>
        <v>0.49122874842334296</v>
      </c>
      <c r="J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J$20,East_Snapshot[],5,FALSE),VLOOKUP(J$20,West_Snapshot[],5,FALSE))^$J$18+IFERROR(VLOOKUP(J$20,East_Snapshot[],8,FALSE),VLOOKUP(J$20,West_Snapshot[],8,FALSE))^$J$18))+$D$19*(VLOOKUP($C29,Tracker!$A$46:$T$75,2023-$A$2,FALSE)-VLOOKUP(J$20,Tracker!$A$46:$T$75,2023-$A$2,FALSE))</f>
        <v>0.33820626672746013</v>
      </c>
      <c r="K29" s="4" t="e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K$20,East_Snapshot[],5,FALSE),VLOOKUP(K$20,West_Snapshot[],5,FALSE))^$J$18+IFERROR(VLOOKUP(K$20,East_Snapshot[],8,FALSE),VLOOKUP(K$20,West_Snapshot[],8,FALSE))^$J$18))+$D$19*(VLOOKUP($C29,Tracker!$A$46:$T$75,2023-$A$2,FALSE)-VLOOKUP(K$20,Tracker!$A$46:$T$75,2023-$A$2,FALSE))</f>
        <v>#N/A</v>
      </c>
      <c r="L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L$20,East_Snapshot[],5,FALSE),VLOOKUP(L$20,West_Snapshot[],5,FALSE))^$J$18+IFERROR(VLOOKUP(L$20,East_Snapshot[],8,FALSE),VLOOKUP(L$20,West_Snapshot[],8,FALSE))^$J$18))+$D$19*(VLOOKUP($C29,Tracker!$A$46:$T$75,2023-$A$2,FALSE)-VLOOKUP(L$20,Tracker!$A$46:$T$75,2023-$A$2,FALSE))</f>
        <v>0.43544095437550279</v>
      </c>
      <c r="M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M$20,East_Snapshot[],5,FALSE),VLOOKUP(M$20,West_Snapshot[],5,FALSE))^$J$18+IFERROR(VLOOKUP(M$20,East_Snapshot[],8,FALSE),VLOOKUP(M$20,West_Snapshot[],8,FALSE))^$J$18))+$D$19*(VLOOKUP($C29,Tracker!$A$46:$T$75,2023-$A$2,FALSE)-VLOOKUP(M$20,Tracker!$A$46:$T$75,2023-$A$2,FALSE))</f>
        <v>0.5</v>
      </c>
      <c r="N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N$20,East_Snapshot[],5,FALSE),VLOOKUP(N$20,West_Snapshot[],5,FALSE))^$J$18+IFERROR(VLOOKUP(N$20,East_Snapshot[],8,FALSE),VLOOKUP(N$20,West_Snapshot[],8,FALSE))^$J$18))+$D$19*(VLOOKUP($C29,Tracker!$A$46:$T$75,2023-$A$2,FALSE)-VLOOKUP(N$20,Tracker!$A$46:$T$75,2023-$A$2,FALSE))</f>
        <v>0.30496557469329338</v>
      </c>
      <c r="O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O$20,East_Snapshot[],5,FALSE),VLOOKUP(O$20,West_Snapshot[],5,FALSE))^$J$18+IFERROR(VLOOKUP(O$20,East_Snapshot[],8,FALSE),VLOOKUP(O$20,West_Snapshot[],8,FALSE))^$J$18))+$D$19*(VLOOKUP($C29,Tracker!$A$46:$T$75,2023-$A$2,FALSE)-VLOOKUP(O$20,Tracker!$A$46:$T$75,2023-$A$2,FALSE))</f>
        <v>0.30739907844907549</v>
      </c>
      <c r="P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P$20,East_Snapshot[],5,FALSE),VLOOKUP(P$20,West_Snapshot[],5,FALSE))^$J$18+IFERROR(VLOOKUP(P$20,East_Snapshot[],8,FALSE),VLOOKUP(P$20,West_Snapshot[],8,FALSE))^$J$18))+$D$19*(VLOOKUP($C29,Tracker!$A$46:$T$75,2023-$A$2,FALSE)-VLOOKUP(P$20,Tracker!$A$46:$T$75,2023-$A$2,FALSE))</f>
        <v>0.31789194453973479</v>
      </c>
      <c r="Q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Q$20,East_Snapshot[],5,FALSE),VLOOKUP(Q$20,West_Snapshot[],5,FALSE))^$J$18+IFERROR(VLOOKUP(Q$20,East_Snapshot[],8,FALSE),VLOOKUP(Q$20,West_Snapshot[],8,FALSE))^$J$18))+$D$19*(VLOOKUP($C29,Tracker!$A$46:$T$75,2023-$A$2,FALSE)-VLOOKUP(Q$20,Tracker!$A$46:$T$75,2023-$A$2,FALSE))</f>
        <v>0.27112847754539826</v>
      </c>
      <c r="R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R$20,East_Snapshot[],5,FALSE),VLOOKUP(R$20,West_Snapshot[],5,FALSE))^$J$18+IFERROR(VLOOKUP(R$20,East_Snapshot[],8,FALSE),VLOOKUP(R$20,West_Snapshot[],8,FALSE))^$J$18))+$D$19*(VLOOKUP($C29,Tracker!$A$46:$T$75,2023-$A$2,FALSE)-VLOOKUP(R$20,Tracker!$A$46:$T$75,2023-$A$2,FALSE))</f>
        <v>0.5552797818600651</v>
      </c>
      <c r="S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S$20,East_Snapshot[],5,FALSE),VLOOKUP(S$20,West_Snapshot[],5,FALSE))^$J$18+IFERROR(VLOOKUP(S$20,East_Snapshot[],8,FALSE),VLOOKUP(S$20,West_Snapshot[],8,FALSE))^$J$18))+$D$19*(VLOOKUP($C29,Tracker!$A$46:$T$75,2023-$A$2,FALSE)-VLOOKUP(S$20,Tracker!$A$46:$T$75,2023-$A$2,FALSE))</f>
        <v>0.35054966856359226</v>
      </c>
      <c r="T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T$20,East_Snapshot[],5,FALSE),VLOOKUP(T$20,West_Snapshot[],5,FALSE))^$J$18+IFERROR(VLOOKUP(T$20,East_Snapshot[],8,FALSE),VLOOKUP(T$20,West_Snapshot[],8,FALSE))^$J$18))+$D$19*(VLOOKUP($C29,Tracker!$A$46:$T$75,2023-$A$2,FALSE)-VLOOKUP(T$20,Tracker!$A$46:$T$75,2023-$A$2,FALSE))</f>
        <v>0.31267068003649473</v>
      </c>
      <c r="U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U$20,East_Snapshot[],5,FALSE),VLOOKUP(U$20,West_Snapshot[],5,FALSE))^$J$18+IFERROR(VLOOKUP(U$20,East_Snapshot[],8,FALSE),VLOOKUP(U$20,West_Snapshot[],8,FALSE))^$J$18))+$D$19*(VLOOKUP($C29,Tracker!$A$46:$T$75,2023-$A$2,FALSE)-VLOOKUP(U$20,Tracker!$A$46:$T$75,2023-$A$2,FALSE))</f>
        <v>0.68012658838386397</v>
      </c>
      <c r="V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V$20,East_Snapshot[],5,FALSE),VLOOKUP(V$20,West_Snapshot[],5,FALSE))^$J$18+IFERROR(VLOOKUP(V$20,East_Snapshot[],8,FALSE),VLOOKUP(V$20,West_Snapshot[],8,FALSE))^$J$18))+$D$19*(VLOOKUP($C29,Tracker!$A$46:$T$75,2023-$A$2,FALSE)-VLOOKUP(V$20,Tracker!$A$46:$T$75,2023-$A$2,FALSE))</f>
        <v>0.33544291205189752</v>
      </c>
      <c r="W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W$20,East_Snapshot[],5,FALSE),VLOOKUP(W$20,West_Snapshot[],5,FALSE))^$J$18+IFERROR(VLOOKUP(W$20,East_Snapshot[],8,FALSE),VLOOKUP(W$20,West_Snapshot[],8,FALSE))^$J$18))+$D$19*(VLOOKUP($C29,Tracker!$A$46:$T$75,2023-$A$2,FALSE)-VLOOKUP(W$20,Tracker!$A$46:$T$75,2023-$A$2,FALSE))</f>
        <v>0.4414215020593123</v>
      </c>
      <c r="X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X$20,East_Snapshot[],5,FALSE),VLOOKUP(X$20,West_Snapshot[],5,FALSE))^$J$18+IFERROR(VLOOKUP(X$20,East_Snapshot[],8,FALSE),VLOOKUP(X$20,West_Snapshot[],8,FALSE))^$J$18))+$D$19*(VLOOKUP($C29,Tracker!$A$46:$T$75,2023-$A$2,FALSE)-VLOOKUP(X$20,Tracker!$A$46:$T$75,2023-$A$2,FALSE))</f>
        <v>0.41375851642286232</v>
      </c>
      <c r="Y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Y$20,East_Snapshot[],5,FALSE),VLOOKUP(Y$20,West_Snapshot[],5,FALSE))^$J$18+IFERROR(VLOOKUP(Y$20,East_Snapshot[],8,FALSE),VLOOKUP(Y$20,West_Snapshot[],8,FALSE))^$J$18))+$D$19*(VLOOKUP($C29,Tracker!$A$46:$T$75,2023-$A$2,FALSE)-VLOOKUP(Y$20,Tracker!$A$46:$T$75,2023-$A$2,FALSE))</f>
        <v>0.28691930863613269</v>
      </c>
      <c r="Z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Z$20,East_Snapshot[],5,FALSE),VLOOKUP(Z$20,West_Snapshot[],5,FALSE))^$J$18+IFERROR(VLOOKUP(Z$20,East_Snapshot[],8,FALSE),VLOOKUP(Z$20,West_Snapshot[],8,FALSE))^$J$18))+$D$19*(VLOOKUP($C29,Tracker!$A$46:$T$75,2023-$A$2,FALSE)-VLOOKUP(Z$20,Tracker!$A$46:$T$75,2023-$A$2,FALSE))</f>
        <v>0.56427100198855484</v>
      </c>
      <c r="AA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A$20,East_Snapshot[],5,FALSE),VLOOKUP(AA$20,West_Snapshot[],5,FALSE))^$J$18+IFERROR(VLOOKUP(AA$20,East_Snapshot[],8,FALSE),VLOOKUP(AA$20,West_Snapshot[],8,FALSE))^$J$18))+$D$19*(VLOOKUP($C29,Tracker!$A$46:$T$75,2023-$A$2,FALSE)-VLOOKUP(AA$20,Tracker!$A$46:$T$75,2023-$A$2,FALSE))</f>
        <v>0.79851491516652318</v>
      </c>
      <c r="AB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B$20,East_Snapshot[],5,FALSE),VLOOKUP(AB$20,West_Snapshot[],5,FALSE))^$J$18+IFERROR(VLOOKUP(AB$20,East_Snapshot[],8,FALSE),VLOOKUP(AB$20,West_Snapshot[],8,FALSE))^$J$18))+$D$19*(VLOOKUP($C29,Tracker!$A$46:$T$75,2023-$A$2,FALSE)-VLOOKUP(AB$20,Tracker!$A$46:$T$75,2023-$A$2,FALSE))</f>
        <v>0.33595519340916169</v>
      </c>
      <c r="AC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C$20,East_Snapshot[],5,FALSE),VLOOKUP(AC$20,West_Snapshot[],5,FALSE))^$J$18+IFERROR(VLOOKUP(AC$20,East_Snapshot[],8,FALSE),VLOOKUP(AC$20,West_Snapshot[],8,FALSE))^$J$18))+$D$19*(VLOOKUP($C29,Tracker!$A$46:$T$75,2023-$A$2,FALSE)-VLOOKUP(AC$20,Tracker!$A$46:$T$75,2023-$A$2,FALSE))</f>
        <v>0.30591435026994901</v>
      </c>
      <c r="AD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D$20,East_Snapshot[],5,FALSE),VLOOKUP(AD$20,West_Snapshot[],5,FALSE))^$J$18+IFERROR(VLOOKUP(AD$20,East_Snapshot[],8,FALSE),VLOOKUP(AD$20,West_Snapshot[],8,FALSE))^$J$18))+$D$19*(VLOOKUP($C29,Tracker!$A$46:$T$75,2023-$A$2,FALSE)-VLOOKUP(AD$20,Tracker!$A$46:$T$75,2023-$A$2,FALSE))</f>
        <v>0.44486668103615745</v>
      </c>
      <c r="AE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E$20,East_Snapshot[],5,FALSE),VLOOKUP(AE$20,West_Snapshot[],5,FALSE))^$J$18+IFERROR(VLOOKUP(AE$20,East_Snapshot[],8,FALSE),VLOOKUP(AE$20,West_Snapshot[],8,FALSE))^$J$18))+$D$19*(VLOOKUP($C29,Tracker!$A$46:$T$75,2023-$A$2,FALSE)-VLOOKUP(AE$20,Tracker!$A$46:$T$75,2023-$A$2,FALSE))</f>
        <v>0.27248470660201274</v>
      </c>
      <c r="AF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F$20,East_Snapshot[],5,FALSE),VLOOKUP(AF$20,West_Snapshot[],5,FALSE))^$J$18+IFERROR(VLOOKUP(AF$20,East_Snapshot[],8,FALSE),VLOOKUP(AF$20,West_Snapshot[],8,FALSE))^$J$18))+$D$19*(VLOOKUP($C29,Tracker!$A$46:$T$75,2023-$A$2,FALSE)-VLOOKUP(AF$20,Tracker!$A$46:$T$75,2023-$A$2,FALSE))</f>
        <v>0.33539414584489186</v>
      </c>
      <c r="AG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G$20,East_Snapshot[],5,FALSE),VLOOKUP(AG$20,West_Snapshot[],5,FALSE))^$J$18+IFERROR(VLOOKUP(AG$20,East_Snapshot[],8,FALSE),VLOOKUP(AG$20,West_Snapshot[],8,FALSE))^$J$18))+$D$19*(VLOOKUP($C29,Tracker!$A$46:$T$75,2023-$A$2,FALSE)-VLOOKUP(AG$20,Tracker!$A$46:$T$75,2023-$A$2,FALSE))</f>
        <v>0.59977319947900554</v>
      </c>
      <c r="AH29" s="4">
        <f>($H$18*IFERROR(VLOOKUP($C29,East_Snapshot[],5,FALSE),VLOOKUP($C29,West_Snapshot[],5,FALSE))^$J$18+IFERROR(VLOOKUP($C29,East_Snapshot[],8,FALSE),VLOOKUP($C29,West_Snapshot[],8,FALSE))^$J$18)/(($H$18*IFERROR(VLOOKUP($C29,East_Snapshot[],5,FALSE),VLOOKUP($C29,West_Snapshot[],5,FALSE))^$J$18+IFERROR(VLOOKUP($C29,East_Snapshot[],8,FALSE),VLOOKUP($C29,West_Snapshot[],8,FALSE))^$J$18)+($H$18*IFERROR(VLOOKUP(AH$20,East_Snapshot[],5,FALSE),VLOOKUP(AH$20,West_Snapshot[],5,FALSE))^$J$18+IFERROR(VLOOKUP(AH$20,East_Snapshot[],8,FALSE),VLOOKUP(AH$20,West_Snapshot[],8,FALSE))^$J$18))+$D$19*(VLOOKUP($C29,Tracker!$A$46:$T$75,2023-$A$2,FALSE)-VLOOKUP(AH$20,Tracker!$A$46:$T$75,2023-$A$2,FALSE))</f>
        <v>0.3712233196040422</v>
      </c>
    </row>
    <row r="30" spans="1:34" x14ac:dyDescent="0.25">
      <c r="C30" t="s">
        <v>173</v>
      </c>
      <c r="D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D$20,East_Snapshot[],5,FALSE),VLOOKUP(D$20,West_Snapshot[],5,FALSE))^$J$18+IFERROR(VLOOKUP(D$20,East_Snapshot[],8,FALSE),VLOOKUP(D$20,West_Snapshot[],8,FALSE))^$J$18))+$D$19*(VLOOKUP($C30,Tracker!$A$46:$T$75,2023-$A$2,FALSE)-VLOOKUP(D$20,Tracker!$A$46:$T$75,2023-$A$2,FALSE))</f>
        <v>0.61535437369092727</v>
      </c>
      <c r="E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E$20,East_Snapshot[],5,FALSE),VLOOKUP(E$20,West_Snapshot[],5,FALSE))^$J$18+IFERROR(VLOOKUP(E$20,East_Snapshot[],8,FALSE),VLOOKUP(E$20,West_Snapshot[],8,FALSE))^$J$18))+$D$19*(VLOOKUP($C30,Tracker!$A$46:$T$75,2023-$A$2,FALSE)-VLOOKUP(E$20,Tracker!$A$46:$T$75,2023-$A$2,FALSE))</f>
        <v>0.72023963607700425</v>
      </c>
      <c r="F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F$20,East_Snapshot[],5,FALSE),VLOOKUP(F$20,West_Snapshot[],5,FALSE))^$J$18+IFERROR(VLOOKUP(F$20,East_Snapshot[],8,FALSE),VLOOKUP(F$20,West_Snapshot[],8,FALSE))^$J$18))+$D$19*(VLOOKUP($C30,Tracker!$A$46:$T$75,2023-$A$2,FALSE)-VLOOKUP(F$20,Tracker!$A$46:$T$75,2023-$A$2,FALSE))</f>
        <v>0.62969788801713278</v>
      </c>
      <c r="G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G$20,East_Snapshot[],5,FALSE),VLOOKUP(G$20,West_Snapshot[],5,FALSE))^$J$18+IFERROR(VLOOKUP(G$20,East_Snapshot[],8,FALSE),VLOOKUP(G$20,West_Snapshot[],8,FALSE))^$J$18))+$D$19*(VLOOKUP($C30,Tracker!$A$46:$T$75,2023-$A$2,FALSE)-VLOOKUP(G$20,Tracker!$A$46:$T$75,2023-$A$2,FALSE))</f>
        <v>0.61286781429512061</v>
      </c>
      <c r="H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H$20,East_Snapshot[],5,FALSE),VLOOKUP(H$20,West_Snapshot[],5,FALSE))^$J$18+IFERROR(VLOOKUP(H$20,East_Snapshot[],8,FALSE),VLOOKUP(H$20,West_Snapshot[],8,FALSE))^$J$18))+$D$19*(VLOOKUP($C30,Tracker!$A$46:$T$75,2023-$A$2,FALSE)-VLOOKUP(H$20,Tracker!$A$46:$T$75,2023-$A$2,FALSE))</f>
        <v>0.55829008946743086</v>
      </c>
      <c r="I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I$20,East_Snapshot[],5,FALSE),VLOOKUP(I$20,West_Snapshot[],5,FALSE))^$J$18+IFERROR(VLOOKUP(I$20,East_Snapshot[],8,FALSE),VLOOKUP(I$20,West_Snapshot[],8,FALSE))^$J$18))+$D$19*(VLOOKUP($C30,Tracker!$A$46:$T$75,2023-$A$2,FALSE)-VLOOKUP(I$20,Tracker!$A$46:$T$75,2023-$A$2,FALSE))</f>
        <v>0.68741493980612889</v>
      </c>
      <c r="J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J$20,East_Snapshot[],5,FALSE),VLOOKUP(J$20,West_Snapshot[],5,FALSE))^$J$18+IFERROR(VLOOKUP(J$20,East_Snapshot[],8,FALSE),VLOOKUP(J$20,West_Snapshot[],8,FALSE))^$J$18))+$D$19*(VLOOKUP($C30,Tracker!$A$46:$T$75,2023-$A$2,FALSE)-VLOOKUP(J$20,Tracker!$A$46:$T$75,2023-$A$2,FALSE))</f>
        <v>0.53744789844506247</v>
      </c>
      <c r="K30" s="4" t="e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K$20,East_Snapshot[],5,FALSE),VLOOKUP(K$20,West_Snapshot[],5,FALSE))^$J$18+IFERROR(VLOOKUP(K$20,East_Snapshot[],8,FALSE),VLOOKUP(K$20,West_Snapshot[],8,FALSE))^$J$18))+$D$19*(VLOOKUP($C30,Tracker!$A$46:$T$75,2023-$A$2,FALSE)-VLOOKUP(K$20,Tracker!$A$46:$T$75,2023-$A$2,FALSE))</f>
        <v>#N/A</v>
      </c>
      <c r="L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L$20,East_Snapshot[],5,FALSE),VLOOKUP(L$20,West_Snapshot[],5,FALSE))^$J$18+IFERROR(VLOOKUP(L$20,East_Snapshot[],8,FALSE),VLOOKUP(L$20,West_Snapshot[],8,FALSE))^$J$18))+$D$19*(VLOOKUP($C30,Tracker!$A$46:$T$75,2023-$A$2,FALSE)-VLOOKUP(L$20,Tracker!$A$46:$T$75,2023-$A$2,FALSE))</f>
        <v>0.63652087392021983</v>
      </c>
      <c r="M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M$20,East_Snapshot[],5,FALSE),VLOOKUP(M$20,West_Snapshot[],5,FALSE))^$J$18+IFERROR(VLOOKUP(M$20,East_Snapshot[],8,FALSE),VLOOKUP(M$20,West_Snapshot[],8,FALSE))^$J$18))+$D$19*(VLOOKUP($C30,Tracker!$A$46:$T$75,2023-$A$2,FALSE)-VLOOKUP(M$20,Tracker!$A$46:$T$75,2023-$A$2,FALSE))</f>
        <v>0.69503442530670667</v>
      </c>
      <c r="N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N$20,East_Snapshot[],5,FALSE),VLOOKUP(N$20,West_Snapshot[],5,FALSE))^$J$18+IFERROR(VLOOKUP(N$20,East_Snapshot[],8,FALSE),VLOOKUP(N$20,West_Snapshot[],8,FALSE))^$J$18))+$D$19*(VLOOKUP($C30,Tracker!$A$46:$T$75,2023-$A$2,FALSE)-VLOOKUP(N$20,Tracker!$A$46:$T$75,2023-$A$2,FALSE))</f>
        <v>0.5</v>
      </c>
      <c r="O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O$20,East_Snapshot[],5,FALSE),VLOOKUP(O$20,West_Snapshot[],5,FALSE))^$J$18+IFERROR(VLOOKUP(O$20,East_Snapshot[],8,FALSE),VLOOKUP(O$20,West_Snapshot[],8,FALSE))^$J$18))+$D$19*(VLOOKUP($C30,Tracker!$A$46:$T$75,2023-$A$2,FALSE)-VLOOKUP(O$20,Tracker!$A$46:$T$75,2023-$A$2,FALSE))</f>
        <v>0.50281378651451658</v>
      </c>
      <c r="P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P$20,East_Snapshot[],5,FALSE),VLOOKUP(P$20,West_Snapshot[],5,FALSE))^$J$18+IFERROR(VLOOKUP(P$20,East_Snapshot[],8,FALSE),VLOOKUP(P$20,West_Snapshot[],8,FALSE))^$J$18))+$D$19*(VLOOKUP($C30,Tracker!$A$46:$T$75,2023-$A$2,FALSE)-VLOOKUP(P$20,Tracker!$A$46:$T$75,2023-$A$2,FALSE))</f>
        <v>0.51481334838894599</v>
      </c>
      <c r="Q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Q$20,East_Snapshot[],5,FALSE),VLOOKUP(Q$20,West_Snapshot[],5,FALSE))^$J$18+IFERROR(VLOOKUP(Q$20,East_Snapshot[],8,FALSE),VLOOKUP(Q$20,West_Snapshot[],8,FALSE))^$J$18))+$D$19*(VLOOKUP($C30,Tracker!$A$46:$T$75,2023-$A$2,FALSE)-VLOOKUP(Q$20,Tracker!$A$46:$T$75,2023-$A$2,FALSE))</f>
        <v>0.46180397541026907</v>
      </c>
      <c r="R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R$20,East_Snapshot[],5,FALSE),VLOOKUP(R$20,West_Snapshot[],5,FALSE))^$J$18+IFERROR(VLOOKUP(R$20,East_Snapshot[],8,FALSE),VLOOKUP(R$20,West_Snapshot[],8,FALSE))^$J$18))+$D$19*(VLOOKUP($C30,Tracker!$A$46:$T$75,2023-$A$2,FALSE)-VLOOKUP(R$20,Tracker!$A$46:$T$75,2023-$A$2,FALSE))</f>
        <v>0.74086831087643656</v>
      </c>
      <c r="S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S$20,East_Snapshot[],5,FALSE),VLOOKUP(S$20,West_Snapshot[],5,FALSE))^$J$18+IFERROR(VLOOKUP(S$20,East_Snapshot[],8,FALSE),VLOOKUP(S$20,West_Snapshot[],8,FALSE))^$J$18))+$D$19*(VLOOKUP($C30,Tracker!$A$46:$T$75,2023-$A$2,FALSE)-VLOOKUP(S$20,Tracker!$A$46:$T$75,2023-$A$2,FALSE))</f>
        <v>0.55083042662184489</v>
      </c>
      <c r="T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T$20,East_Snapshot[],5,FALSE),VLOOKUP(T$20,West_Snapshot[],5,FALSE))^$J$18+IFERROR(VLOOKUP(T$20,East_Snapshot[],8,FALSE),VLOOKUP(T$20,West_Snapshot[],8,FALSE))^$J$18))+$D$19*(VLOOKUP($C30,Tracker!$A$46:$T$75,2023-$A$2,FALSE)-VLOOKUP(T$20,Tracker!$A$46:$T$75,2023-$A$2,FALSE))</f>
        <v>0.50886916676481386</v>
      </c>
      <c r="U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U$20,East_Snapshot[],5,FALSE),VLOOKUP(U$20,West_Snapshot[],5,FALSE))^$J$18+IFERROR(VLOOKUP(U$20,East_Snapshot[],8,FALSE),VLOOKUP(U$20,West_Snapshot[],8,FALSE))^$J$18))+$D$19*(VLOOKUP($C30,Tracker!$A$46:$T$75,2023-$A$2,FALSE)-VLOOKUP(U$20,Tracker!$A$46:$T$75,2023-$A$2,FALSE))</f>
        <v>0.83220511748352255</v>
      </c>
      <c r="V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V$20,East_Snapshot[],5,FALSE),VLOOKUP(V$20,West_Snapshot[],5,FALSE))^$J$18+IFERROR(VLOOKUP(V$20,East_Snapshot[],8,FALSE),VLOOKUP(V$20,West_Snapshot[],8,FALSE))^$J$18))+$D$19*(VLOOKUP($C30,Tracker!$A$46:$T$75,2023-$A$2,FALSE)-VLOOKUP(V$20,Tracker!$A$46:$T$75,2023-$A$2,FALSE))</f>
        <v>0.53441408606949459</v>
      </c>
      <c r="W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W$20,East_Snapshot[],5,FALSE),VLOOKUP(W$20,West_Snapshot[],5,FALSE))^$J$18+IFERROR(VLOOKUP(W$20,East_Snapshot[],8,FALSE),VLOOKUP(W$20,West_Snapshot[],8,FALSE))^$J$18))+$D$19*(VLOOKUP($C30,Tracker!$A$46:$T$75,2023-$A$2,FALSE)-VLOOKUP(W$20,Tracker!$A$46:$T$75,2023-$A$2,FALSE))</f>
        <v>0.64154515184867966</v>
      </c>
      <c r="X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X$20,East_Snapshot[],5,FALSE),VLOOKUP(X$20,West_Snapshot[],5,FALSE))^$J$18+IFERROR(VLOOKUP(X$20,East_Snapshot[],8,FALSE),VLOOKUP(X$20,West_Snapshot[],8,FALSE))^$J$18))+$D$19*(VLOOKUP($C30,Tracker!$A$46:$T$75,2023-$A$2,FALSE)-VLOOKUP(X$20,Tracker!$A$46:$T$75,2023-$A$2,FALSE))</f>
        <v>0.61529918190948041</v>
      </c>
      <c r="Y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Y$20,East_Snapshot[],5,FALSE),VLOOKUP(Y$20,West_Snapshot[],5,FALSE))^$J$18+IFERROR(VLOOKUP(Y$20,East_Snapshot[],8,FALSE),VLOOKUP(Y$20,West_Snapshot[],8,FALSE))^$J$18))+$D$19*(VLOOKUP($C30,Tracker!$A$46:$T$75,2023-$A$2,FALSE)-VLOOKUP(Y$20,Tracker!$A$46:$T$75,2023-$A$2,FALSE))</f>
        <v>0.47876141098499658</v>
      </c>
      <c r="Z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Z$20,East_Snapshot[],5,FALSE),VLOOKUP(Z$20,West_Snapshot[],5,FALSE))^$J$18+IFERROR(VLOOKUP(Z$20,East_Snapshot[],8,FALSE),VLOOKUP(Z$20,West_Snapshot[],8,FALSE))^$J$18))+$D$19*(VLOOKUP($C30,Tracker!$A$46:$T$75,2023-$A$2,FALSE)-VLOOKUP(Z$20,Tracker!$A$46:$T$75,2023-$A$2,FALSE))</f>
        <v>0.74798464261967113</v>
      </c>
      <c r="AA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A$20,East_Snapshot[],5,FALSE),VLOOKUP(AA$20,West_Snapshot[],5,FALSE))^$J$18+IFERROR(VLOOKUP(AA$20,East_Snapshot[],8,FALSE),VLOOKUP(AA$20,West_Snapshot[],8,FALSE))^$J$18))+$D$19*(VLOOKUP($C30,Tracker!$A$46:$T$75,2023-$A$2,FALSE)-VLOOKUP(AA$20,Tracker!$A$46:$T$75,2023-$A$2,FALSE))</f>
        <v>0.90604607246019997</v>
      </c>
      <c r="AB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B$20,East_Snapshot[],5,FALSE),VLOOKUP(AB$20,West_Snapshot[],5,FALSE))^$J$18+IFERROR(VLOOKUP(AB$20,East_Snapshot[],8,FALSE),VLOOKUP(AB$20,West_Snapshot[],8,FALSE))^$J$18))+$D$19*(VLOOKUP($C30,Tracker!$A$46:$T$75,2023-$A$2,FALSE)-VLOOKUP(AB$20,Tracker!$A$46:$T$75,2023-$A$2,FALSE))</f>
        <v>0.53497756355501214</v>
      </c>
      <c r="AC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C$20,East_Snapshot[],5,FALSE),VLOOKUP(AC$20,West_Snapshot[],5,FALSE))^$J$18+IFERROR(VLOOKUP(AC$20,East_Snapshot[],8,FALSE),VLOOKUP(AC$20,West_Snapshot[],8,FALSE))^$J$18))+$D$19*(VLOOKUP($C30,Tracker!$A$46:$T$75,2023-$A$2,FALSE)-VLOOKUP(AC$20,Tracker!$A$46:$T$75,2023-$A$2,FALSE))</f>
        <v>0.50256814819932027</v>
      </c>
      <c r="AD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D$20,East_Snapshot[],5,FALSE),VLOOKUP(AD$20,West_Snapshot[],5,FALSE))^$J$18+IFERROR(VLOOKUP(AD$20,East_Snapshot[],8,FALSE),VLOOKUP(AD$20,West_Snapshot[],8,FALSE))^$J$18))+$D$19*(VLOOKUP($C30,Tracker!$A$46:$T$75,2023-$A$2,FALSE)-VLOOKUP(AD$20,Tracker!$A$46:$T$75,2023-$A$2,FALSE))</f>
        <v>0.64473599352799993</v>
      </c>
      <c r="AE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E$20,East_Snapshot[],5,FALSE),VLOOKUP(AE$20,West_Snapshot[],5,FALSE))^$J$18+IFERROR(VLOOKUP(AE$20,East_Snapshot[],8,FALSE),VLOOKUP(AE$20,West_Snapshot[],8,FALSE))^$J$18))+$D$19*(VLOOKUP($C30,Tracker!$A$46:$T$75,2023-$A$2,FALSE)-VLOOKUP(AE$20,Tracker!$A$46:$T$75,2023-$A$2,FALSE))</f>
        <v>0.46128661490595851</v>
      </c>
      <c r="AF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F$20,East_Snapshot[],5,FALSE),VLOOKUP(AF$20,West_Snapshot[],5,FALSE))^$J$18+IFERROR(VLOOKUP(AF$20,East_Snapshot[],8,FALSE),VLOOKUP(AF$20,West_Snapshot[],8,FALSE))^$J$18))+$D$19*(VLOOKUP($C30,Tracker!$A$46:$T$75,2023-$A$2,FALSE)-VLOOKUP(AF$20,Tracker!$A$46:$T$75,2023-$A$2,FALSE))</f>
        <v>0.53436042113650539</v>
      </c>
      <c r="AG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G$20,East_Snapshot[],5,FALSE),VLOOKUP(AG$20,West_Snapshot[],5,FALSE))^$J$18+IFERROR(VLOOKUP(AG$20,East_Snapshot[],8,FALSE),VLOOKUP(AG$20,West_Snapshot[],8,FALSE))^$J$18))+$D$19*(VLOOKUP($C30,Tracker!$A$46:$T$75,2023-$A$2,FALSE)-VLOOKUP(AG$20,Tracker!$A$46:$T$75,2023-$A$2,FALSE))</f>
        <v>0.77522206124739279</v>
      </c>
      <c r="AH30" s="4">
        <f>($H$18*IFERROR(VLOOKUP($C30,East_Snapshot[],5,FALSE),VLOOKUP($C30,West_Snapshot[],5,FALSE))^$J$18+IFERROR(VLOOKUP($C30,East_Snapshot[],8,FALSE),VLOOKUP($C30,West_Snapshot[],8,FALSE))^$J$18)/(($H$18*IFERROR(VLOOKUP($C30,East_Snapshot[],5,FALSE),VLOOKUP($C30,West_Snapshot[],5,FALSE))^$J$18+IFERROR(VLOOKUP($C30,East_Snapshot[],8,FALSE),VLOOKUP($C30,West_Snapshot[],8,FALSE))^$J$18)+($H$18*IFERROR(VLOOKUP(AH$20,East_Snapshot[],5,FALSE),VLOOKUP(AH$20,West_Snapshot[],5,FALSE))^$J$18+IFERROR(VLOOKUP(AH$20,East_Snapshot[],8,FALSE),VLOOKUP(AH$20,West_Snapshot[],8,FALSE))^$J$18))+$D$19*(VLOOKUP($C30,Tracker!$A$46:$T$75,2023-$A$2,FALSE)-VLOOKUP(AH$20,Tracker!$A$46:$T$75,2023-$A$2,FALSE))</f>
        <v>0.57264395482911168</v>
      </c>
    </row>
    <row r="31" spans="1:34" x14ac:dyDescent="0.25">
      <c r="C31" t="s">
        <v>156</v>
      </c>
      <c r="D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D$20,East_Snapshot[],5,FALSE),VLOOKUP(D$20,West_Snapshot[],5,FALSE))^$J$18+IFERROR(VLOOKUP(D$20,East_Snapshot[],8,FALSE),VLOOKUP(D$20,West_Snapshot[],8,FALSE))^$J$18))+$D$19*(VLOOKUP($C31,Tracker!$A$46:$T$75,2023-$A$2,FALSE)-VLOOKUP(D$20,Tracker!$A$46:$T$75,2023-$A$2,FALSE))</f>
        <v>0.61266232198792725</v>
      </c>
      <c r="E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E$20,East_Snapshot[],5,FALSE),VLOOKUP(E$20,West_Snapshot[],5,FALSE))^$J$18+IFERROR(VLOOKUP(E$20,East_Snapshot[],8,FALSE),VLOOKUP(E$20,West_Snapshot[],8,FALSE))^$J$18))+$D$19*(VLOOKUP($C31,Tracker!$A$46:$T$75,2023-$A$2,FALSE)-VLOOKUP(E$20,Tracker!$A$46:$T$75,2023-$A$2,FALSE))</f>
        <v>0.71791784093605582</v>
      </c>
      <c r="F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F$20,East_Snapshot[],5,FALSE),VLOOKUP(F$20,West_Snapshot[],5,FALSE))^$J$18+IFERROR(VLOOKUP(F$20,East_Snapshot[],8,FALSE),VLOOKUP(F$20,West_Snapshot[],8,FALSE))^$J$18))+$D$19*(VLOOKUP($C31,Tracker!$A$46:$T$75,2023-$A$2,FALSE)-VLOOKUP(F$20,Tracker!$A$46:$T$75,2023-$A$2,FALSE))</f>
        <v>0.62704178220618312</v>
      </c>
      <c r="G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G$20,East_Snapshot[],5,FALSE),VLOOKUP(G$20,West_Snapshot[],5,FALSE))^$J$18+IFERROR(VLOOKUP(G$20,East_Snapshot[],8,FALSE),VLOOKUP(G$20,West_Snapshot[],8,FALSE))^$J$18))+$D$19*(VLOOKUP($C31,Tracker!$A$46:$T$75,2023-$A$2,FALSE)-VLOOKUP(G$20,Tracker!$A$46:$T$75,2023-$A$2,FALSE))</f>
        <v>0.61017000383718989</v>
      </c>
      <c r="H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H$20,East_Snapshot[],5,FALSE),VLOOKUP(H$20,West_Snapshot[],5,FALSE))^$J$18+IFERROR(VLOOKUP(H$20,East_Snapshot[],8,FALSE),VLOOKUP(H$20,West_Snapshot[],8,FALSE))^$J$18))+$D$19*(VLOOKUP($C31,Tracker!$A$46:$T$75,2023-$A$2,FALSE)-VLOOKUP(H$20,Tracker!$A$46:$T$75,2023-$A$2,FALSE))</f>
        <v>0.55551272282251685</v>
      </c>
      <c r="I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I$20,East_Snapshot[],5,FALSE),VLOOKUP(I$20,West_Snapshot[],5,FALSE))^$J$18+IFERROR(VLOOKUP(I$20,East_Snapshot[],8,FALSE),VLOOKUP(I$20,West_Snapshot[],8,FALSE))^$J$18))+$D$19*(VLOOKUP($C31,Tracker!$A$46:$T$75,2023-$A$2,FALSE)-VLOOKUP(I$20,Tracker!$A$46:$T$75,2023-$A$2,FALSE))</f>
        <v>0.68495049988381296</v>
      </c>
      <c r="J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J$20,East_Snapshot[],5,FALSE),VLOOKUP(J$20,West_Snapshot[],5,FALSE))^$J$18+IFERROR(VLOOKUP(J$20,East_Snapshot[],8,FALSE),VLOOKUP(J$20,West_Snapshot[],8,FALSE))^$J$18))+$D$19*(VLOOKUP($C31,Tracker!$A$46:$T$75,2023-$A$2,FALSE)-VLOOKUP(J$20,Tracker!$A$46:$T$75,2023-$A$2,FALSE))</f>
        <v>0.5346487157255293</v>
      </c>
      <c r="K31" s="4" t="e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K$20,East_Snapshot[],5,FALSE),VLOOKUP(K$20,West_Snapshot[],5,FALSE))^$J$18+IFERROR(VLOOKUP(K$20,East_Snapshot[],8,FALSE),VLOOKUP(K$20,West_Snapshot[],8,FALSE))^$J$18))+$D$19*(VLOOKUP($C31,Tracker!$A$46:$T$75,2023-$A$2,FALSE)-VLOOKUP(K$20,Tracker!$A$46:$T$75,2023-$A$2,FALSE))</f>
        <v>#N/A</v>
      </c>
      <c r="L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L$20,East_Snapshot[],5,FALSE),VLOOKUP(L$20,West_Snapshot[],5,FALSE))^$J$18+IFERROR(VLOOKUP(L$20,East_Snapshot[],8,FALSE),VLOOKUP(L$20,West_Snapshot[],8,FALSE))^$J$18))+$D$19*(VLOOKUP($C31,Tracker!$A$46:$T$75,2023-$A$2,FALSE)-VLOOKUP(L$20,Tracker!$A$46:$T$75,2023-$A$2,FALSE))</f>
        <v>0.63388349886031403</v>
      </c>
      <c r="M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M$20,East_Snapshot[],5,FALSE),VLOOKUP(M$20,West_Snapshot[],5,FALSE))^$J$18+IFERROR(VLOOKUP(M$20,East_Snapshot[],8,FALSE),VLOOKUP(M$20,West_Snapshot[],8,FALSE))^$J$18))+$D$19*(VLOOKUP($C31,Tracker!$A$46:$T$75,2023-$A$2,FALSE)-VLOOKUP(M$20,Tracker!$A$46:$T$75,2023-$A$2,FALSE))</f>
        <v>0.69260092155092456</v>
      </c>
      <c r="N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N$20,East_Snapshot[],5,FALSE),VLOOKUP(N$20,West_Snapshot[],5,FALSE))^$J$18+IFERROR(VLOOKUP(N$20,East_Snapshot[],8,FALSE),VLOOKUP(N$20,West_Snapshot[],8,FALSE))^$J$18))+$D$19*(VLOOKUP($C31,Tracker!$A$46:$T$75,2023-$A$2,FALSE)-VLOOKUP(N$20,Tracker!$A$46:$T$75,2023-$A$2,FALSE))</f>
        <v>0.49718621348548336</v>
      </c>
      <c r="O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O$20,East_Snapshot[],5,FALSE),VLOOKUP(O$20,West_Snapshot[],5,FALSE))^$J$18+IFERROR(VLOOKUP(O$20,East_Snapshot[],8,FALSE),VLOOKUP(O$20,West_Snapshot[],8,FALSE))^$J$18))+$D$19*(VLOOKUP($C31,Tracker!$A$46:$T$75,2023-$A$2,FALSE)-VLOOKUP(O$20,Tracker!$A$46:$T$75,2023-$A$2,FALSE))</f>
        <v>0.5</v>
      </c>
      <c r="P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P$20,East_Snapshot[],5,FALSE),VLOOKUP(P$20,West_Snapshot[],5,FALSE))^$J$18+IFERROR(VLOOKUP(P$20,East_Snapshot[],8,FALSE),VLOOKUP(P$20,West_Snapshot[],8,FALSE))^$J$18))+$D$19*(VLOOKUP($C31,Tracker!$A$46:$T$75,2023-$A$2,FALSE)-VLOOKUP(P$20,Tracker!$A$46:$T$75,2023-$A$2,FALSE))</f>
        <v>0.51200156285179488</v>
      </c>
      <c r="Q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Q$20,East_Snapshot[],5,FALSE),VLOOKUP(Q$20,West_Snapshot[],5,FALSE))^$J$18+IFERROR(VLOOKUP(Q$20,East_Snapshot[],8,FALSE),VLOOKUP(Q$20,West_Snapshot[],8,FALSE))^$J$18))+$D$19*(VLOOKUP($C31,Tracker!$A$46:$T$75,2023-$A$2,FALSE)-VLOOKUP(Q$20,Tracker!$A$46:$T$75,2023-$A$2,FALSE))</f>
        <v>0.45900002674888907</v>
      </c>
      <c r="R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R$20,East_Snapshot[],5,FALSE),VLOOKUP(R$20,West_Snapshot[],5,FALSE))^$J$18+IFERROR(VLOOKUP(R$20,East_Snapshot[],8,FALSE),VLOOKUP(R$20,West_Snapshot[],8,FALSE))^$J$18))+$D$19*(VLOOKUP($C31,Tracker!$A$46:$T$75,2023-$A$2,FALSE)-VLOOKUP(R$20,Tracker!$A$46:$T$75,2023-$A$2,FALSE))</f>
        <v>0.73864865796694201</v>
      </c>
      <c r="S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S$20,East_Snapshot[],5,FALSE),VLOOKUP(S$20,West_Snapshot[],5,FALSE))^$J$18+IFERROR(VLOOKUP(S$20,East_Snapshot[],8,FALSE),VLOOKUP(S$20,West_Snapshot[],8,FALSE))^$J$18))+$D$19*(VLOOKUP($C31,Tracker!$A$46:$T$75,2023-$A$2,FALSE)-VLOOKUP(S$20,Tracker!$A$46:$T$75,2023-$A$2,FALSE))</f>
        <v>0.54804412633821686</v>
      </c>
      <c r="T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T$20,East_Snapshot[],5,FALSE),VLOOKUP(T$20,West_Snapshot[],5,FALSE))^$J$18+IFERROR(VLOOKUP(T$20,East_Snapshot[],8,FALSE),VLOOKUP(T$20,West_Snapshot[],8,FALSE))^$J$18))+$D$19*(VLOOKUP($C31,Tracker!$A$46:$T$75,2023-$A$2,FALSE)-VLOOKUP(T$20,Tracker!$A$46:$T$75,2023-$A$2,FALSE))</f>
        <v>0.50605598478151315</v>
      </c>
      <c r="U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U$20,East_Snapshot[],5,FALSE),VLOOKUP(U$20,West_Snapshot[],5,FALSE))^$J$18+IFERROR(VLOOKUP(U$20,East_Snapshot[],8,FALSE),VLOOKUP(U$20,West_Snapshot[],8,FALSE))^$J$18))+$D$19*(VLOOKUP($C31,Tracker!$A$46:$T$75,2023-$A$2,FALSE)-VLOOKUP(U$20,Tracker!$A$46:$T$75,2023-$A$2,FALSE))</f>
        <v>0.83055380834649428</v>
      </c>
      <c r="V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V$20,East_Snapshot[],5,FALSE),VLOOKUP(V$20,West_Snapshot[],5,FALSE))^$J$18+IFERROR(VLOOKUP(V$20,East_Snapshot[],8,FALSE),VLOOKUP(V$20,West_Snapshot[],8,FALSE))^$J$18))+$D$19*(VLOOKUP($C31,Tracker!$A$46:$T$75,2023-$A$2,FALSE)-VLOOKUP(V$20,Tracker!$A$46:$T$75,2023-$A$2,FALSE))</f>
        <v>0.53161254421765891</v>
      </c>
      <c r="W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W$20,East_Snapshot[],5,FALSE),VLOOKUP(W$20,West_Snapshot[],5,FALSE))^$J$18+IFERROR(VLOOKUP(W$20,East_Snapshot[],8,FALSE),VLOOKUP(W$20,West_Snapshot[],8,FALSE))^$J$18))+$D$19*(VLOOKUP($C31,Tracker!$A$46:$T$75,2023-$A$2,FALSE)-VLOOKUP(W$20,Tracker!$A$46:$T$75,2023-$A$2,FALSE))</f>
        <v>0.63895273251053242</v>
      </c>
      <c r="X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X$20,East_Snapshot[],5,FALSE),VLOOKUP(X$20,West_Snapshot[],5,FALSE))^$J$18+IFERROR(VLOOKUP(X$20,East_Snapshot[],8,FALSE),VLOOKUP(X$20,West_Snapshot[],8,FALSE))^$J$18))+$D$19*(VLOOKUP($C31,Tracker!$A$46:$T$75,2023-$A$2,FALSE)-VLOOKUP(X$20,Tracker!$A$46:$T$75,2023-$A$2,FALSE))</f>
        <v>0.61263155839693317</v>
      </c>
      <c r="Y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Y$20,East_Snapshot[],5,FALSE),VLOOKUP(Y$20,West_Snapshot[],5,FALSE))^$J$18+IFERROR(VLOOKUP(Y$20,East_Snapshot[],8,FALSE),VLOOKUP(Y$20,West_Snapshot[],8,FALSE))^$J$18))+$D$19*(VLOOKUP($C31,Tracker!$A$46:$T$75,2023-$A$2,FALSE)-VLOOKUP(Y$20,Tracker!$A$46:$T$75,2023-$A$2,FALSE))</f>
        <v>0.47595337265855359</v>
      </c>
      <c r="Z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Z$20,East_Snapshot[],5,FALSE),VLOOKUP(Z$20,West_Snapshot[],5,FALSE))^$J$18+IFERROR(VLOOKUP(Z$20,East_Snapshot[],8,FALSE),VLOOKUP(Z$20,West_Snapshot[],8,FALSE))^$J$18))+$D$19*(VLOOKUP($C31,Tracker!$A$46:$T$75,2023-$A$2,FALSE)-VLOOKUP(Z$20,Tracker!$A$46:$T$75,2023-$A$2,FALSE))</f>
        <v>0.74580246524936422</v>
      </c>
      <c r="AA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A$20,East_Snapshot[],5,FALSE),VLOOKUP(AA$20,West_Snapshot[],5,FALSE))^$J$18+IFERROR(VLOOKUP(AA$20,East_Snapshot[],8,FALSE),VLOOKUP(AA$20,West_Snapshot[],8,FALSE))^$J$18))+$D$19*(VLOOKUP($C31,Tracker!$A$46:$T$75,2023-$A$2,FALSE)-VLOOKUP(AA$20,Tracker!$A$46:$T$75,2023-$A$2,FALSE))</f>
        <v>0.9049929894704013</v>
      </c>
      <c r="AB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B$20,East_Snapshot[],5,FALSE),VLOOKUP(AB$20,West_Snapshot[],5,FALSE))^$J$18+IFERROR(VLOOKUP(AB$20,East_Snapshot[],8,FALSE),VLOOKUP(AB$20,West_Snapshot[],8,FALSE))^$J$18))+$D$19*(VLOOKUP($C31,Tracker!$A$46:$T$75,2023-$A$2,FALSE)-VLOOKUP(AB$20,Tracker!$A$46:$T$75,2023-$A$2,FALSE))</f>
        <v>0.53217644418538679</v>
      </c>
      <c r="AC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C$20,East_Snapshot[],5,FALSE),VLOOKUP(AC$20,West_Snapshot[],5,FALSE))^$J$18+IFERROR(VLOOKUP(AC$20,East_Snapshot[],8,FALSE),VLOOKUP(AC$20,West_Snapshot[],8,FALSE))^$J$18))+$D$19*(VLOOKUP($C31,Tracker!$A$46:$T$75,2023-$A$2,FALSE)-VLOOKUP(AC$20,Tracker!$A$46:$T$75,2023-$A$2,FALSE))</f>
        <v>0.49975574169635373</v>
      </c>
      <c r="AD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D$20,East_Snapshot[],5,FALSE),VLOOKUP(AD$20,West_Snapshot[],5,FALSE))^$J$18+IFERROR(VLOOKUP(AD$20,East_Snapshot[],8,FALSE),VLOOKUP(AD$20,West_Snapshot[],8,FALSE))^$J$18))+$D$19*(VLOOKUP($C31,Tracker!$A$46:$T$75,2023-$A$2,FALSE)-VLOOKUP(AD$20,Tracker!$A$46:$T$75,2023-$A$2,FALSE))</f>
        <v>0.64215377903741733</v>
      </c>
      <c r="AE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E$20,East_Snapshot[],5,FALSE),VLOOKUP(AE$20,West_Snapshot[],5,FALSE))^$J$18+IFERROR(VLOOKUP(AE$20,East_Snapshot[],8,FALSE),VLOOKUP(AE$20,West_Snapshot[],8,FALSE))^$J$18))+$D$19*(VLOOKUP($C31,Tracker!$A$46:$T$75,2023-$A$2,FALSE)-VLOOKUP(AE$20,Tracker!$A$46:$T$75,2023-$A$2,FALSE))</f>
        <v>0.45849091492938343</v>
      </c>
      <c r="AF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F$20,East_Snapshot[],5,FALSE),VLOOKUP(AF$20,West_Snapshot[],5,FALSE))^$J$18+IFERROR(VLOOKUP(AF$20,East_Snapshot[],8,FALSE),VLOOKUP(AF$20,West_Snapshot[],8,FALSE))^$J$18))+$D$19*(VLOOKUP($C31,Tracker!$A$46:$T$75,2023-$A$2,FALSE)-VLOOKUP(AF$20,Tracker!$A$46:$T$75,2023-$A$2,FALSE))</f>
        <v>0.53155883942114279</v>
      </c>
      <c r="AG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G$20,East_Snapshot[],5,FALSE),VLOOKUP(AG$20,West_Snapshot[],5,FALSE))^$J$18+IFERROR(VLOOKUP(AG$20,East_Snapshot[],8,FALSE),VLOOKUP(AG$20,West_Snapshot[],8,FALSE))^$J$18))+$D$19*(VLOOKUP($C31,Tracker!$A$46:$T$75,2023-$A$2,FALSE)-VLOOKUP(AG$20,Tracker!$A$46:$T$75,2023-$A$2,FALSE))</f>
        <v>0.77319393838966477</v>
      </c>
      <c r="AH31" s="4">
        <f>($H$18*IFERROR(VLOOKUP($C31,East_Snapshot[],5,FALSE),VLOOKUP($C31,West_Snapshot[],5,FALSE))^$J$18+IFERROR(VLOOKUP($C31,East_Snapshot[],8,FALSE),VLOOKUP($C31,West_Snapshot[],8,FALSE))^$J$18)/(($H$18*IFERROR(VLOOKUP($C31,East_Snapshot[],5,FALSE),VLOOKUP($C31,West_Snapshot[],5,FALSE))^$J$18+IFERROR(VLOOKUP($C31,East_Snapshot[],8,FALSE),VLOOKUP($C31,West_Snapshot[],8,FALSE))^$J$18)+($H$18*IFERROR(VLOOKUP(AH$20,East_Snapshot[],5,FALSE),VLOOKUP(AH$20,West_Snapshot[],5,FALSE))^$J$18+IFERROR(VLOOKUP(AH$20,East_Snapshot[],8,FALSE),VLOOKUP(AH$20,West_Snapshot[],8,FALSE))^$J$18))+$D$19*(VLOOKUP($C31,Tracker!$A$46:$T$75,2023-$A$2,FALSE)-VLOOKUP(AH$20,Tracker!$A$46:$T$75,2023-$A$2,FALSE))</f>
        <v>0.5698873094592728</v>
      </c>
    </row>
    <row r="32" spans="1:34" x14ac:dyDescent="0.25">
      <c r="C32" t="s">
        <v>131</v>
      </c>
      <c r="D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D$20,East_Snapshot[],5,FALSE),VLOOKUP(D$20,West_Snapshot[],5,FALSE))^$J$18+IFERROR(VLOOKUP(D$20,East_Snapshot[],8,FALSE),VLOOKUP(D$20,West_Snapshot[],8,FALSE))^$J$18))+$D$19*(VLOOKUP($C32,Tracker!$A$46:$T$75,2023-$A$2,FALSE)-VLOOKUP(D$20,Tracker!$A$46:$T$75,2023-$A$2,FALSE))</f>
        <v>0.60110978764198153</v>
      </c>
      <c r="E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E$20,East_Snapshot[],5,FALSE),VLOOKUP(E$20,West_Snapshot[],5,FALSE))^$J$18+IFERROR(VLOOKUP(E$20,East_Snapshot[],8,FALSE),VLOOKUP(E$20,West_Snapshot[],8,FALSE))^$J$18))+$D$19*(VLOOKUP($C32,Tracker!$A$46:$T$75,2023-$A$2,FALSE)-VLOOKUP(E$20,Tracker!$A$46:$T$75,2023-$A$2,FALSE))</f>
        <v>0.70789150366016773</v>
      </c>
      <c r="F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F$20,East_Snapshot[],5,FALSE),VLOOKUP(F$20,West_Snapshot[],5,FALSE))^$J$18+IFERROR(VLOOKUP(F$20,East_Snapshot[],8,FALSE),VLOOKUP(F$20,West_Snapshot[],8,FALSE))^$J$18))+$D$19*(VLOOKUP($C32,Tracker!$A$46:$T$75,2023-$A$2,FALSE)-VLOOKUP(F$20,Tracker!$A$46:$T$75,2023-$A$2,FALSE))</f>
        <v>0.61563374762403478</v>
      </c>
      <c r="G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G$20,East_Snapshot[],5,FALSE),VLOOKUP(G$20,West_Snapshot[],5,FALSE))^$J$18+IFERROR(VLOOKUP(G$20,East_Snapshot[],8,FALSE),VLOOKUP(G$20,West_Snapshot[],8,FALSE))^$J$18))+$D$19*(VLOOKUP($C32,Tracker!$A$46:$T$75,2023-$A$2,FALSE)-VLOOKUP(G$20,Tracker!$A$46:$T$75,2023-$A$2,FALSE))</f>
        <v>0.59859447288060585</v>
      </c>
      <c r="H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H$20,East_Snapshot[],5,FALSE),VLOOKUP(H$20,West_Snapshot[],5,FALSE))^$J$18+IFERROR(VLOOKUP(H$20,East_Snapshot[],8,FALSE),VLOOKUP(H$20,West_Snapshot[],8,FALSE))^$J$18))+$D$19*(VLOOKUP($C32,Tracker!$A$46:$T$75,2023-$A$2,FALSE)-VLOOKUP(H$20,Tracker!$A$46:$T$75,2023-$A$2,FALSE))</f>
        <v>0.54362742521470564</v>
      </c>
      <c r="I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I$20,East_Snapshot[],5,FALSE),VLOOKUP(I$20,West_Snapshot[],5,FALSE))^$J$18+IFERROR(VLOOKUP(I$20,East_Snapshot[],8,FALSE),VLOOKUP(I$20,West_Snapshot[],8,FALSE))^$J$18))+$D$19*(VLOOKUP($C32,Tracker!$A$46:$T$75,2023-$A$2,FALSE)-VLOOKUP(I$20,Tracker!$A$46:$T$75,2023-$A$2,FALSE))</f>
        <v>0.67432909067138092</v>
      </c>
      <c r="J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J$20,East_Snapshot[],5,FALSE),VLOOKUP(J$20,West_Snapshot[],5,FALSE))^$J$18+IFERROR(VLOOKUP(J$20,East_Snapshot[],8,FALSE),VLOOKUP(J$20,West_Snapshot[],8,FALSE))^$J$18))+$D$19*(VLOOKUP($C32,Tracker!$A$46:$T$75,2023-$A$2,FALSE)-VLOOKUP(J$20,Tracker!$A$46:$T$75,2023-$A$2,FALSE))</f>
        <v>0.52268488589115447</v>
      </c>
      <c r="K32" s="4" t="e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K$20,East_Snapshot[],5,FALSE),VLOOKUP(K$20,West_Snapshot[],5,FALSE))^$J$18+IFERROR(VLOOKUP(K$20,East_Snapshot[],8,FALSE),VLOOKUP(K$20,West_Snapshot[],8,FALSE))^$J$18))+$D$19*(VLOOKUP($C32,Tracker!$A$46:$T$75,2023-$A$2,FALSE)-VLOOKUP(K$20,Tracker!$A$46:$T$75,2023-$A$2,FALSE))</f>
        <v>#N/A</v>
      </c>
      <c r="L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L$20,East_Snapshot[],5,FALSE),VLOOKUP(L$20,West_Snapshot[],5,FALSE))^$J$18+IFERROR(VLOOKUP(L$20,East_Snapshot[],8,FALSE),VLOOKUP(L$20,West_Snapshot[],8,FALSE))^$J$18))+$D$19*(VLOOKUP($C32,Tracker!$A$46:$T$75,2023-$A$2,FALSE)-VLOOKUP(L$20,Tracker!$A$46:$T$75,2023-$A$2,FALSE))</f>
        <v>0.62255129911274176</v>
      </c>
      <c r="M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M$20,East_Snapshot[],5,FALSE),VLOOKUP(M$20,West_Snapshot[],5,FALSE))^$J$18+IFERROR(VLOOKUP(M$20,East_Snapshot[],8,FALSE),VLOOKUP(M$20,West_Snapshot[],8,FALSE))^$J$18))+$D$19*(VLOOKUP($C32,Tracker!$A$46:$T$75,2023-$A$2,FALSE)-VLOOKUP(M$20,Tracker!$A$46:$T$75,2023-$A$2,FALSE))</f>
        <v>0.68210805546026521</v>
      </c>
      <c r="N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N$20,East_Snapshot[],5,FALSE),VLOOKUP(N$20,West_Snapshot[],5,FALSE))^$J$18+IFERROR(VLOOKUP(N$20,East_Snapshot[],8,FALSE),VLOOKUP(N$20,West_Snapshot[],8,FALSE))^$J$18))+$D$19*(VLOOKUP($C32,Tracker!$A$46:$T$75,2023-$A$2,FALSE)-VLOOKUP(N$20,Tracker!$A$46:$T$75,2023-$A$2,FALSE))</f>
        <v>0.4851866516110539</v>
      </c>
      <c r="O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O$20,East_Snapshot[],5,FALSE),VLOOKUP(O$20,West_Snapshot[],5,FALSE))^$J$18+IFERROR(VLOOKUP(O$20,East_Snapshot[],8,FALSE),VLOOKUP(O$20,West_Snapshot[],8,FALSE))^$J$18))+$D$19*(VLOOKUP($C32,Tracker!$A$46:$T$75,2023-$A$2,FALSE)-VLOOKUP(O$20,Tracker!$A$46:$T$75,2023-$A$2,FALSE))</f>
        <v>0.48799843714820523</v>
      </c>
      <c r="P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P$20,East_Snapshot[],5,FALSE),VLOOKUP(P$20,West_Snapshot[],5,FALSE))^$J$18+IFERROR(VLOOKUP(P$20,East_Snapshot[],8,FALSE),VLOOKUP(P$20,West_Snapshot[],8,FALSE))^$J$18))+$D$19*(VLOOKUP($C32,Tracker!$A$46:$T$75,2023-$A$2,FALSE)-VLOOKUP(P$20,Tracker!$A$46:$T$75,2023-$A$2,FALSE))</f>
        <v>0.5</v>
      </c>
      <c r="Q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Q$20,East_Snapshot[],5,FALSE),VLOOKUP(Q$20,West_Snapshot[],5,FALSE))^$J$18+IFERROR(VLOOKUP(Q$20,East_Snapshot[],8,FALSE),VLOOKUP(Q$20,West_Snapshot[],8,FALSE))^$J$18))+$D$19*(VLOOKUP($C32,Tracker!$A$46:$T$75,2023-$A$2,FALSE)-VLOOKUP(Q$20,Tracker!$A$46:$T$75,2023-$A$2,FALSE))</f>
        <v>0.44706236336630856</v>
      </c>
      <c r="R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R$20,East_Snapshot[],5,FALSE),VLOOKUP(R$20,West_Snapshot[],5,FALSE))^$J$18+IFERROR(VLOOKUP(R$20,East_Snapshot[],8,FALSE),VLOOKUP(R$20,West_Snapshot[],8,FALSE))^$J$18))+$D$19*(VLOOKUP($C32,Tracker!$A$46:$T$75,2023-$A$2,FALSE)-VLOOKUP(R$20,Tracker!$A$46:$T$75,2023-$A$2,FALSE))</f>
        <v>0.72905152844634802</v>
      </c>
      <c r="S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S$20,East_Snapshot[],5,FALSE),VLOOKUP(S$20,West_Snapshot[],5,FALSE))^$J$18+IFERROR(VLOOKUP(S$20,East_Snapshot[],8,FALSE),VLOOKUP(S$20,West_Snapshot[],8,FALSE))^$J$18))+$D$19*(VLOOKUP($C32,Tracker!$A$46:$T$75,2023-$A$2,FALSE)-VLOOKUP(S$20,Tracker!$A$46:$T$75,2023-$A$2,FALSE))</f>
        <v>0.5361258848923296</v>
      </c>
      <c r="T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T$20,East_Snapshot[],5,FALSE),VLOOKUP(T$20,West_Snapshot[],5,FALSE))^$J$18+IFERROR(VLOOKUP(T$20,East_Snapshot[],8,FALSE),VLOOKUP(T$20,West_Snapshot[],8,FALSE))^$J$18))+$D$19*(VLOOKUP($C32,Tracker!$A$46:$T$75,2023-$A$2,FALSE)-VLOOKUP(T$20,Tracker!$A$46:$T$75,2023-$A$2,FALSE))</f>
        <v>0.49405269289810022</v>
      </c>
      <c r="U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U$20,East_Snapshot[],5,FALSE),VLOOKUP(U$20,West_Snapshot[],5,FALSE))^$J$18+IFERROR(VLOOKUP(U$20,East_Snapshot[],8,FALSE),VLOOKUP(U$20,West_Snapshot[],8,FALSE))^$J$18))+$D$19*(VLOOKUP($C32,Tracker!$A$46:$T$75,2023-$A$2,FALSE)-VLOOKUP(U$20,Tracker!$A$46:$T$75,2023-$A$2,FALSE))</f>
        <v>0.8233746382896785</v>
      </c>
      <c r="V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V$20,East_Snapshot[],5,FALSE),VLOOKUP(V$20,West_Snapshot[],5,FALSE))^$J$18+IFERROR(VLOOKUP(V$20,East_Snapshot[],8,FALSE),VLOOKUP(V$20,West_Snapshot[],8,FALSE))^$J$18))+$D$19*(VLOOKUP($C32,Tracker!$A$46:$T$75,2023-$A$2,FALSE)-VLOOKUP(V$20,Tracker!$A$46:$T$75,2023-$A$2,FALSE))</f>
        <v>0.51964078822106652</v>
      </c>
      <c r="W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W$20,East_Snapshot[],5,FALSE),VLOOKUP(W$20,West_Snapshot[],5,FALSE))^$J$18+IFERROR(VLOOKUP(W$20,East_Snapshot[],8,FALSE),VLOOKUP(W$20,West_Snapshot[],8,FALSE))^$J$18))+$D$19*(VLOOKUP($C32,Tracker!$A$46:$T$75,2023-$A$2,FALSE)-VLOOKUP(W$20,Tracker!$A$46:$T$75,2023-$A$2,FALSE))</f>
        <v>0.6278036969755787</v>
      </c>
      <c r="X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X$20,East_Snapshot[],5,FALSE),VLOOKUP(X$20,West_Snapshot[],5,FALSE))^$J$18+IFERROR(VLOOKUP(X$20,East_Snapshot[],8,FALSE),VLOOKUP(X$20,West_Snapshot[],8,FALSE))^$J$18))+$D$19*(VLOOKUP($C32,Tracker!$A$46:$T$75,2023-$A$2,FALSE)-VLOOKUP(X$20,Tracker!$A$46:$T$75,2023-$A$2,FALSE))</f>
        <v>0.60117706183159714</v>
      </c>
      <c r="Y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Y$20,East_Snapshot[],5,FALSE),VLOOKUP(Y$20,West_Snapshot[],5,FALSE))^$J$18+IFERROR(VLOOKUP(Y$20,East_Snapshot[],8,FALSE),VLOOKUP(Y$20,West_Snapshot[],8,FALSE))^$J$18))+$D$19*(VLOOKUP($C32,Tracker!$A$46:$T$75,2023-$A$2,FALSE)-VLOOKUP(Y$20,Tracker!$A$46:$T$75,2023-$A$2,FALSE))</f>
        <v>0.46399337543783215</v>
      </c>
      <c r="Z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Z$20,East_Snapshot[],5,FALSE),VLOOKUP(Z$20,West_Snapshot[],5,FALSE))^$J$18+IFERROR(VLOOKUP(Z$20,East_Snapshot[],8,FALSE),VLOOKUP(Z$20,West_Snapshot[],8,FALSE))^$J$18))+$D$19*(VLOOKUP($C32,Tracker!$A$46:$T$75,2023-$A$2,FALSE)-VLOOKUP(Z$20,Tracker!$A$46:$T$75,2023-$A$2,FALSE))</f>
        <v>0.7363633336203993</v>
      </c>
      <c r="AA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A$20,East_Snapshot[],5,FALSE),VLOOKUP(AA$20,West_Snapshot[],5,FALSE))^$J$18+IFERROR(VLOOKUP(AA$20,East_Snapshot[],8,FALSE),VLOOKUP(AA$20,West_Snapshot[],8,FALSE))^$J$18))+$D$19*(VLOOKUP($C32,Tracker!$A$46:$T$75,2023-$A$2,FALSE)-VLOOKUP(AA$20,Tracker!$A$46:$T$75,2023-$A$2,FALSE))</f>
        <v>0.90039413197653917</v>
      </c>
      <c r="AB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B$20,East_Snapshot[],5,FALSE),VLOOKUP(AB$20,West_Snapshot[],5,FALSE))^$J$18+IFERROR(VLOOKUP(AB$20,East_Snapshot[],8,FALSE),VLOOKUP(AB$20,West_Snapshot[],8,FALSE))^$J$18))+$D$19*(VLOOKUP($C32,Tracker!$A$46:$T$75,2023-$A$2,FALSE)-VLOOKUP(AB$20,Tracker!$A$46:$T$75,2023-$A$2,FALSE))</f>
        <v>0.52020609308887933</v>
      </c>
      <c r="AC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C$20,East_Snapshot[],5,FALSE),VLOOKUP(AC$20,West_Snapshot[],5,FALSE))^$J$18+IFERROR(VLOOKUP(AC$20,East_Snapshot[],8,FALSE),VLOOKUP(AC$20,West_Snapshot[],8,FALSE))^$J$18))+$D$19*(VLOOKUP($C32,Tracker!$A$46:$T$75,2023-$A$2,FALSE)-VLOOKUP(AC$20,Tracker!$A$46:$T$75,2023-$A$2,FALSE))</f>
        <v>0.48775312655151315</v>
      </c>
      <c r="AD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D$20,East_Snapshot[],5,FALSE),VLOOKUP(AD$20,West_Snapshot[],5,FALSE))^$J$18+IFERROR(VLOOKUP(AD$20,East_Snapshot[],8,FALSE),VLOOKUP(AD$20,West_Snapshot[],8,FALSE))^$J$18))+$D$19*(VLOOKUP($C32,Tracker!$A$46:$T$75,2023-$A$2,FALSE)-VLOOKUP(AD$20,Tracker!$A$46:$T$75,2023-$A$2,FALSE))</f>
        <v>0.63104651297995729</v>
      </c>
      <c r="AE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E$20,East_Snapshot[],5,FALSE),VLOOKUP(AE$20,West_Snapshot[],5,FALSE))^$J$18+IFERROR(VLOOKUP(AE$20,East_Snapshot[],8,FALSE),VLOOKUP(AE$20,West_Snapshot[],8,FALSE))^$J$18))+$D$19*(VLOOKUP($C32,Tracker!$A$46:$T$75,2023-$A$2,FALSE)-VLOOKUP(AE$20,Tracker!$A$46:$T$75,2023-$A$2,FALSE))</f>
        <v>0.44659577044942467</v>
      </c>
      <c r="AF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F$20,East_Snapshot[],5,FALSE),VLOOKUP(AF$20,West_Snapshot[],5,FALSE))^$J$18+IFERROR(VLOOKUP(AF$20,East_Snapshot[],8,FALSE),VLOOKUP(AF$20,West_Snapshot[],8,FALSE))^$J$18))+$D$19*(VLOOKUP($C32,Tracker!$A$46:$T$75,2023-$A$2,FALSE)-VLOOKUP(AF$20,Tracker!$A$46:$T$75,2023-$A$2,FALSE))</f>
        <v>0.51958695122312515</v>
      </c>
      <c r="AG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G$20,East_Snapshot[],5,FALSE),VLOOKUP(AG$20,West_Snapshot[],5,FALSE))^$J$18+IFERROR(VLOOKUP(AG$20,East_Snapshot[],8,FALSE),VLOOKUP(AG$20,West_Snapshot[],8,FALSE))^$J$18))+$D$19*(VLOOKUP($C32,Tracker!$A$46:$T$75,2023-$A$2,FALSE)-VLOOKUP(AG$20,Tracker!$A$46:$T$75,2023-$A$2,FALSE))</f>
        <v>0.7644067937698884</v>
      </c>
      <c r="AH32" s="4">
        <f>($H$18*IFERROR(VLOOKUP($C32,East_Snapshot[],5,FALSE),VLOOKUP($C32,West_Snapshot[],5,FALSE))^$J$18+IFERROR(VLOOKUP($C32,East_Snapshot[],8,FALSE),VLOOKUP($C32,West_Snapshot[],8,FALSE))^$J$18)/(($H$18*IFERROR(VLOOKUP($C32,East_Snapshot[],5,FALSE),VLOOKUP($C32,West_Snapshot[],5,FALSE))^$J$18+IFERROR(VLOOKUP($C32,East_Snapshot[],8,FALSE),VLOOKUP($C32,West_Snapshot[],8,FALSE))^$J$18)+($H$18*IFERROR(VLOOKUP(AH$20,East_Snapshot[],5,FALSE),VLOOKUP(AH$20,West_Snapshot[],5,FALSE))^$J$18+IFERROR(VLOOKUP(AH$20,East_Snapshot[],8,FALSE),VLOOKUP(AH$20,West_Snapshot[],8,FALSE))^$J$18))+$D$19*(VLOOKUP($C32,Tracker!$A$46:$T$75,2023-$A$2,FALSE)-VLOOKUP(AH$20,Tracker!$A$46:$T$75,2023-$A$2,FALSE))</f>
        <v>0.55808060866116127</v>
      </c>
    </row>
    <row r="33" spans="3:34" x14ac:dyDescent="0.25">
      <c r="C33" t="s">
        <v>154</v>
      </c>
      <c r="D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D$20,East_Snapshot[],5,FALSE),VLOOKUP(D$20,West_Snapshot[],5,FALSE))^$J$18+IFERROR(VLOOKUP(D$20,East_Snapshot[],8,FALSE),VLOOKUP(D$20,West_Snapshot[],8,FALSE))^$J$18))+$D$19*(VLOOKUP($C33,Tracker!$A$46:$T$75,2023-$A$2,FALSE)-VLOOKUP(D$20,Tracker!$A$46:$T$75,2023-$A$2,FALSE))</f>
        <v>0.65198214707253654</v>
      </c>
      <c r="E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E$20,East_Snapshot[],5,FALSE),VLOOKUP(E$20,West_Snapshot[],5,FALSE))^$J$18+IFERROR(VLOOKUP(E$20,East_Snapshot[],8,FALSE),VLOOKUP(E$20,West_Snapshot[],8,FALSE))^$J$18))+$D$19*(VLOOKUP($C33,Tracker!$A$46:$T$75,2023-$A$2,FALSE)-VLOOKUP(E$20,Tracker!$A$46:$T$75,2023-$A$2,FALSE))</f>
        <v>0.75291290263617294</v>
      </c>
      <c r="F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F$20,East_Snapshot[],5,FALSE),VLOOKUP(F$20,West_Snapshot[],5,FALSE))^$J$18+IFERROR(VLOOKUP(F$20,East_Snapshot[],8,FALSE),VLOOKUP(F$20,West_Snapshot[],8,FALSE))^$J$18))+$D$19*(VLOOKUP($C33,Tracker!$A$46:$T$75,2023-$A$2,FALSE)-VLOOKUP(F$20,Tracker!$A$46:$T$75,2023-$A$2,FALSE))</f>
        <v>0.66592393677892603</v>
      </c>
      <c r="G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G$20,East_Snapshot[],5,FALSE),VLOOKUP(G$20,West_Snapshot[],5,FALSE))^$J$18+IFERROR(VLOOKUP(G$20,East_Snapshot[],8,FALSE),VLOOKUP(G$20,West_Snapshot[],8,FALSE))^$J$18))+$D$19*(VLOOKUP($C33,Tracker!$A$46:$T$75,2023-$A$2,FALSE)-VLOOKUP(G$20,Tracker!$A$46:$T$75,2023-$A$2,FALSE))</f>
        <v>0.64956069466200062</v>
      </c>
      <c r="H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H$20,East_Snapshot[],5,FALSE),VLOOKUP(H$20,West_Snapshot[],5,FALSE))^$J$18+IFERROR(VLOOKUP(H$20,East_Snapshot[],8,FALSE),VLOOKUP(H$20,West_Snapshot[],8,FALSE))^$J$18))+$D$19*(VLOOKUP($C33,Tracker!$A$46:$T$75,2023-$A$2,FALSE)-VLOOKUP(H$20,Tracker!$A$46:$T$75,2023-$A$2,FALSE))</f>
        <v>0.59592125098276105</v>
      </c>
      <c r="I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I$20,East_Snapshot[],5,FALSE),VLOOKUP(I$20,West_Snapshot[],5,FALSE))^$J$18+IFERROR(VLOOKUP(I$20,East_Snapshot[],8,FALSE),VLOOKUP(I$20,West_Snapshot[],8,FALSE))^$J$18))+$D$19*(VLOOKUP($C33,Tracker!$A$46:$T$75,2023-$A$2,FALSE)-VLOOKUP(I$20,Tracker!$A$46:$T$75,2023-$A$2,FALSE))</f>
        <v>0.72157748281661116</v>
      </c>
      <c r="J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J$20,East_Snapshot[],5,FALSE),VLOOKUP(J$20,West_Snapshot[],5,FALSE))^$J$18+IFERROR(VLOOKUP(J$20,East_Snapshot[],8,FALSE),VLOOKUP(J$20,West_Snapshot[],8,FALSE))^$J$18))+$D$19*(VLOOKUP($C33,Tracker!$A$46:$T$75,2023-$A$2,FALSE)-VLOOKUP(J$20,Tracker!$A$46:$T$75,2023-$A$2,FALSE))</f>
        <v>0.57536784016674614</v>
      </c>
      <c r="K33" s="4" t="e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K$20,East_Snapshot[],5,FALSE),VLOOKUP(K$20,West_Snapshot[],5,FALSE))^$J$18+IFERROR(VLOOKUP(K$20,East_Snapshot[],8,FALSE),VLOOKUP(K$20,West_Snapshot[],8,FALSE))^$J$18))+$D$19*(VLOOKUP($C33,Tracker!$A$46:$T$75,2023-$A$2,FALSE)-VLOOKUP(K$20,Tracker!$A$46:$T$75,2023-$A$2,FALSE))</f>
        <v>#N/A</v>
      </c>
      <c r="L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L$20,East_Snapshot[],5,FALSE),VLOOKUP(L$20,West_Snapshot[],5,FALSE))^$J$18+IFERROR(VLOOKUP(L$20,East_Snapshot[],8,FALSE),VLOOKUP(L$20,West_Snapshot[],8,FALSE))^$J$18))+$D$19*(VLOOKUP($C33,Tracker!$A$46:$T$75,2023-$A$2,FALSE)-VLOOKUP(L$20,Tracker!$A$46:$T$75,2023-$A$2,FALSE))</f>
        <v>0.67254021933836217</v>
      </c>
      <c r="M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M$20,East_Snapshot[],5,FALSE),VLOOKUP(M$20,West_Snapshot[],5,FALSE))^$J$18+IFERROR(VLOOKUP(M$20,East_Snapshot[],8,FALSE),VLOOKUP(M$20,West_Snapshot[],8,FALSE))^$J$18))+$D$19*(VLOOKUP($C33,Tracker!$A$46:$T$75,2023-$A$2,FALSE)-VLOOKUP(M$20,Tracker!$A$46:$T$75,2023-$A$2,FALSE))</f>
        <v>0.72887152245460185</v>
      </c>
      <c r="N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N$20,East_Snapshot[],5,FALSE),VLOOKUP(N$20,West_Snapshot[],5,FALSE))^$J$18+IFERROR(VLOOKUP(N$20,East_Snapshot[],8,FALSE),VLOOKUP(N$20,West_Snapshot[],8,FALSE))^$J$18))+$D$19*(VLOOKUP($C33,Tracker!$A$46:$T$75,2023-$A$2,FALSE)-VLOOKUP(N$20,Tracker!$A$46:$T$75,2023-$A$2,FALSE))</f>
        <v>0.53819602458973104</v>
      </c>
      <c r="O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O$20,East_Snapshot[],5,FALSE),VLOOKUP(O$20,West_Snapshot[],5,FALSE))^$J$18+IFERROR(VLOOKUP(O$20,East_Snapshot[],8,FALSE),VLOOKUP(O$20,West_Snapshot[],8,FALSE))^$J$18))+$D$19*(VLOOKUP($C33,Tracker!$A$46:$T$75,2023-$A$2,FALSE)-VLOOKUP(O$20,Tracker!$A$46:$T$75,2023-$A$2,FALSE))</f>
        <v>0.54099997325111093</v>
      </c>
      <c r="P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P$20,East_Snapshot[],5,FALSE),VLOOKUP(P$20,West_Snapshot[],5,FALSE))^$J$18+IFERROR(VLOOKUP(P$20,East_Snapshot[],8,FALSE),VLOOKUP(P$20,West_Snapshot[],8,FALSE))^$J$18))+$D$19*(VLOOKUP($C33,Tracker!$A$46:$T$75,2023-$A$2,FALSE)-VLOOKUP(P$20,Tracker!$A$46:$T$75,2023-$A$2,FALSE))</f>
        <v>0.55293763663369155</v>
      </c>
      <c r="Q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Q$20,East_Snapshot[],5,FALSE),VLOOKUP(Q$20,West_Snapshot[],5,FALSE))^$J$18+IFERROR(VLOOKUP(Q$20,East_Snapshot[],8,FALSE),VLOOKUP(Q$20,West_Snapshot[],8,FALSE))^$J$18))+$D$19*(VLOOKUP($C33,Tracker!$A$46:$T$75,2023-$A$2,FALSE)-VLOOKUP(Q$20,Tracker!$A$46:$T$75,2023-$A$2,FALSE))</f>
        <v>0.5</v>
      </c>
      <c r="R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R$20,East_Snapshot[],5,FALSE),VLOOKUP(R$20,West_Snapshot[],5,FALSE))^$J$18+IFERROR(VLOOKUP(R$20,East_Snapshot[],8,FALSE),VLOOKUP(R$20,West_Snapshot[],8,FALSE))^$J$18))+$D$19*(VLOOKUP($C33,Tracker!$A$46:$T$75,2023-$A$2,FALSE)-VLOOKUP(R$20,Tracker!$A$46:$T$75,2023-$A$2,FALSE))</f>
        <v>0.77248993332874849</v>
      </c>
      <c r="S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S$20,East_Snapshot[],5,FALSE),VLOOKUP(S$20,West_Snapshot[],5,FALSE))^$J$18+IFERROR(VLOOKUP(S$20,East_Snapshot[],8,FALSE),VLOOKUP(S$20,West_Snapshot[],8,FALSE))^$J$18))+$D$19*(VLOOKUP($C33,Tracker!$A$46:$T$75,2023-$A$2,FALSE)-VLOOKUP(S$20,Tracker!$A$46:$T$75,2023-$A$2,FALSE))</f>
        <v>0.58857598578431503</v>
      </c>
      <c r="T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T$20,East_Snapshot[],5,FALSE),VLOOKUP(T$20,West_Snapshot[],5,FALSE))^$J$18+IFERROR(VLOOKUP(T$20,East_Snapshot[],8,FALSE),VLOOKUP(T$20,West_Snapshot[],8,FALSE))^$J$18))+$D$19*(VLOOKUP($C33,Tracker!$A$46:$T$75,2023-$A$2,FALSE)-VLOOKUP(T$20,Tracker!$A$46:$T$75,2023-$A$2,FALSE))</f>
        <v>0.54702815205787358</v>
      </c>
      <c r="U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U$20,East_Snapshot[],5,FALSE),VLOOKUP(U$20,West_Snapshot[],5,FALSE))^$J$18+IFERROR(VLOOKUP(U$20,East_Snapshot[],8,FALSE),VLOOKUP(U$20,West_Snapshot[],8,FALSE))^$J$18))+$D$19*(VLOOKUP($C33,Tracker!$A$46:$T$75,2023-$A$2,FALSE)-VLOOKUP(U$20,Tracker!$A$46:$T$75,2023-$A$2,FALSE))</f>
        <v>0.85811420257793281</v>
      </c>
      <c r="V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V$20,East_Snapshot[],5,FALSE),VLOOKUP(V$20,West_Snapshot[],5,FALSE))^$J$18+IFERROR(VLOOKUP(V$20,East_Snapshot[],8,FALSE),VLOOKUP(V$20,West_Snapshot[],8,FALSE))^$J$18))+$D$19*(VLOOKUP($C33,Tracker!$A$46:$T$75,2023-$A$2,FALSE)-VLOOKUP(V$20,Tracker!$A$46:$T$75,2023-$A$2,FALSE))</f>
        <v>0.57236803774818923</v>
      </c>
      <c r="W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W$20,East_Snapshot[],5,FALSE),VLOOKUP(W$20,West_Snapshot[],5,FALSE))^$J$18+IFERROR(VLOOKUP(W$20,East_Snapshot[],8,FALSE),VLOOKUP(W$20,West_Snapshot[],8,FALSE))^$J$18))+$D$19*(VLOOKUP($C33,Tracker!$A$46:$T$75,2023-$A$2,FALSE)-VLOOKUP(W$20,Tracker!$A$46:$T$75,2023-$A$2,FALSE))</f>
        <v>0.67707400002996876</v>
      </c>
      <c r="X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X$20,East_Snapshot[],5,FALSE),VLOOKUP(X$20,West_Snapshot[],5,FALSE))^$J$18+IFERROR(VLOOKUP(X$20,East_Snapshot[],8,FALSE),VLOOKUP(X$20,West_Snapshot[],8,FALSE))^$J$18))+$D$19*(VLOOKUP($C33,Tracker!$A$46:$T$75,2023-$A$2,FALSE)-VLOOKUP(X$20,Tracker!$A$46:$T$75,2023-$A$2,FALSE))</f>
        <v>0.6516531609378502</v>
      </c>
      <c r="Y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Y$20,East_Snapshot[],5,FALSE),VLOOKUP(Y$20,West_Snapshot[],5,FALSE))^$J$18+IFERROR(VLOOKUP(Y$20,East_Snapshot[],8,FALSE),VLOOKUP(Y$20,West_Snapshot[],8,FALSE))^$J$18))+$D$19*(VLOOKUP($C33,Tracker!$A$46:$T$75,2023-$A$2,FALSE)-VLOOKUP(Y$20,Tracker!$A$46:$T$75,2023-$A$2,FALSE))</f>
        <v>0.51697414125913066</v>
      </c>
      <c r="Z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Z$20,East_Snapshot[],5,FALSE),VLOOKUP(Z$20,West_Snapshot[],5,FALSE))^$J$18+IFERROR(VLOOKUP(Z$20,East_Snapshot[],8,FALSE),VLOOKUP(Z$20,West_Snapshot[],8,FALSE))^$J$18))+$D$19*(VLOOKUP($C33,Tracker!$A$46:$T$75,2023-$A$2,FALSE)-VLOOKUP(Z$20,Tracker!$A$46:$T$75,2023-$A$2,FALSE))</f>
        <v>0.7792228957063968</v>
      </c>
      <c r="AA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A$20,East_Snapshot[],5,FALSE),VLOOKUP(AA$20,West_Snapshot[],5,FALSE))^$J$18+IFERROR(VLOOKUP(AA$20,East_Snapshot[],8,FALSE),VLOOKUP(AA$20,West_Snapshot[],8,FALSE))^$J$18))+$D$19*(VLOOKUP($C33,Tracker!$A$46:$T$75,2023-$A$2,FALSE)-VLOOKUP(AA$20,Tracker!$A$46:$T$75,2023-$A$2,FALSE))</f>
        <v>0.92610243561513494</v>
      </c>
      <c r="AB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B$20,East_Snapshot[],5,FALSE),VLOOKUP(AB$20,West_Snapshot[],5,FALSE))^$J$18+IFERROR(VLOOKUP(AB$20,East_Snapshot[],8,FALSE),VLOOKUP(AB$20,West_Snapshot[],8,FALSE))^$J$18))+$D$19*(VLOOKUP($C33,Tracker!$A$46:$T$75,2023-$A$2,FALSE)-VLOOKUP(AB$20,Tracker!$A$46:$T$75,2023-$A$2,FALSE))</f>
        <v>0.57292535310324855</v>
      </c>
      <c r="AC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C$20,East_Snapshot[],5,FALSE),VLOOKUP(AC$20,West_Snapshot[],5,FALSE))^$J$18+IFERROR(VLOOKUP(AC$20,East_Snapshot[],8,FALSE),VLOOKUP(AC$20,West_Snapshot[],8,FALSE))^$J$18))+$D$19*(VLOOKUP($C33,Tracker!$A$46:$T$75,2023-$A$2,FALSE)-VLOOKUP(AC$20,Tracker!$A$46:$T$75,2023-$A$2,FALSE))</f>
        <v>0.54070647188364662</v>
      </c>
      <c r="AD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D$20,East_Snapshot[],5,FALSE),VLOOKUP(AD$20,West_Snapshot[],5,FALSE))^$J$18+IFERROR(VLOOKUP(AD$20,East_Snapshot[],8,FALSE),VLOOKUP(AD$20,West_Snapshot[],8,FALSE))^$J$18))+$D$19*(VLOOKUP($C33,Tracker!$A$46:$T$75,2023-$A$2,FALSE)-VLOOKUP(AD$20,Tracker!$A$46:$T$75,2023-$A$2,FALSE))</f>
        <v>0.68015443104776518</v>
      </c>
      <c r="AE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E$20,East_Snapshot[],5,FALSE),VLOOKUP(AE$20,West_Snapshot[],5,FALSE))^$J$18+IFERROR(VLOOKUP(AE$20,East_Snapshot[],8,FALSE),VLOOKUP(AE$20,West_Snapshot[],8,FALSE))^$J$18))+$D$19*(VLOOKUP($C33,Tracker!$A$46:$T$75,2023-$A$2,FALSE)-VLOOKUP(AE$20,Tracker!$A$46:$T$75,2023-$A$2,FALSE))</f>
        <v>0.49943651664176936</v>
      </c>
      <c r="AF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F$20,East_Snapshot[],5,FALSE),VLOOKUP(AF$20,West_Snapshot[],5,FALSE))^$J$18+IFERROR(VLOOKUP(AF$20,East_Snapshot[],8,FALSE),VLOOKUP(AF$20,West_Snapshot[],8,FALSE))^$J$18))+$D$19*(VLOOKUP($C33,Tracker!$A$46:$T$75,2023-$A$2,FALSE)-VLOOKUP(AF$20,Tracker!$A$46:$T$75,2023-$A$2,FALSE))</f>
        <v>0.57231495600908189</v>
      </c>
      <c r="AG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G$20,East_Snapshot[],5,FALSE),VLOOKUP(AG$20,West_Snapshot[],5,FALSE))^$J$18+IFERROR(VLOOKUP(AG$20,East_Snapshot[],8,FALSE),VLOOKUP(AG$20,West_Snapshot[],8,FALSE))^$J$18))+$D$19*(VLOOKUP($C33,Tracker!$A$46:$T$75,2023-$A$2,FALSE)-VLOOKUP(AG$20,Tracker!$A$46:$T$75,2023-$A$2,FALSE))</f>
        <v>0.80489603876482207</v>
      </c>
      <c r="AH33" s="4">
        <f>($H$18*IFERROR(VLOOKUP($C33,East_Snapshot[],5,FALSE),VLOOKUP($C33,West_Snapshot[],5,FALSE))^$J$18+IFERROR(VLOOKUP($C33,East_Snapshot[],8,FALSE),VLOOKUP($C33,West_Snapshot[],8,FALSE))^$J$18)/(($H$18*IFERROR(VLOOKUP($C33,East_Snapshot[],5,FALSE),VLOOKUP($C33,West_Snapshot[],5,FALSE))^$J$18+IFERROR(VLOOKUP($C33,East_Snapshot[],8,FALSE),VLOOKUP($C33,West_Snapshot[],8,FALSE))^$J$18)+($H$18*IFERROR(VLOOKUP(AH$20,East_Snapshot[],5,FALSE),VLOOKUP(AH$20,West_Snapshot[],5,FALSE))^$J$18+IFERROR(VLOOKUP(AH$20,East_Snapshot[],8,FALSE),VLOOKUP(AH$20,West_Snapshot[],8,FALSE))^$J$18))+$D$19*(VLOOKUP($C33,Tracker!$A$46:$T$75,2023-$A$2,FALSE)-VLOOKUP(AH$20,Tracker!$A$46:$T$75,2023-$A$2,FALSE))</f>
        <v>0.61002050314025114</v>
      </c>
    </row>
    <row r="34" spans="3:34" x14ac:dyDescent="0.25">
      <c r="C34" t="s">
        <v>153</v>
      </c>
      <c r="D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D$20,East_Snapshot[],5,FALSE),VLOOKUP(D$20,West_Snapshot[],5,FALSE))^$J$18+IFERROR(VLOOKUP(D$20,East_Snapshot[],8,FALSE),VLOOKUP(D$20,West_Snapshot[],8,FALSE))^$J$18))+$D$19*(VLOOKUP($C34,Tracker!$A$46:$T$75,2023-$A$2,FALSE)-VLOOKUP(D$20,Tracker!$A$46:$T$75,2023-$A$2,FALSE))</f>
        <v>0.36095843886990681</v>
      </c>
      <c r="E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E$20,East_Snapshot[],5,FALSE),VLOOKUP(E$20,West_Snapshot[],5,FALSE))^$J$18+IFERROR(VLOOKUP(E$20,East_Snapshot[],8,FALSE),VLOOKUP(E$20,West_Snapshot[],8,FALSE))^$J$18))+$D$19*(VLOOKUP($C34,Tracker!$A$46:$T$75,2023-$A$2,FALSE)-VLOOKUP(E$20,Tracker!$A$46:$T$75,2023-$A$2,FALSE))</f>
        <v>0.47440132509554461</v>
      </c>
      <c r="F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F$20,East_Snapshot[],5,FALSE),VLOOKUP(F$20,West_Snapshot[],5,FALSE))^$J$18+IFERROR(VLOOKUP(F$20,East_Snapshot[],8,FALSE),VLOOKUP(F$20,West_Snapshot[],8,FALSE))^$J$18))+$D$19*(VLOOKUP($C34,Tracker!$A$46:$T$75,2023-$A$2,FALSE)-VLOOKUP(F$20,Tracker!$A$46:$T$75,2023-$A$2,FALSE))</f>
        <v>0.37501388763868432</v>
      </c>
      <c r="G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G$20,East_Snapshot[],5,FALSE),VLOOKUP(G$20,West_Snapshot[],5,FALSE))^$J$18+IFERROR(VLOOKUP(G$20,East_Snapshot[],8,FALSE),VLOOKUP(G$20,West_Snapshot[],8,FALSE))^$J$18))+$D$19*(VLOOKUP($C34,Tracker!$A$46:$T$75,2023-$A$2,FALSE)-VLOOKUP(G$20,Tracker!$A$46:$T$75,2023-$A$2,FALSE))</f>
        <v>0.35856366326561384</v>
      </c>
      <c r="H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H$20,East_Snapshot[],5,FALSE),VLOOKUP(H$20,West_Snapshot[],5,FALSE))^$J$18+IFERROR(VLOOKUP(H$20,East_Snapshot[],8,FALSE),VLOOKUP(H$20,West_Snapshot[],8,FALSE))^$J$18))+$D$19*(VLOOKUP($C34,Tracker!$A$46:$T$75,2023-$A$2,FALSE)-VLOOKUP(H$20,Tracker!$A$46:$T$75,2023-$A$2,FALSE))</f>
        <v>0.30760349550320315</v>
      </c>
      <c r="I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I$20,East_Snapshot[],5,FALSE),VLOOKUP(I$20,West_Snapshot[],5,FALSE))^$J$18+IFERROR(VLOOKUP(I$20,East_Snapshot[],8,FALSE),VLOOKUP(I$20,West_Snapshot[],8,FALSE))^$J$18))+$D$19*(VLOOKUP($C34,Tracker!$A$46:$T$75,2023-$A$2,FALSE)-VLOOKUP(I$20,Tracker!$A$46:$T$75,2023-$A$2,FALSE))</f>
        <v>0.43607295252816203</v>
      </c>
      <c r="J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J$20,East_Snapshot[],5,FALSE),VLOOKUP(J$20,West_Snapshot[],5,FALSE))^$J$18+IFERROR(VLOOKUP(J$20,East_Snapshot[],8,FALSE),VLOOKUP(J$20,West_Snapshot[],8,FALSE))^$J$18))+$D$19*(VLOOKUP($C34,Tracker!$A$46:$T$75,2023-$A$2,FALSE)-VLOOKUP(J$20,Tracker!$A$46:$T$75,2023-$A$2,FALSE))</f>
        <v>0.28965109525053373</v>
      </c>
      <c r="K34" s="4" t="e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K$20,East_Snapshot[],5,FALSE),VLOOKUP(K$20,West_Snapshot[],5,FALSE))^$J$18+IFERROR(VLOOKUP(K$20,East_Snapshot[],8,FALSE),VLOOKUP(K$20,West_Snapshot[],8,FALSE))^$J$18))+$D$19*(VLOOKUP($C34,Tracker!$A$46:$T$75,2023-$A$2,FALSE)-VLOOKUP(K$20,Tracker!$A$46:$T$75,2023-$A$2,FALSE))</f>
        <v>#N/A</v>
      </c>
      <c r="L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L$20,East_Snapshot[],5,FALSE),VLOOKUP(L$20,West_Snapshot[],5,FALSE))^$J$18+IFERROR(VLOOKUP(L$20,East_Snapshot[],8,FALSE),VLOOKUP(L$20,West_Snapshot[],8,FALSE))^$J$18))+$D$19*(VLOOKUP($C34,Tracker!$A$46:$T$75,2023-$A$2,FALSE)-VLOOKUP(L$20,Tracker!$A$46:$T$75,2023-$A$2,FALSE))</f>
        <v>0.38184782317683591</v>
      </c>
      <c r="M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M$20,East_Snapshot[],5,FALSE),VLOOKUP(M$20,West_Snapshot[],5,FALSE))^$J$18+IFERROR(VLOOKUP(M$20,East_Snapshot[],8,FALSE),VLOOKUP(M$20,West_Snapshot[],8,FALSE))^$J$18))+$D$19*(VLOOKUP($C34,Tracker!$A$46:$T$75,2023-$A$2,FALSE)-VLOOKUP(M$20,Tracker!$A$46:$T$75,2023-$A$2,FALSE))</f>
        <v>0.44472021813993484</v>
      </c>
      <c r="N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N$20,East_Snapshot[],5,FALSE),VLOOKUP(N$20,West_Snapshot[],5,FALSE))^$J$18+IFERROR(VLOOKUP(N$20,East_Snapshot[],8,FALSE),VLOOKUP(N$20,West_Snapshot[],8,FALSE))^$J$18))+$D$19*(VLOOKUP($C34,Tracker!$A$46:$T$75,2023-$A$2,FALSE)-VLOOKUP(N$20,Tracker!$A$46:$T$75,2023-$A$2,FALSE))</f>
        <v>0.25913168912356349</v>
      </c>
      <c r="O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O$20,East_Snapshot[],5,FALSE),VLOOKUP(O$20,West_Snapshot[],5,FALSE))^$J$18+IFERROR(VLOOKUP(O$20,East_Snapshot[],8,FALSE),VLOOKUP(O$20,West_Snapshot[],8,FALSE))^$J$18))+$D$19*(VLOOKUP($C34,Tracker!$A$46:$T$75,2023-$A$2,FALSE)-VLOOKUP(O$20,Tracker!$A$46:$T$75,2023-$A$2,FALSE))</f>
        <v>0.26135134203305799</v>
      </c>
      <c r="P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P$20,East_Snapshot[],5,FALSE),VLOOKUP(P$20,West_Snapshot[],5,FALSE))^$J$18+IFERROR(VLOOKUP(P$20,East_Snapshot[],8,FALSE),VLOOKUP(P$20,West_Snapshot[],8,FALSE))^$J$18))+$D$19*(VLOOKUP($C34,Tracker!$A$46:$T$75,2023-$A$2,FALSE)-VLOOKUP(P$20,Tracker!$A$46:$T$75,2023-$A$2,FALSE))</f>
        <v>0.27094847155365198</v>
      </c>
      <c r="Q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Q$20,East_Snapshot[],5,FALSE),VLOOKUP(Q$20,West_Snapshot[],5,FALSE))^$J$18+IFERROR(VLOOKUP(Q$20,East_Snapshot[],8,FALSE),VLOOKUP(Q$20,West_Snapshot[],8,FALSE))^$J$18))+$D$19*(VLOOKUP($C34,Tracker!$A$46:$T$75,2023-$A$2,FALSE)-VLOOKUP(Q$20,Tracker!$A$46:$T$75,2023-$A$2,FALSE))</f>
        <v>0.22751006667125162</v>
      </c>
      <c r="R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R$20,East_Snapshot[],5,FALSE),VLOOKUP(R$20,West_Snapshot[],5,FALSE))^$J$18+IFERROR(VLOOKUP(R$20,East_Snapshot[],8,FALSE),VLOOKUP(R$20,West_Snapshot[],8,FALSE))^$J$18))+$D$19*(VLOOKUP($C34,Tracker!$A$46:$T$75,2023-$A$2,FALSE)-VLOOKUP(R$20,Tracker!$A$46:$T$75,2023-$A$2,FALSE))</f>
        <v>0.5</v>
      </c>
      <c r="S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S$20,East_Snapshot[],5,FALSE),VLOOKUP(S$20,West_Snapshot[],5,FALSE))^$J$18+IFERROR(VLOOKUP(S$20,East_Snapshot[],8,FALSE),VLOOKUP(S$20,West_Snapshot[],8,FALSE))^$J$18))+$D$19*(VLOOKUP($C34,Tracker!$A$46:$T$75,2023-$A$2,FALSE)-VLOOKUP(S$20,Tracker!$A$46:$T$75,2023-$A$2,FALSE))</f>
        <v>0.30109480403815586</v>
      </c>
      <c r="T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T$20,East_Snapshot[],5,FALSE),VLOOKUP(T$20,West_Snapshot[],5,FALSE))^$J$18+IFERROR(VLOOKUP(T$20,East_Snapshot[],8,FALSE),VLOOKUP(T$20,West_Snapshot[],8,FALSE))^$J$18))+$D$19*(VLOOKUP($C34,Tracker!$A$46:$T$75,2023-$A$2,FALSE)-VLOOKUP(T$20,Tracker!$A$46:$T$75,2023-$A$2,FALSE))</f>
        <v>0.26616757020509912</v>
      </c>
      <c r="U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U$20,East_Snapshot[],5,FALSE),VLOOKUP(U$20,West_Snapshot[],5,FALSE))^$J$18+IFERROR(VLOOKUP(U$20,East_Snapshot[],8,FALSE),VLOOKUP(U$20,West_Snapshot[],8,FALSE))^$J$18))+$D$19*(VLOOKUP($C34,Tracker!$A$46:$T$75,2023-$A$2,FALSE)-VLOOKUP(U$20,Tracker!$A$46:$T$75,2023-$A$2,FALSE))</f>
        <v>0.63002565476537442</v>
      </c>
      <c r="V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V$20,East_Snapshot[],5,FALSE),VLOOKUP(V$20,West_Snapshot[],5,FALSE))^$J$18+IFERROR(VLOOKUP(V$20,East_Snapshot[],8,FALSE),VLOOKUP(V$20,West_Snapshot[],8,FALSE))^$J$18))+$D$19*(VLOOKUP($C34,Tracker!$A$46:$T$75,2023-$A$2,FALSE)-VLOOKUP(V$20,Tracker!$A$46:$T$75,2023-$A$2,FALSE))</f>
        <v>0.28709743265016568</v>
      </c>
      <c r="W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W$20,East_Snapshot[],5,FALSE),VLOOKUP(W$20,West_Snapshot[],5,FALSE))^$J$18+IFERROR(VLOOKUP(W$20,East_Snapshot[],8,FALSE),VLOOKUP(W$20,West_Snapshot[],8,FALSE))^$J$18))+$D$19*(VLOOKUP($C34,Tracker!$A$46:$T$75,2023-$A$2,FALSE)-VLOOKUP(W$20,Tracker!$A$46:$T$75,2023-$A$2,FALSE))</f>
        <v>0.38724547184321695</v>
      </c>
      <c r="X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X$20,East_Snapshot[],5,FALSE),VLOOKUP(X$20,West_Snapshot[],5,FALSE))^$J$18+IFERROR(VLOOKUP(X$20,East_Snapshot[],8,FALSE),VLOOKUP(X$20,West_Snapshot[],8,FALSE))^$J$18))+$D$19*(VLOOKUP($C34,Tracker!$A$46:$T$75,2023-$A$2,FALSE)-VLOOKUP(X$20,Tracker!$A$46:$T$75,2023-$A$2,FALSE))</f>
        <v>0.36065921968255915</v>
      </c>
      <c r="Y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Y$20,East_Snapshot[],5,FALSE),VLOOKUP(Y$20,West_Snapshot[],5,FALSE))^$J$18+IFERROR(VLOOKUP(Y$20,East_Snapshot[],8,FALSE),VLOOKUP(Y$20,West_Snapshot[],8,FALSE))^$J$18))+$D$19*(VLOOKUP($C34,Tracker!$A$46:$T$75,2023-$A$2,FALSE)-VLOOKUP(Y$20,Tracker!$A$46:$T$75,2023-$A$2,FALSE))</f>
        <v>0.24274262543038388</v>
      </c>
      <c r="Z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Z$20,East_Snapshot[],5,FALSE),VLOOKUP(Z$20,West_Snapshot[],5,FALSE))^$J$18+IFERROR(VLOOKUP(Z$20,East_Snapshot[],8,FALSE),VLOOKUP(Z$20,West_Snapshot[],8,FALSE))^$J$18))+$D$19*(VLOOKUP($C34,Tracker!$A$46:$T$75,2023-$A$2,FALSE)-VLOOKUP(Z$20,Tracker!$A$46:$T$75,2023-$A$2,FALSE))</f>
        <v>0.50912084140278602</v>
      </c>
      <c r="AA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A$20,East_Snapshot[],5,FALSE),VLOOKUP(AA$20,West_Snapshot[],5,FALSE))^$J$18+IFERROR(VLOOKUP(AA$20,East_Snapshot[],8,FALSE),VLOOKUP(AA$20,West_Snapshot[],8,FALSE))^$J$18))+$D$19*(VLOOKUP($C34,Tracker!$A$46:$T$75,2023-$A$2,FALSE)-VLOOKUP(AA$20,Tracker!$A$46:$T$75,2023-$A$2,FALSE))</f>
        <v>0.76042510642642891</v>
      </c>
      <c r="AB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B$20,East_Snapshot[],5,FALSE),VLOOKUP(AB$20,West_Snapshot[],5,FALSE))^$J$18+IFERROR(VLOOKUP(AB$20,East_Snapshot[],8,FALSE),VLOOKUP(AB$20,West_Snapshot[],8,FALSE))^$J$18))+$D$19*(VLOOKUP($C34,Tracker!$A$46:$T$75,2023-$A$2,FALSE)-VLOOKUP(AB$20,Tracker!$A$46:$T$75,2023-$A$2,FALSE))</f>
        <v>0.28757061260183642</v>
      </c>
      <c r="AC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C$20,East_Snapshot[],5,FALSE),VLOOKUP(AC$20,West_Snapshot[],5,FALSE))^$J$18+IFERROR(VLOOKUP(AC$20,East_Snapshot[],8,FALSE),VLOOKUP(AC$20,West_Snapshot[],8,FALSE))^$J$18))+$D$19*(VLOOKUP($C34,Tracker!$A$46:$T$75,2023-$A$2,FALSE)-VLOOKUP(AC$20,Tracker!$A$46:$T$75,2023-$A$2,FALSE))</f>
        <v>0.25913641759632983</v>
      </c>
      <c r="AD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D$20,East_Snapshot[],5,FALSE),VLOOKUP(AD$20,West_Snapshot[],5,FALSE))^$J$18+IFERROR(VLOOKUP(AD$20,East_Snapshot[],8,FALSE),VLOOKUP(AD$20,West_Snapshot[],8,FALSE))^$J$18))+$D$19*(VLOOKUP($C34,Tracker!$A$46:$T$75,2023-$A$2,FALSE)-VLOOKUP(AD$20,Tracker!$A$46:$T$75,2023-$A$2,FALSE))</f>
        <v>0.39057910382330668</v>
      </c>
      <c r="AE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E$20,East_Snapshot[],5,FALSE),VLOOKUP(AE$20,West_Snapshot[],5,FALSE))^$J$18+IFERROR(VLOOKUP(AE$20,East_Snapshot[],8,FALSE),VLOOKUP(AE$20,West_Snapshot[],8,FALSE))^$J$18))+$D$19*(VLOOKUP($C34,Tracker!$A$46:$T$75,2023-$A$2,FALSE)-VLOOKUP(AE$20,Tracker!$A$46:$T$75,2023-$A$2,FALSE))</f>
        <v>0.22972339446965337</v>
      </c>
      <c r="AF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F$20,East_Snapshot[],5,FALSE),VLOOKUP(AF$20,West_Snapshot[],5,FALSE))^$J$18+IFERROR(VLOOKUP(AF$20,East_Snapshot[],8,FALSE),VLOOKUP(AF$20,West_Snapshot[],8,FALSE))^$J$18))+$D$19*(VLOOKUP($C34,Tracker!$A$46:$T$75,2023-$A$2,FALSE)-VLOOKUP(AF$20,Tracker!$A$46:$T$75,2023-$A$2,FALSE))</f>
        <v>0.28705239407301292</v>
      </c>
      <c r="AG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G$20,East_Snapshot[],5,FALSE),VLOOKUP(AG$20,West_Snapshot[],5,FALSE))^$J$18+IFERROR(VLOOKUP(AG$20,East_Snapshot[],8,FALSE),VLOOKUP(AG$20,West_Snapshot[],8,FALSE))^$J$18))+$D$19*(VLOOKUP($C34,Tracker!$A$46:$T$75,2023-$A$2,FALSE)-VLOOKUP(AG$20,Tracker!$A$46:$T$75,2023-$A$2,FALSE))</f>
        <v>0.54549716528808634</v>
      </c>
      <c r="AH34" s="4">
        <f>($H$18*IFERROR(VLOOKUP($C34,East_Snapshot[],5,FALSE),VLOOKUP($C34,West_Snapshot[],5,FALSE))^$J$18+IFERROR(VLOOKUP($C34,East_Snapshot[],8,FALSE),VLOOKUP($C34,West_Snapshot[],8,FALSE))^$J$18)/(($H$18*IFERROR(VLOOKUP($C34,East_Snapshot[],5,FALSE),VLOOKUP($C34,West_Snapshot[],5,FALSE))^$J$18+IFERROR(VLOOKUP($C34,East_Snapshot[],8,FALSE),VLOOKUP($C34,West_Snapshot[],8,FALSE))^$J$18)+($H$18*IFERROR(VLOOKUP(AH$20,East_Snapshot[],5,FALSE),VLOOKUP(AH$20,West_Snapshot[],5,FALSE))^$J$18+IFERROR(VLOOKUP(AH$20,East_Snapshot[],8,FALSE),VLOOKUP(AH$20,West_Snapshot[],8,FALSE))^$J$18))+$D$19*(VLOOKUP($C34,Tracker!$A$46:$T$75,2023-$A$2,FALSE)-VLOOKUP(AH$20,Tracker!$A$46:$T$75,2023-$A$2,FALSE))</f>
        <v>0.32039793185104615</v>
      </c>
    </row>
    <row r="35" spans="3:34" x14ac:dyDescent="0.25">
      <c r="C35" t="s">
        <v>162</v>
      </c>
      <c r="D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D$20,East_Snapshot[],5,FALSE),VLOOKUP(D$20,West_Snapshot[],5,FALSE))^$J$18+IFERROR(VLOOKUP(D$20,East_Snapshot[],8,FALSE),VLOOKUP(D$20,West_Snapshot[],8,FALSE))^$J$18))+$D$19*(VLOOKUP($C35,Tracker!$A$46:$T$75,2023-$A$2,FALSE)-VLOOKUP(D$20,Tracker!$A$46:$T$75,2023-$A$2,FALSE))</f>
        <v>0.56571746139588597</v>
      </c>
      <c r="E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E$20,East_Snapshot[],5,FALSE),VLOOKUP(E$20,West_Snapshot[],5,FALSE))^$J$18+IFERROR(VLOOKUP(E$20,East_Snapshot[],8,FALSE),VLOOKUP(E$20,West_Snapshot[],8,FALSE))^$J$18))+$D$19*(VLOOKUP($C35,Tracker!$A$46:$T$75,2023-$A$2,FALSE)-VLOOKUP(E$20,Tracker!$A$46:$T$75,2023-$A$2,FALSE))</f>
        <v>0.67652764715086922</v>
      </c>
      <c r="F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F$20,East_Snapshot[],5,FALSE),VLOOKUP(F$20,West_Snapshot[],5,FALSE))^$J$18+IFERROR(VLOOKUP(F$20,East_Snapshot[],8,FALSE),VLOOKUP(F$20,West_Snapshot[],8,FALSE))^$J$18))+$D$19*(VLOOKUP($C35,Tracker!$A$46:$T$75,2023-$A$2,FALSE)-VLOOKUP(F$20,Tracker!$A$46:$T$75,2023-$A$2,FALSE))</f>
        <v>0.58058530867706737</v>
      </c>
      <c r="G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G$20,East_Snapshot[],5,FALSE),VLOOKUP(G$20,West_Snapshot[],5,FALSE))^$J$18+IFERROR(VLOOKUP(G$20,East_Snapshot[],8,FALSE),VLOOKUP(G$20,West_Snapshot[],8,FALSE))^$J$18))+$D$19*(VLOOKUP($C35,Tracker!$A$46:$T$75,2023-$A$2,FALSE)-VLOOKUP(G$20,Tracker!$A$46:$T$75,2023-$A$2,FALSE))</f>
        <v>0.56314901307633369</v>
      </c>
      <c r="H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H$20,East_Snapshot[],5,FALSE),VLOOKUP(H$20,West_Snapshot[],5,FALSE))^$J$18+IFERROR(VLOOKUP(H$20,East_Snapshot[],8,FALSE),VLOOKUP(H$20,West_Snapshot[],8,FALSE))^$J$18))+$D$19*(VLOOKUP($C35,Tracker!$A$46:$T$75,2023-$A$2,FALSE)-VLOOKUP(H$20,Tracker!$A$46:$T$75,2023-$A$2,FALSE))</f>
        <v>0.50754913244917221</v>
      </c>
      <c r="I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I$20,East_Snapshot[],5,FALSE),VLOOKUP(I$20,West_Snapshot[],5,FALSE))^$J$18+IFERROR(VLOOKUP(I$20,East_Snapshot[],8,FALSE),VLOOKUP(I$20,West_Snapshot[],8,FALSE))^$J$18))+$D$19*(VLOOKUP($C35,Tracker!$A$46:$T$75,2023-$A$2,FALSE)-VLOOKUP(I$20,Tracker!$A$46:$T$75,2023-$A$2,FALSE))</f>
        <v>0.64132158592037813</v>
      </c>
      <c r="J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J$20,East_Snapshot[],5,FALSE),VLOOKUP(J$20,West_Snapshot[],5,FALSE))^$J$18+IFERROR(VLOOKUP(J$20,East_Snapshot[],8,FALSE),VLOOKUP(J$20,West_Snapshot[],8,FALSE))^$J$18))+$D$19*(VLOOKUP($C35,Tracker!$A$46:$T$75,2023-$A$2,FALSE)-VLOOKUP(J$20,Tracker!$A$46:$T$75,2023-$A$2,FALSE))</f>
        <v>0.48651479587525809</v>
      </c>
      <c r="K35" s="4" t="e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K$20,East_Snapshot[],5,FALSE),VLOOKUP(K$20,West_Snapshot[],5,FALSE))^$J$18+IFERROR(VLOOKUP(K$20,East_Snapshot[],8,FALSE),VLOOKUP(K$20,West_Snapshot[],8,FALSE))^$J$18))+$D$19*(VLOOKUP($C35,Tracker!$A$46:$T$75,2023-$A$2,FALSE)-VLOOKUP(K$20,Tracker!$A$46:$T$75,2023-$A$2,FALSE))</f>
        <v>#N/A</v>
      </c>
      <c r="L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L$20,East_Snapshot[],5,FALSE),VLOOKUP(L$20,West_Snapshot[],5,FALSE))^$J$18+IFERROR(VLOOKUP(L$20,East_Snapshot[],8,FALSE),VLOOKUP(L$20,West_Snapshot[],8,FALSE))^$J$18))+$D$19*(VLOOKUP($C35,Tracker!$A$46:$T$75,2023-$A$2,FALSE)-VLOOKUP(L$20,Tracker!$A$46:$T$75,2023-$A$2,FALSE))</f>
        <v>0.58768895208428784</v>
      </c>
      <c r="M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M$20,East_Snapshot[],5,FALSE),VLOOKUP(M$20,West_Snapshot[],5,FALSE))^$J$18+IFERROR(VLOOKUP(M$20,East_Snapshot[],8,FALSE),VLOOKUP(M$20,West_Snapshot[],8,FALSE))^$J$18))+$D$19*(VLOOKUP($C35,Tracker!$A$46:$T$75,2023-$A$2,FALSE)-VLOOKUP(M$20,Tracker!$A$46:$T$75,2023-$A$2,FALSE))</f>
        <v>0.64945033143640785</v>
      </c>
      <c r="N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N$20,East_Snapshot[],5,FALSE),VLOOKUP(N$20,West_Snapshot[],5,FALSE))^$J$18+IFERROR(VLOOKUP(N$20,East_Snapshot[],8,FALSE),VLOOKUP(N$20,West_Snapshot[],8,FALSE))^$J$18))+$D$19*(VLOOKUP($C35,Tracker!$A$46:$T$75,2023-$A$2,FALSE)-VLOOKUP(N$20,Tracker!$A$46:$T$75,2023-$A$2,FALSE))</f>
        <v>0.44916957337815511</v>
      </c>
      <c r="O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O$20,East_Snapshot[],5,FALSE),VLOOKUP(O$20,West_Snapshot[],5,FALSE))^$J$18+IFERROR(VLOOKUP(O$20,East_Snapshot[],8,FALSE),VLOOKUP(O$20,West_Snapshot[],8,FALSE))^$J$18))+$D$19*(VLOOKUP($C35,Tracker!$A$46:$T$75,2023-$A$2,FALSE)-VLOOKUP(O$20,Tracker!$A$46:$T$75,2023-$A$2,FALSE))</f>
        <v>0.45195587366178314</v>
      </c>
      <c r="P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P$20,East_Snapshot[],5,FALSE),VLOOKUP(P$20,West_Snapshot[],5,FALSE))^$J$18+IFERROR(VLOOKUP(P$20,East_Snapshot[],8,FALSE),VLOOKUP(P$20,West_Snapshot[],8,FALSE))^$J$18))+$D$19*(VLOOKUP($C35,Tracker!$A$46:$T$75,2023-$A$2,FALSE)-VLOOKUP(P$20,Tracker!$A$46:$T$75,2023-$A$2,FALSE))</f>
        <v>0.46387411510767029</v>
      </c>
      <c r="Q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Q$20,East_Snapshot[],5,FALSE),VLOOKUP(Q$20,West_Snapshot[],5,FALSE))^$J$18+IFERROR(VLOOKUP(Q$20,East_Snapshot[],8,FALSE),VLOOKUP(Q$20,West_Snapshot[],8,FALSE))^$J$18))+$D$19*(VLOOKUP($C35,Tracker!$A$46:$T$75,2023-$A$2,FALSE)-VLOOKUP(Q$20,Tracker!$A$46:$T$75,2023-$A$2,FALSE))</f>
        <v>0.41142401421568497</v>
      </c>
      <c r="R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R$20,East_Snapshot[],5,FALSE),VLOOKUP(R$20,West_Snapshot[],5,FALSE))^$J$18+IFERROR(VLOOKUP(R$20,East_Snapshot[],8,FALSE),VLOOKUP(R$20,West_Snapshot[],8,FALSE))^$J$18))+$D$19*(VLOOKUP($C35,Tracker!$A$46:$T$75,2023-$A$2,FALSE)-VLOOKUP(R$20,Tracker!$A$46:$T$75,2023-$A$2,FALSE))</f>
        <v>0.69890519596184419</v>
      </c>
      <c r="S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S$20,East_Snapshot[],5,FALSE),VLOOKUP(S$20,West_Snapshot[],5,FALSE))^$J$18+IFERROR(VLOOKUP(S$20,East_Snapshot[],8,FALSE),VLOOKUP(S$20,West_Snapshot[],8,FALSE))^$J$18))+$D$19*(VLOOKUP($C35,Tracker!$A$46:$T$75,2023-$A$2,FALSE)-VLOOKUP(S$20,Tracker!$A$46:$T$75,2023-$A$2,FALSE))</f>
        <v>0.5</v>
      </c>
      <c r="T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T$20,East_Snapshot[],5,FALSE),VLOOKUP(T$20,West_Snapshot[],5,FALSE))^$J$18+IFERROR(VLOOKUP(T$20,East_Snapshot[],8,FALSE),VLOOKUP(T$20,West_Snapshot[],8,FALSE))^$J$18))+$D$19*(VLOOKUP($C35,Tracker!$A$46:$T$75,2023-$A$2,FALSE)-VLOOKUP(T$20,Tracker!$A$46:$T$75,2023-$A$2,FALSE))</f>
        <v>0.45796293495067014</v>
      </c>
      <c r="U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U$20,East_Snapshot[],5,FALSE),VLOOKUP(U$20,West_Snapshot[],5,FALSE))^$J$18+IFERROR(VLOOKUP(U$20,East_Snapshot[],8,FALSE),VLOOKUP(U$20,West_Snapshot[],8,FALSE))^$J$18))+$D$19*(VLOOKUP($C35,Tracker!$A$46:$T$75,2023-$A$2,FALSE)-VLOOKUP(U$20,Tracker!$A$46:$T$75,2023-$A$2,FALSE))</f>
        <v>0.80039911259908303</v>
      </c>
      <c r="V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V$20,East_Snapshot[],5,FALSE),VLOOKUP(V$20,West_Snapshot[],5,FALSE))^$J$18+IFERROR(VLOOKUP(V$20,East_Snapshot[],8,FALSE),VLOOKUP(V$20,West_Snapshot[],8,FALSE))^$J$18))+$D$19*(VLOOKUP($C35,Tracker!$A$46:$T$75,2023-$A$2,FALSE)-VLOOKUP(V$20,Tracker!$A$46:$T$75,2023-$A$2,FALSE))</f>
        <v>0.48346798276218877</v>
      </c>
      <c r="W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W$20,East_Snapshot[],5,FALSE),VLOOKUP(W$20,West_Snapshot[],5,FALSE))^$J$18+IFERROR(VLOOKUP(W$20,East_Snapshot[],8,FALSE),VLOOKUP(W$20,West_Snapshot[],8,FALSE))^$J$18))+$D$19*(VLOOKUP($C35,Tracker!$A$46:$T$75,2023-$A$2,FALSE)-VLOOKUP(W$20,Tracker!$A$46:$T$75,2023-$A$2,FALSE))</f>
        <v>0.59340278276239977</v>
      </c>
      <c r="X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X$20,East_Snapshot[],5,FALSE),VLOOKUP(X$20,West_Snapshot[],5,FALSE))^$J$18+IFERROR(VLOOKUP(X$20,East_Snapshot[],8,FALSE),VLOOKUP(X$20,West_Snapshot[],8,FALSE))^$J$18))+$D$19*(VLOOKUP($C35,Tracker!$A$46:$T$75,2023-$A$2,FALSE)-VLOOKUP(X$20,Tracker!$A$46:$T$75,2023-$A$2,FALSE))</f>
        <v>0.56601636548473411</v>
      </c>
      <c r="Y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Y$20,East_Snapshot[],5,FALSE),VLOOKUP(Y$20,West_Snapshot[],5,FALSE))^$J$18+IFERROR(VLOOKUP(Y$20,East_Snapshot[],8,FALSE),VLOOKUP(Y$20,West_Snapshot[],8,FALSE))^$J$18))+$D$19*(VLOOKUP($C35,Tracker!$A$46:$T$75,2023-$A$2,FALSE)-VLOOKUP(Y$20,Tracker!$A$46:$T$75,2023-$A$2,FALSE))</f>
        <v>0.42824085943167606</v>
      </c>
      <c r="Z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Z$20,East_Snapshot[],5,FALSE),VLOOKUP(Z$20,West_Snapshot[],5,FALSE))^$J$18+IFERROR(VLOOKUP(Z$20,East_Snapshot[],8,FALSE),VLOOKUP(Z$20,West_Snapshot[],8,FALSE))^$J$18))+$D$19*(VLOOKUP($C35,Tracker!$A$46:$T$75,2023-$A$2,FALSE)-VLOOKUP(Z$20,Tracker!$A$46:$T$75,2023-$A$2,FALSE))</f>
        <v>0.70667060375569302</v>
      </c>
      <c r="AA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A$20,East_Snapshot[],5,FALSE),VLOOKUP(AA$20,West_Snapshot[],5,FALSE))^$J$18+IFERROR(VLOOKUP(AA$20,East_Snapshot[],8,FALSE),VLOOKUP(AA$20,West_Snapshot[],8,FALSE))^$J$18))+$D$19*(VLOOKUP($C35,Tracker!$A$46:$T$75,2023-$A$2,FALSE)-VLOOKUP(AA$20,Tracker!$A$46:$T$75,2023-$A$2,FALSE))</f>
        <v>0.88544855158625313</v>
      </c>
      <c r="AB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B$20,East_Snapshot[],5,FALSE),VLOOKUP(AB$20,West_Snapshot[],5,FALSE))^$J$18+IFERROR(VLOOKUP(AB$20,East_Snapshot[],8,FALSE),VLOOKUP(AB$20,West_Snapshot[],8,FALSE))^$J$18))+$D$19*(VLOOKUP($C35,Tracker!$A$46:$T$75,2023-$A$2,FALSE)-VLOOKUP(AB$20,Tracker!$A$46:$T$75,2023-$A$2,FALSE))</f>
        <v>0.4840335886388476</v>
      </c>
      <c r="AC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C$20,East_Snapshot[],5,FALSE),VLOOKUP(AC$20,West_Snapshot[],5,FALSE))^$J$18+IFERROR(VLOOKUP(AC$20,East_Snapshot[],8,FALSE),VLOOKUP(AC$20,West_Snapshot[],8,FALSE))^$J$18))+$D$19*(VLOOKUP($C35,Tracker!$A$46:$T$75,2023-$A$2,FALSE)-VLOOKUP(AC$20,Tracker!$A$46:$T$75,2023-$A$2,FALSE))</f>
        <v>0.4516396965272535</v>
      </c>
      <c r="AD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D$20,East_Snapshot[],5,FALSE),VLOOKUP(AD$20,West_Snapshot[],5,FALSE))^$J$18+IFERROR(VLOOKUP(AD$20,East_Snapshot[],8,FALSE),VLOOKUP(AD$20,West_Snapshot[],8,FALSE))^$J$18))+$D$19*(VLOOKUP($C35,Tracker!$A$46:$T$75,2023-$A$2,FALSE)-VLOOKUP(AD$20,Tracker!$A$46:$T$75,2023-$A$2,FALSE))</f>
        <v>0.59675280548543874</v>
      </c>
      <c r="AE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E$20,East_Snapshot[],5,FALSE),VLOOKUP(AE$20,West_Snapshot[],5,FALSE))^$J$18+IFERROR(VLOOKUP(AE$20,East_Snapshot[],8,FALSE),VLOOKUP(AE$20,West_Snapshot[],8,FALSE))^$J$18))+$D$19*(VLOOKUP($C35,Tracker!$A$46:$T$75,2023-$A$2,FALSE)-VLOOKUP(AE$20,Tracker!$A$46:$T$75,2023-$A$2,FALSE))</f>
        <v>0.41115550740846701</v>
      </c>
      <c r="AF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F$20,East_Snapshot[],5,FALSE),VLOOKUP(AF$20,West_Snapshot[],5,FALSE))^$J$18+IFERROR(VLOOKUP(AF$20,East_Snapshot[],8,FALSE),VLOOKUP(AF$20,West_Snapshot[],8,FALSE))^$J$18))+$D$19*(VLOOKUP($C35,Tracker!$A$46:$T$75,2023-$A$2,FALSE)-VLOOKUP(AF$20,Tracker!$A$46:$T$75,2023-$A$2,FALSE))</f>
        <v>0.48341412193051209</v>
      </c>
      <c r="AG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G$20,East_Snapshot[],5,FALSE),VLOOKUP(AG$20,West_Snapshot[],5,FALSE))^$J$18+IFERROR(VLOOKUP(AG$20,East_Snapshot[],8,FALSE),VLOOKUP(AG$20,West_Snapshot[],8,FALSE))^$J$18))+$D$19*(VLOOKUP($C35,Tracker!$A$46:$T$75,2023-$A$2,FALSE)-VLOOKUP(AG$20,Tracker!$A$46:$T$75,2023-$A$2,FALSE))</f>
        <v>0.73661176518149307</v>
      </c>
      <c r="AH35" s="4">
        <f>($H$18*IFERROR(VLOOKUP($C35,East_Snapshot[],5,FALSE),VLOOKUP($C35,West_Snapshot[],5,FALSE))^$J$18+IFERROR(VLOOKUP($C35,East_Snapshot[],8,FALSE),VLOOKUP($C35,West_Snapshot[],8,FALSE))^$J$18)/(($H$18*IFERROR(VLOOKUP($C35,East_Snapshot[],5,FALSE),VLOOKUP($C35,West_Snapshot[],5,FALSE))^$J$18+IFERROR(VLOOKUP($C35,East_Snapshot[],8,FALSE),VLOOKUP($C35,West_Snapshot[],8,FALSE))^$J$18)+($H$18*IFERROR(VLOOKUP(AH$20,East_Snapshot[],5,FALSE),VLOOKUP(AH$20,West_Snapshot[],5,FALSE))^$J$18+IFERROR(VLOOKUP(AH$20,East_Snapshot[],8,FALSE),VLOOKUP(AH$20,West_Snapshot[],8,FALSE))^$J$18))+$D$19*(VLOOKUP($C35,Tracker!$A$46:$T$75,2023-$A$2,FALSE)-VLOOKUP(AH$20,Tracker!$A$46:$T$75,2023-$A$2,FALSE))</f>
        <v>0.52214054612961314</v>
      </c>
    </row>
    <row r="36" spans="3:34" x14ac:dyDescent="0.25">
      <c r="C36" t="s">
        <v>132</v>
      </c>
      <c r="D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D$20,East_Snapshot[],5,FALSE),VLOOKUP(D$20,West_Snapshot[],5,FALSE))^$J$18+IFERROR(VLOOKUP(D$20,East_Snapshot[],8,FALSE),VLOOKUP(D$20,West_Snapshot[],8,FALSE))^$J$18))+$D$19*(VLOOKUP($C36,Tracker!$A$46:$T$75,2023-$A$2,FALSE)-VLOOKUP(D$20,Tracker!$A$46:$T$75,2023-$A$2,FALSE))</f>
        <v>0.60684718509952451</v>
      </c>
      <c r="E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E$20,East_Snapshot[],5,FALSE),VLOOKUP(E$20,West_Snapshot[],5,FALSE))^$J$18+IFERROR(VLOOKUP(E$20,East_Snapshot[],8,FALSE),VLOOKUP(E$20,West_Snapshot[],8,FALSE))^$J$18))+$D$19*(VLOOKUP($C36,Tracker!$A$46:$T$75,2023-$A$2,FALSE)-VLOOKUP(E$20,Tracker!$A$46:$T$75,2023-$A$2,FALSE))</f>
        <v>0.7128836979808354</v>
      </c>
      <c r="F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F$20,East_Snapshot[],5,FALSE),VLOOKUP(F$20,West_Snapshot[],5,FALSE))^$J$18+IFERROR(VLOOKUP(F$20,East_Snapshot[],8,FALSE),VLOOKUP(F$20,West_Snapshot[],8,FALSE))^$J$18))+$D$19*(VLOOKUP($C36,Tracker!$A$46:$T$75,2023-$A$2,FALSE)-VLOOKUP(F$20,Tracker!$A$46:$T$75,2023-$A$2,FALSE))</f>
        <v>0.621301360489668</v>
      </c>
      <c r="G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G$20,East_Snapshot[],5,FALSE),VLOOKUP(G$20,West_Snapshot[],5,FALSE))^$J$18+IFERROR(VLOOKUP(G$20,East_Snapshot[],8,FALSE),VLOOKUP(G$20,West_Snapshot[],8,FALSE))^$J$18))+$D$19*(VLOOKUP($C36,Tracker!$A$46:$T$75,2023-$A$2,FALSE)-VLOOKUP(G$20,Tracker!$A$46:$T$75,2023-$A$2,FALSE))</f>
        <v>0.60434294334691874</v>
      </c>
      <c r="H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H$20,East_Snapshot[],5,FALSE),VLOOKUP(H$20,West_Snapshot[],5,FALSE))^$J$18+IFERROR(VLOOKUP(H$20,East_Snapshot[],8,FALSE),VLOOKUP(H$20,West_Snapshot[],8,FALSE))^$J$18))+$D$19*(VLOOKUP($C36,Tracker!$A$46:$T$75,2023-$A$2,FALSE)-VLOOKUP(H$20,Tracker!$A$46:$T$75,2023-$A$2,FALSE))</f>
        <v>0.54952333389145613</v>
      </c>
      <c r="I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I$20,East_Snapshot[],5,FALSE),VLOOKUP(I$20,West_Snapshot[],5,FALSE))^$J$18+IFERROR(VLOOKUP(I$20,East_Snapshot[],8,FALSE),VLOOKUP(I$20,West_Snapshot[],8,FALSE))^$J$18))+$D$19*(VLOOKUP($C36,Tracker!$A$46:$T$75,2023-$A$2,FALSE)-VLOOKUP(I$20,Tracker!$A$46:$T$75,2023-$A$2,FALSE))</f>
        <v>0.67961333476286501</v>
      </c>
      <c r="J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J$20,East_Snapshot[],5,FALSE),VLOOKUP(J$20,West_Snapshot[],5,FALSE))^$J$18+IFERROR(VLOOKUP(J$20,East_Snapshot[],8,FALSE),VLOOKUP(J$20,West_Snapshot[],8,FALSE))^$J$18))+$D$19*(VLOOKUP($C36,Tracker!$A$46:$T$75,2023-$A$2,FALSE)-VLOOKUP(J$20,Tracker!$A$46:$T$75,2023-$A$2,FALSE))</f>
        <v>0.52861674979427709</v>
      </c>
      <c r="K36" s="4" t="e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K$20,East_Snapshot[],5,FALSE),VLOOKUP(K$20,West_Snapshot[],5,FALSE))^$J$18+IFERROR(VLOOKUP(K$20,East_Snapshot[],8,FALSE),VLOOKUP(K$20,West_Snapshot[],8,FALSE))^$J$18))+$D$19*(VLOOKUP($C36,Tracker!$A$46:$T$75,2023-$A$2,FALSE)-VLOOKUP(K$20,Tracker!$A$46:$T$75,2023-$A$2,FALSE))</f>
        <v>#N/A</v>
      </c>
      <c r="L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L$20,East_Snapshot[],5,FALSE),VLOOKUP(L$20,West_Snapshot[],5,FALSE))^$J$18+IFERROR(VLOOKUP(L$20,East_Snapshot[],8,FALSE),VLOOKUP(L$20,West_Snapshot[],8,FALSE))^$J$18))+$D$19*(VLOOKUP($C36,Tracker!$A$46:$T$75,2023-$A$2,FALSE)-VLOOKUP(L$20,Tracker!$A$46:$T$75,2023-$A$2,FALSE))</f>
        <v>0.62818217243604868</v>
      </c>
      <c r="M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M$20,East_Snapshot[],5,FALSE),VLOOKUP(M$20,West_Snapshot[],5,FALSE))^$J$18+IFERROR(VLOOKUP(M$20,East_Snapshot[],8,FALSE),VLOOKUP(M$20,West_Snapshot[],8,FALSE))^$J$18))+$D$19*(VLOOKUP($C36,Tracker!$A$46:$T$75,2023-$A$2,FALSE)-VLOOKUP(M$20,Tracker!$A$46:$T$75,2023-$A$2,FALSE))</f>
        <v>0.68732931996350521</v>
      </c>
      <c r="N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N$20,East_Snapshot[],5,FALSE),VLOOKUP(N$20,West_Snapshot[],5,FALSE))^$J$18+IFERROR(VLOOKUP(N$20,East_Snapshot[],8,FALSE),VLOOKUP(N$20,West_Snapshot[],8,FALSE))^$J$18))+$D$19*(VLOOKUP($C36,Tracker!$A$46:$T$75,2023-$A$2,FALSE)-VLOOKUP(N$20,Tracker!$A$46:$T$75,2023-$A$2,FALSE))</f>
        <v>0.49113083323518614</v>
      </c>
      <c r="O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O$20,East_Snapshot[],5,FALSE),VLOOKUP(O$20,West_Snapshot[],5,FALSE))^$J$18+IFERROR(VLOOKUP(O$20,East_Snapshot[],8,FALSE),VLOOKUP(O$20,West_Snapshot[],8,FALSE))^$J$18))+$D$19*(VLOOKUP($C36,Tracker!$A$46:$T$75,2023-$A$2,FALSE)-VLOOKUP(O$20,Tracker!$A$46:$T$75,2023-$A$2,FALSE))</f>
        <v>0.49394401521848691</v>
      </c>
      <c r="P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P$20,East_Snapshot[],5,FALSE),VLOOKUP(P$20,West_Snapshot[],5,FALSE))^$J$18+IFERROR(VLOOKUP(P$20,East_Snapshot[],8,FALSE),VLOOKUP(P$20,West_Snapshot[],8,FALSE))^$J$18))+$D$19*(VLOOKUP($C36,Tracker!$A$46:$T$75,2023-$A$2,FALSE)-VLOOKUP(P$20,Tracker!$A$46:$T$75,2023-$A$2,FALSE))</f>
        <v>0.50594730710189972</v>
      </c>
      <c r="Q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Q$20,East_Snapshot[],5,FALSE),VLOOKUP(Q$20,West_Snapshot[],5,FALSE))^$J$18+IFERROR(VLOOKUP(Q$20,East_Snapshot[],8,FALSE),VLOOKUP(Q$20,West_Snapshot[],8,FALSE))^$J$18))+$D$19*(VLOOKUP($C36,Tracker!$A$46:$T$75,2023-$A$2,FALSE)-VLOOKUP(Q$20,Tracker!$A$46:$T$75,2023-$A$2,FALSE))</f>
        <v>0.45297184794212647</v>
      </c>
      <c r="R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R$20,East_Snapshot[],5,FALSE),VLOOKUP(R$20,West_Snapshot[],5,FALSE))^$J$18+IFERROR(VLOOKUP(R$20,East_Snapshot[],8,FALSE),VLOOKUP(R$20,West_Snapshot[],8,FALSE))^$J$18))+$D$19*(VLOOKUP($C36,Tracker!$A$46:$T$75,2023-$A$2,FALSE)-VLOOKUP(R$20,Tracker!$A$46:$T$75,2023-$A$2,FALSE))</f>
        <v>0.73383242979490082</v>
      </c>
      <c r="S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S$20,East_Snapshot[],5,FALSE),VLOOKUP(S$20,West_Snapshot[],5,FALSE))^$J$18+IFERROR(VLOOKUP(S$20,East_Snapshot[],8,FALSE),VLOOKUP(S$20,West_Snapshot[],8,FALSE))^$J$18))+$D$19*(VLOOKUP($C36,Tracker!$A$46:$T$75,2023-$A$2,FALSE)-VLOOKUP(S$20,Tracker!$A$46:$T$75,2023-$A$2,FALSE))</f>
        <v>0.5420370650493298</v>
      </c>
      <c r="T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T$20,East_Snapshot[],5,FALSE),VLOOKUP(T$20,West_Snapshot[],5,FALSE))^$J$18+IFERROR(VLOOKUP(T$20,East_Snapshot[],8,FALSE),VLOOKUP(T$20,West_Snapshot[],8,FALSE))^$J$18))+$D$19*(VLOOKUP($C36,Tracker!$A$46:$T$75,2023-$A$2,FALSE)-VLOOKUP(T$20,Tracker!$A$46:$T$75,2023-$A$2,FALSE))</f>
        <v>0.5</v>
      </c>
      <c r="U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U$20,East_Snapshot[],5,FALSE),VLOOKUP(U$20,West_Snapshot[],5,FALSE))^$J$18+IFERROR(VLOOKUP(U$20,East_Snapshot[],8,FALSE),VLOOKUP(U$20,West_Snapshot[],8,FALSE))^$J$18))+$D$19*(VLOOKUP($C36,Tracker!$A$46:$T$75,2023-$A$2,FALSE)-VLOOKUP(U$20,Tracker!$A$46:$T$75,2023-$A$2,FALSE))</f>
        <v>0.8269590345380412</v>
      </c>
      <c r="V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V$20,East_Snapshot[],5,FALSE),VLOOKUP(V$20,West_Snapshot[],5,FALSE))^$J$18+IFERROR(VLOOKUP(V$20,East_Snapshot[],8,FALSE),VLOOKUP(V$20,West_Snapshot[],8,FALSE))^$J$18))+$D$19*(VLOOKUP($C36,Tracker!$A$46:$T$75,2023-$A$2,FALSE)-VLOOKUP(V$20,Tracker!$A$46:$T$75,2023-$A$2,FALSE))</f>
        <v>0.52557614514544371</v>
      </c>
      <c r="W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W$20,East_Snapshot[],5,FALSE),VLOOKUP(W$20,West_Snapshot[],5,FALSE))^$J$18+IFERROR(VLOOKUP(W$20,East_Snapshot[],8,FALSE),VLOOKUP(W$20,West_Snapshot[],8,FALSE))^$J$18))+$D$19*(VLOOKUP($C36,Tracker!$A$46:$T$75,2023-$A$2,FALSE)-VLOOKUP(W$20,Tracker!$A$46:$T$75,2023-$A$2,FALSE))</f>
        <v>0.63334558664461549</v>
      </c>
      <c r="X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X$20,East_Snapshot[],5,FALSE),VLOOKUP(X$20,West_Snapshot[],5,FALSE))^$J$18+IFERROR(VLOOKUP(X$20,East_Snapshot[],8,FALSE),VLOOKUP(X$20,West_Snapshot[],8,FALSE))^$J$18))+$D$19*(VLOOKUP($C36,Tracker!$A$46:$T$75,2023-$A$2,FALSE)-VLOOKUP(X$20,Tracker!$A$46:$T$75,2023-$A$2,FALSE))</f>
        <v>0.60686714780567608</v>
      </c>
      <c r="Y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Y$20,East_Snapshot[],5,FALSE),VLOOKUP(Y$20,West_Snapshot[],5,FALSE))^$J$18+IFERROR(VLOOKUP(Y$20,East_Snapshot[],8,FALSE),VLOOKUP(Y$20,West_Snapshot[],8,FALSE))^$J$18))+$D$19*(VLOOKUP($C36,Tracker!$A$46:$T$75,2023-$A$2,FALSE)-VLOOKUP(Y$20,Tracker!$A$46:$T$75,2023-$A$2,FALSE))</f>
        <v>0.46991491256192386</v>
      </c>
      <c r="Z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Z$20,East_Snapshot[],5,FALSE),VLOOKUP(Z$20,West_Snapshot[],5,FALSE))^$J$18+IFERROR(VLOOKUP(Z$20,East_Snapshot[],8,FALSE),VLOOKUP(Z$20,West_Snapshot[],8,FALSE))^$J$18))+$D$19*(VLOOKUP($C36,Tracker!$A$46:$T$75,2023-$A$2,FALSE)-VLOOKUP(Z$20,Tracker!$A$46:$T$75,2023-$A$2,FALSE))</f>
        <v>0.74106634635680257</v>
      </c>
      <c r="AA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A$20,East_Snapshot[],5,FALSE),VLOOKUP(AA$20,West_Snapshot[],5,FALSE))^$J$18+IFERROR(VLOOKUP(AA$20,East_Snapshot[],8,FALSE),VLOOKUP(AA$20,West_Snapshot[],8,FALSE))^$J$18))+$D$19*(VLOOKUP($C36,Tracker!$A$46:$T$75,2023-$A$2,FALSE)-VLOOKUP(AA$20,Tracker!$A$46:$T$75,2023-$A$2,FALSE))</f>
        <v>0.90269441723549482</v>
      </c>
      <c r="AB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B$20,East_Snapshot[],5,FALSE),VLOOKUP(AB$20,West_Snapshot[],5,FALSE))^$J$18+IFERROR(VLOOKUP(AB$20,East_Snapshot[],8,FALSE),VLOOKUP(AB$20,West_Snapshot[],8,FALSE))^$J$18))+$D$19*(VLOOKUP($C36,Tracker!$A$46:$T$75,2023-$A$2,FALSE)-VLOOKUP(AB$20,Tracker!$A$46:$T$75,2023-$A$2,FALSE))</f>
        <v>0.52614083462189931</v>
      </c>
      <c r="AC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C$20,East_Snapshot[],5,FALSE),VLOOKUP(AC$20,West_Snapshot[],5,FALSE))^$J$18+IFERROR(VLOOKUP(AC$20,East_Snapshot[],8,FALSE),VLOOKUP(AC$20,West_Snapshot[],8,FALSE))^$J$18))+$D$19*(VLOOKUP($C36,Tracker!$A$46:$T$75,2023-$A$2,FALSE)-VLOOKUP(AC$20,Tracker!$A$46:$T$75,2023-$A$2,FALSE))</f>
        <v>0.49370063145729215</v>
      </c>
      <c r="AD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D$20,East_Snapshot[],5,FALSE),VLOOKUP(AD$20,West_Snapshot[],5,FALSE))^$J$18+IFERROR(VLOOKUP(AD$20,East_Snapshot[],8,FALSE),VLOOKUP(AD$20,West_Snapshot[],8,FALSE))^$J$18))+$D$19*(VLOOKUP($C36,Tracker!$A$46:$T$75,2023-$A$2,FALSE)-VLOOKUP(AD$20,Tracker!$A$46:$T$75,2023-$A$2,FALSE))</f>
        <v>0.63656806974862745</v>
      </c>
      <c r="AE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E$20,East_Snapshot[],5,FALSE),VLOOKUP(AE$20,West_Snapshot[],5,FALSE))^$J$18+IFERROR(VLOOKUP(AE$20,East_Snapshot[],8,FALSE),VLOOKUP(AE$20,West_Snapshot[],8,FALSE))^$J$18))+$D$19*(VLOOKUP($C36,Tracker!$A$46:$T$75,2023-$A$2,FALSE)-VLOOKUP(AE$20,Tracker!$A$46:$T$75,2023-$A$2,FALSE))</f>
        <v>0.45248270942739699</v>
      </c>
      <c r="AF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F$20,East_Snapshot[],5,FALSE),VLOOKUP(AF$20,West_Snapshot[],5,FALSE))^$J$18+IFERROR(VLOOKUP(AF$20,East_Snapshot[],8,FALSE),VLOOKUP(AF$20,West_Snapshot[],8,FALSE))^$J$18))+$D$19*(VLOOKUP($C36,Tracker!$A$46:$T$75,2023-$A$2,FALSE)-VLOOKUP(AF$20,Tracker!$A$46:$T$75,2023-$A$2,FALSE))</f>
        <v>0.52552236596277579</v>
      </c>
      <c r="AG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G$20,East_Snapshot[],5,FALSE),VLOOKUP(AG$20,West_Snapshot[],5,FALSE))^$J$18+IFERROR(VLOOKUP(AG$20,East_Snapshot[],8,FALSE),VLOOKUP(AG$20,West_Snapshot[],8,FALSE))^$J$18))+$D$19*(VLOOKUP($C36,Tracker!$A$46:$T$75,2023-$A$2,FALSE)-VLOOKUP(AG$20,Tracker!$A$46:$T$75,2023-$A$2,FALSE))</f>
        <v>0.76878788004842491</v>
      </c>
      <c r="AH36" s="4">
        <f>($H$18*IFERROR(VLOOKUP($C36,East_Snapshot[],5,FALSE),VLOOKUP($C36,West_Snapshot[],5,FALSE))^$J$18+IFERROR(VLOOKUP($C36,East_Snapshot[],8,FALSE),VLOOKUP($C36,West_Snapshot[],8,FALSE))^$J$18)/(($H$18*IFERROR(VLOOKUP($C36,East_Snapshot[],5,FALSE),VLOOKUP($C36,West_Snapshot[],5,FALSE))^$J$18+IFERROR(VLOOKUP($C36,East_Snapshot[],8,FALSE),VLOOKUP($C36,West_Snapshot[],8,FALSE))^$J$18)+($H$18*IFERROR(VLOOKUP(AH$20,East_Snapshot[],5,FALSE),VLOOKUP(AH$20,West_Snapshot[],5,FALSE))^$J$18+IFERROR(VLOOKUP(AH$20,East_Snapshot[],8,FALSE),VLOOKUP(AH$20,West_Snapshot[],8,FALSE))^$J$18))+$D$19*(VLOOKUP($C36,Tracker!$A$46:$T$75,2023-$A$2,FALSE)-VLOOKUP(AH$20,Tracker!$A$46:$T$75,2023-$A$2,FALSE))</f>
        <v>0.56393957091410629</v>
      </c>
    </row>
    <row r="37" spans="3:34" x14ac:dyDescent="0.25">
      <c r="C37" t="s">
        <v>128</v>
      </c>
      <c r="D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D$20,East_Snapshot[],5,FALSE),VLOOKUP(D$20,West_Snapshot[],5,FALSE))^$J$18+IFERROR(VLOOKUP(D$20,East_Snapshot[],8,FALSE),VLOOKUP(D$20,West_Snapshot[],8,FALSE))^$J$18))+$D$19*(VLOOKUP($C37,Tracker!$A$46:$T$75,2023-$A$2,FALSE)-VLOOKUP(D$20,Tracker!$A$46:$T$75,2023-$A$2,FALSE))</f>
        <v>0.24907840041515258</v>
      </c>
      <c r="E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E$20,East_Snapshot[],5,FALSE),VLOOKUP(E$20,West_Snapshot[],5,FALSE))^$J$18+IFERROR(VLOOKUP(E$20,East_Snapshot[],8,FALSE),VLOOKUP(E$20,West_Snapshot[],8,FALSE))^$J$18))+$D$19*(VLOOKUP($C37,Tracker!$A$46:$T$75,2023-$A$2,FALSE)-VLOOKUP(E$20,Tracker!$A$46:$T$75,2023-$A$2,FALSE))</f>
        <v>0.34642041932420742</v>
      </c>
      <c r="F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F$20,East_Snapshot[],5,FALSE),VLOOKUP(F$20,West_Snapshot[],5,FALSE))^$J$18+IFERROR(VLOOKUP(F$20,East_Snapshot[],8,FALSE),VLOOKUP(F$20,West_Snapshot[],8,FALSE))^$J$18))+$D$19*(VLOOKUP($C37,Tracker!$A$46:$T$75,2023-$A$2,FALSE)-VLOOKUP(F$20,Tracker!$A$46:$T$75,2023-$A$2,FALSE))</f>
        <v>0.2605535913833566</v>
      </c>
      <c r="G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G$20,East_Snapshot[],5,FALSE),VLOOKUP(G$20,West_Snapshot[],5,FALSE))^$J$18+IFERROR(VLOOKUP(G$20,East_Snapshot[],8,FALSE),VLOOKUP(G$20,West_Snapshot[],8,FALSE))^$J$18))+$D$19*(VLOOKUP($C37,Tracker!$A$46:$T$75,2023-$A$2,FALSE)-VLOOKUP(G$20,Tracker!$A$46:$T$75,2023-$A$2,FALSE))</f>
        <v>0.24713883231827211</v>
      </c>
      <c r="H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H$20,East_Snapshot[],5,FALSE),VLOOKUP(H$20,West_Snapshot[],5,FALSE))^$J$18+IFERROR(VLOOKUP(H$20,East_Snapshot[],8,FALSE),VLOOKUP(H$20,West_Snapshot[],8,FALSE))^$J$18))+$D$19*(VLOOKUP($C37,Tracker!$A$46:$T$75,2023-$A$2,FALSE)-VLOOKUP(H$20,Tracker!$A$46:$T$75,2023-$A$2,FALSE))</f>
        <v>0.20464775302524446</v>
      </c>
      <c r="I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I$20,East_Snapshot[],5,FALSE),VLOOKUP(I$20,West_Snapshot[],5,FALSE))^$J$18+IFERROR(VLOOKUP(I$20,East_Snapshot[],8,FALSE),VLOOKUP(I$20,West_Snapshot[],8,FALSE))^$J$18))+$D$19*(VLOOKUP($C37,Tracker!$A$46:$T$75,2023-$A$2,FALSE)-VLOOKUP(I$20,Tracker!$A$46:$T$75,2023-$A$2,FALSE))</f>
        <v>0.31228844870595057</v>
      </c>
      <c r="J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J$20,East_Snapshot[],5,FALSE),VLOOKUP(J$20,West_Snapshot[],5,FALSE))^$J$18+IFERROR(VLOOKUP(J$20,East_Snapshot[],8,FALSE),VLOOKUP(J$20,West_Snapshot[],8,FALSE))^$J$18))+$D$19*(VLOOKUP($C37,Tracker!$A$46:$T$75,2023-$A$2,FALSE)-VLOOKUP(J$20,Tracker!$A$46:$T$75,2023-$A$2,FALSE))</f>
        <v>0.19080242339626649</v>
      </c>
      <c r="K37" s="4" t="e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K$20,East_Snapshot[],5,FALSE),VLOOKUP(K$20,West_Snapshot[],5,FALSE))^$J$18+IFERROR(VLOOKUP(K$20,East_Snapshot[],8,FALSE),VLOOKUP(K$20,West_Snapshot[],8,FALSE))^$J$18))+$D$19*(VLOOKUP($C37,Tracker!$A$46:$T$75,2023-$A$2,FALSE)-VLOOKUP(K$20,Tracker!$A$46:$T$75,2023-$A$2,FALSE))</f>
        <v>#N/A</v>
      </c>
      <c r="L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L$20,East_Snapshot[],5,FALSE),VLOOKUP(L$20,West_Snapshot[],5,FALSE))^$J$18+IFERROR(VLOOKUP(L$20,East_Snapshot[],8,FALSE),VLOOKUP(L$20,West_Snapshot[],8,FALSE))^$J$18))+$D$19*(VLOOKUP($C37,Tracker!$A$46:$T$75,2023-$A$2,FALSE)-VLOOKUP(L$20,Tracker!$A$46:$T$75,2023-$A$2,FALSE))</f>
        <v>0.26619008169972369</v>
      </c>
      <c r="M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M$20,East_Snapshot[],5,FALSE),VLOOKUP(M$20,West_Snapshot[],5,FALSE))^$J$18+IFERROR(VLOOKUP(M$20,East_Snapshot[],8,FALSE),VLOOKUP(M$20,West_Snapshot[],8,FALSE))^$J$18))+$D$19*(VLOOKUP($C37,Tracker!$A$46:$T$75,2023-$A$2,FALSE)-VLOOKUP(M$20,Tracker!$A$46:$T$75,2023-$A$2,FALSE))</f>
        <v>0.31987341161613603</v>
      </c>
      <c r="N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N$20,East_Snapshot[],5,FALSE),VLOOKUP(N$20,West_Snapshot[],5,FALSE))^$J$18+IFERROR(VLOOKUP(N$20,East_Snapshot[],8,FALSE),VLOOKUP(N$20,West_Snapshot[],8,FALSE))^$J$18))+$D$19*(VLOOKUP($C37,Tracker!$A$46:$T$75,2023-$A$2,FALSE)-VLOOKUP(N$20,Tracker!$A$46:$T$75,2023-$A$2,FALSE))</f>
        <v>0.16779488251647745</v>
      </c>
      <c r="O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O$20,East_Snapshot[],5,FALSE),VLOOKUP(O$20,West_Snapshot[],5,FALSE))^$J$18+IFERROR(VLOOKUP(O$20,East_Snapshot[],8,FALSE),VLOOKUP(O$20,West_Snapshot[],8,FALSE))^$J$18))+$D$19*(VLOOKUP($C37,Tracker!$A$46:$T$75,2023-$A$2,FALSE)-VLOOKUP(O$20,Tracker!$A$46:$T$75,2023-$A$2,FALSE))</f>
        <v>0.16944619165350572</v>
      </c>
      <c r="P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P$20,East_Snapshot[],5,FALSE),VLOOKUP(P$20,West_Snapshot[],5,FALSE))^$J$18+IFERROR(VLOOKUP(P$20,East_Snapshot[],8,FALSE),VLOOKUP(P$20,West_Snapshot[],8,FALSE))^$J$18))+$D$19*(VLOOKUP($C37,Tracker!$A$46:$T$75,2023-$A$2,FALSE)-VLOOKUP(P$20,Tracker!$A$46:$T$75,2023-$A$2,FALSE))</f>
        <v>0.17662536171032148</v>
      </c>
      <c r="Q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Q$20,East_Snapshot[],5,FALSE),VLOOKUP(Q$20,West_Snapshot[],5,FALSE))^$J$18+IFERROR(VLOOKUP(Q$20,East_Snapshot[],8,FALSE),VLOOKUP(Q$20,West_Snapshot[],8,FALSE))^$J$18))+$D$19*(VLOOKUP($C37,Tracker!$A$46:$T$75,2023-$A$2,FALSE)-VLOOKUP(Q$20,Tracker!$A$46:$T$75,2023-$A$2,FALSE))</f>
        <v>0.14188579742206722</v>
      </c>
      <c r="R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R$20,East_Snapshot[],5,FALSE),VLOOKUP(R$20,West_Snapshot[],5,FALSE))^$J$18+IFERROR(VLOOKUP(R$20,East_Snapshot[],8,FALSE),VLOOKUP(R$20,West_Snapshot[],8,FALSE))^$J$18))+$D$19*(VLOOKUP($C37,Tracker!$A$46:$T$75,2023-$A$2,FALSE)-VLOOKUP(R$20,Tracker!$A$46:$T$75,2023-$A$2,FALSE))</f>
        <v>0.36997434523462552</v>
      </c>
      <c r="S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S$20,East_Snapshot[],5,FALSE),VLOOKUP(S$20,West_Snapshot[],5,FALSE))^$J$18+IFERROR(VLOOKUP(S$20,East_Snapshot[],8,FALSE),VLOOKUP(S$20,West_Snapshot[],8,FALSE))^$J$18))+$D$19*(VLOOKUP($C37,Tracker!$A$46:$T$75,2023-$A$2,FALSE)-VLOOKUP(S$20,Tracker!$A$46:$T$75,2023-$A$2,FALSE))</f>
        <v>0.19960088740091694</v>
      </c>
      <c r="T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T$20,East_Snapshot[],5,FALSE),VLOOKUP(T$20,West_Snapshot[],5,FALSE))^$J$18+IFERROR(VLOOKUP(T$20,East_Snapshot[],8,FALSE),VLOOKUP(T$20,West_Snapshot[],8,FALSE))^$J$18))+$D$19*(VLOOKUP($C37,Tracker!$A$46:$T$75,2023-$A$2,FALSE)-VLOOKUP(T$20,Tracker!$A$46:$T$75,2023-$A$2,FALSE))</f>
        <v>0.17304096546195877</v>
      </c>
      <c r="U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U$20,East_Snapshot[],5,FALSE),VLOOKUP(U$20,West_Snapshot[],5,FALSE))^$J$18+IFERROR(VLOOKUP(U$20,East_Snapshot[],8,FALSE),VLOOKUP(U$20,West_Snapshot[],8,FALSE))^$J$18))+$D$19*(VLOOKUP($C37,Tracker!$A$46:$T$75,2023-$A$2,FALSE)-VLOOKUP(U$20,Tracker!$A$46:$T$75,2023-$A$2,FALSE))</f>
        <v>0.5</v>
      </c>
      <c r="V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V$20,East_Snapshot[],5,FALSE),VLOOKUP(V$20,West_Snapshot[],5,FALSE))^$J$18+IFERROR(VLOOKUP(V$20,East_Snapshot[],8,FALSE),VLOOKUP(V$20,West_Snapshot[],8,FALSE))^$J$18))+$D$19*(VLOOKUP($C37,Tracker!$A$46:$T$75,2023-$A$2,FALSE)-VLOOKUP(V$20,Tracker!$A$46:$T$75,2023-$A$2,FALSE))</f>
        <v>0.18885197604096113</v>
      </c>
      <c r="W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W$20,East_Snapshot[],5,FALSE),VLOOKUP(W$20,West_Snapshot[],5,FALSE))^$J$18+IFERROR(VLOOKUP(W$20,East_Snapshot[],8,FALSE),VLOOKUP(W$20,West_Snapshot[],8,FALSE))^$J$18))+$D$19*(VLOOKUP($C37,Tracker!$A$46:$T$75,2023-$A$2,FALSE)-VLOOKUP(W$20,Tracker!$A$46:$T$75,2023-$A$2,FALSE))</f>
        <v>0.26902914045396276</v>
      </c>
      <c r="X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X$20,East_Snapshot[],5,FALSE),VLOOKUP(X$20,West_Snapshot[],5,FALSE))^$J$18+IFERROR(VLOOKUP(X$20,East_Snapshot[],8,FALSE),VLOOKUP(X$20,West_Snapshot[],8,FALSE))^$J$18))+$D$19*(VLOOKUP($C37,Tracker!$A$46:$T$75,2023-$A$2,FALSE)-VLOOKUP(X$20,Tracker!$A$46:$T$75,2023-$A$2,FALSE))</f>
        <v>0.24698153346810131</v>
      </c>
      <c r="Y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Y$20,East_Snapshot[],5,FALSE),VLOOKUP(Y$20,West_Snapshot[],5,FALSE))^$J$18+IFERROR(VLOOKUP(Y$20,East_Snapshot[],8,FALSE),VLOOKUP(Y$20,West_Snapshot[],8,FALSE))^$J$18))+$D$19*(VLOOKUP($C37,Tracker!$A$46:$T$75,2023-$A$2,FALSE)-VLOOKUP(Y$20,Tracker!$A$46:$T$75,2023-$A$2,FALSE))</f>
        <v>0.15570681015140073</v>
      </c>
      <c r="Z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Z$20,East_Snapshot[],5,FALSE),VLOOKUP(Z$20,West_Snapshot[],5,FALSE))^$J$18+IFERROR(VLOOKUP(Z$20,East_Snapshot[],8,FALSE),VLOOKUP(Z$20,West_Snapshot[],8,FALSE))^$J$18))+$D$19*(VLOOKUP($C37,Tracker!$A$46:$T$75,2023-$A$2,FALSE)-VLOOKUP(Z$20,Tracker!$A$46:$T$75,2023-$A$2,FALSE))</f>
        <v>0.3785189078515282</v>
      </c>
      <c r="AA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A$20,East_Snapshot[],5,FALSE),VLOOKUP(AA$20,West_Snapshot[],5,FALSE))^$J$18+IFERROR(VLOOKUP(AA$20,East_Snapshot[],8,FALSE),VLOOKUP(AA$20,West_Snapshot[],8,FALSE))^$J$18))+$D$19*(VLOOKUP($C37,Tracker!$A$46:$T$75,2023-$A$2,FALSE)-VLOOKUP(AA$20,Tracker!$A$46:$T$75,2023-$A$2,FALSE))</f>
        <v>0.65082888995329025</v>
      </c>
      <c r="AB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B$20,East_Snapshot[],5,FALSE),VLOOKUP(AB$20,West_Snapshot[],5,FALSE))^$J$18+IFERROR(VLOOKUP(AB$20,East_Snapshot[],8,FALSE),VLOOKUP(AB$20,West_Snapshot[],8,FALSE))^$J$18))+$D$19*(VLOOKUP($C37,Tracker!$A$46:$T$75,2023-$A$2,FALSE)-VLOOKUP(AB$20,Tracker!$A$46:$T$75,2023-$A$2,FALSE))</f>
        <v>0.18921302963549594</v>
      </c>
      <c r="AC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C$20,East_Snapshot[],5,FALSE),VLOOKUP(AC$20,West_Snapshot[],5,FALSE))^$J$18+IFERROR(VLOOKUP(AC$20,East_Snapshot[],8,FALSE),VLOOKUP(AC$20,West_Snapshot[],8,FALSE))^$J$18))+$D$19*(VLOOKUP($C37,Tracker!$A$46:$T$75,2023-$A$2,FALSE)-VLOOKUP(AC$20,Tracker!$A$46:$T$75,2023-$A$2,FALSE))</f>
        <v>0.16526492468829787</v>
      </c>
      <c r="AD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D$20,East_Snapshot[],5,FALSE),VLOOKUP(AD$20,West_Snapshot[],5,FALSE))^$J$18+IFERROR(VLOOKUP(AD$20,East_Snapshot[],8,FALSE),VLOOKUP(AD$20,West_Snapshot[],8,FALSE))^$J$18))+$D$19*(VLOOKUP($C37,Tracker!$A$46:$T$75,2023-$A$2,FALSE)-VLOOKUP(AD$20,Tracker!$A$46:$T$75,2023-$A$2,FALSE))</f>
        <v>0.271834579717666</v>
      </c>
      <c r="AE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E$20,East_Snapshot[],5,FALSE),VLOOKUP(AE$20,West_Snapshot[],5,FALSE))^$J$18+IFERROR(VLOOKUP(AE$20,East_Snapshot[],8,FALSE),VLOOKUP(AE$20,West_Snapshot[],8,FALSE))^$J$18))+$D$19*(VLOOKUP($C37,Tracker!$A$46:$T$75,2023-$A$2,FALSE)-VLOOKUP(AE$20,Tracker!$A$46:$T$75,2023-$A$2,FALSE))</f>
        <v>0.14623358622099061</v>
      </c>
      <c r="AF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F$20,East_Snapshot[],5,FALSE),VLOOKUP(AF$20,West_Snapshot[],5,FALSE))^$J$18+IFERROR(VLOOKUP(AF$20,East_Snapshot[],8,FALSE),VLOOKUP(AF$20,West_Snapshot[],8,FALSE))^$J$18))+$D$19*(VLOOKUP($C37,Tracker!$A$46:$T$75,2023-$A$2,FALSE)-VLOOKUP(AF$20,Tracker!$A$46:$T$75,2023-$A$2,FALSE))</f>
        <v>0.18881761833897739</v>
      </c>
      <c r="AG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G$20,East_Snapshot[],5,FALSE),VLOOKUP(AG$20,West_Snapshot[],5,FALSE))^$J$18+IFERROR(VLOOKUP(AG$20,East_Snapshot[],8,FALSE),VLOOKUP(AG$20,West_Snapshot[],8,FALSE))^$J$18))+$D$19*(VLOOKUP($C37,Tracker!$A$46:$T$75,2023-$A$2,FALSE)-VLOOKUP(AG$20,Tracker!$A$46:$T$75,2023-$A$2,FALSE))</f>
        <v>0.4134228177926349</v>
      </c>
      <c r="AH37" s="4">
        <f>($H$18*IFERROR(VLOOKUP($C37,East_Snapshot[],5,FALSE),VLOOKUP($C37,West_Snapshot[],5,FALSE))^$J$18+IFERROR(VLOOKUP($C37,East_Snapshot[],8,FALSE),VLOOKUP($C37,West_Snapshot[],8,FALSE))^$J$18)/(($H$18*IFERROR(VLOOKUP($C37,East_Snapshot[],5,FALSE),VLOOKUP($C37,West_Snapshot[],5,FALSE))^$J$18+IFERROR(VLOOKUP($C37,East_Snapshot[],8,FALSE),VLOOKUP($C37,West_Snapshot[],8,FALSE))^$J$18)+($H$18*IFERROR(VLOOKUP(AH$20,East_Snapshot[],5,FALSE),VLOOKUP(AH$20,West_Snapshot[],5,FALSE))^$J$18+IFERROR(VLOOKUP(AH$20,East_Snapshot[],8,FALSE),VLOOKUP(AH$20,West_Snapshot[],8,FALSE))^$J$18))+$D$19*(VLOOKUP($C37,Tracker!$A$46:$T$75,2023-$A$2,FALSE)-VLOOKUP(AH$20,Tracker!$A$46:$T$75,2023-$A$2,FALSE))</f>
        <v>0.21466013839740866</v>
      </c>
    </row>
    <row r="38" spans="3:34" x14ac:dyDescent="0.25">
      <c r="C38" t="s">
        <v>171</v>
      </c>
      <c r="D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D$20,East_Snapshot[],5,FALSE),VLOOKUP(D$20,West_Snapshot[],5,FALSE))^$J$18+IFERROR(VLOOKUP(D$20,East_Snapshot[],8,FALSE),VLOOKUP(D$20,West_Snapshot[],8,FALSE))^$J$18))+$D$19*(VLOOKUP($C38,Tracker!$A$46:$T$75,2023-$A$2,FALSE)-VLOOKUP(D$20,Tracker!$A$46:$T$75,2023-$A$2,FALSE))</f>
        <v>0.58198425350618055</v>
      </c>
      <c r="E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E$20,East_Snapshot[],5,FALSE),VLOOKUP(E$20,West_Snapshot[],5,FALSE))^$J$18+IFERROR(VLOOKUP(E$20,East_Snapshot[],8,FALSE),VLOOKUP(E$20,West_Snapshot[],8,FALSE))^$J$18))+$D$19*(VLOOKUP($C38,Tracker!$A$46:$T$75,2023-$A$2,FALSE)-VLOOKUP(E$20,Tracker!$A$46:$T$75,2023-$A$2,FALSE))</f>
        <v>0.69106574097539653</v>
      </c>
      <c r="F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F$20,East_Snapshot[],5,FALSE),VLOOKUP(F$20,West_Snapshot[],5,FALSE))^$J$18+IFERROR(VLOOKUP(F$20,East_Snapshot[],8,FALSE),VLOOKUP(F$20,West_Snapshot[],8,FALSE))^$J$18))+$D$19*(VLOOKUP($C38,Tracker!$A$46:$T$75,2023-$A$2,FALSE)-VLOOKUP(F$20,Tracker!$A$46:$T$75,2023-$A$2,FALSE))</f>
        <v>0.59671258019189466</v>
      </c>
      <c r="G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G$20,East_Snapshot[],5,FALSE),VLOOKUP(G$20,West_Snapshot[],5,FALSE))^$J$18+IFERROR(VLOOKUP(G$20,East_Snapshot[],8,FALSE),VLOOKUP(G$20,West_Snapshot[],8,FALSE))^$J$18))+$D$19*(VLOOKUP($C38,Tracker!$A$46:$T$75,2023-$A$2,FALSE)-VLOOKUP(G$20,Tracker!$A$46:$T$75,2023-$A$2,FALSE))</f>
        <v>0.57943698420079681</v>
      </c>
      <c r="H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H$20,East_Snapshot[],5,FALSE),VLOOKUP(H$20,West_Snapshot[],5,FALSE))^$J$18+IFERROR(VLOOKUP(H$20,East_Snapshot[],8,FALSE),VLOOKUP(H$20,West_Snapshot[],8,FALSE))^$J$18))+$D$19*(VLOOKUP($C38,Tracker!$A$46:$T$75,2023-$A$2,FALSE)-VLOOKUP(H$20,Tracker!$A$46:$T$75,2023-$A$2,FALSE))</f>
        <v>0.52406913414533085</v>
      </c>
      <c r="I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I$20,East_Snapshot[],5,FALSE),VLOOKUP(I$20,West_Snapshot[],5,FALSE))^$J$18+IFERROR(VLOOKUP(I$20,East_Snapshot[],8,FALSE),VLOOKUP(I$20,West_Snapshot[],8,FALSE))^$J$18))+$D$19*(VLOOKUP($C38,Tracker!$A$46:$T$75,2023-$A$2,FALSE)-VLOOKUP(I$20,Tracker!$A$46:$T$75,2023-$A$2,FALSE))</f>
        <v>0.65658069015822507</v>
      </c>
      <c r="J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J$20,East_Snapshot[],5,FALSE),VLOOKUP(J$20,West_Snapshot[],5,FALSE))^$J$18+IFERROR(VLOOKUP(J$20,East_Snapshot[],8,FALSE),VLOOKUP(J$20,West_Snapshot[],8,FALSE))^$J$18))+$D$19*(VLOOKUP($C38,Tracker!$A$46:$T$75,2023-$A$2,FALSE)-VLOOKUP(J$20,Tracker!$A$46:$T$75,2023-$A$2,FALSE))</f>
        <v>0.5030495325352573</v>
      </c>
      <c r="K38" s="4" t="e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K$20,East_Snapshot[],5,FALSE),VLOOKUP(K$20,West_Snapshot[],5,FALSE))^$J$18+IFERROR(VLOOKUP(K$20,East_Snapshot[],8,FALSE),VLOOKUP(K$20,West_Snapshot[],8,FALSE))^$J$18))+$D$19*(VLOOKUP($C38,Tracker!$A$46:$T$75,2023-$A$2,FALSE)-VLOOKUP(K$20,Tracker!$A$46:$T$75,2023-$A$2,FALSE))</f>
        <v>#N/A</v>
      </c>
      <c r="L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L$20,East_Snapshot[],5,FALSE),VLOOKUP(L$20,West_Snapshot[],5,FALSE))^$J$18+IFERROR(VLOOKUP(L$20,East_Snapshot[],8,FALSE),VLOOKUP(L$20,West_Snapshot[],8,FALSE))^$J$18))+$D$19*(VLOOKUP($C38,Tracker!$A$46:$T$75,2023-$A$2,FALSE)-VLOOKUP(L$20,Tracker!$A$46:$T$75,2023-$A$2,FALSE))</f>
        <v>0.60373939066606552</v>
      </c>
      <c r="M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M$20,East_Snapshot[],5,FALSE),VLOOKUP(M$20,West_Snapshot[],5,FALSE))^$J$18+IFERROR(VLOOKUP(M$20,East_Snapshot[],8,FALSE),VLOOKUP(M$20,West_Snapshot[],8,FALSE))^$J$18))+$D$19*(VLOOKUP($C38,Tracker!$A$46:$T$75,2023-$A$2,FALSE)-VLOOKUP(M$20,Tracker!$A$46:$T$75,2023-$A$2,FALSE))</f>
        <v>0.66455708794810253</v>
      </c>
      <c r="N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N$20,East_Snapshot[],5,FALSE),VLOOKUP(N$20,West_Snapshot[],5,FALSE))^$J$18+IFERROR(VLOOKUP(N$20,East_Snapshot[],8,FALSE),VLOOKUP(N$20,West_Snapshot[],8,FALSE))^$J$18))+$D$19*(VLOOKUP($C38,Tracker!$A$46:$T$75,2023-$A$2,FALSE)-VLOOKUP(N$20,Tracker!$A$46:$T$75,2023-$A$2,FALSE))</f>
        <v>0.46558591393050541</v>
      </c>
      <c r="O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O$20,East_Snapshot[],5,FALSE),VLOOKUP(O$20,West_Snapshot[],5,FALSE))^$J$18+IFERROR(VLOOKUP(O$20,East_Snapshot[],8,FALSE),VLOOKUP(O$20,West_Snapshot[],8,FALSE))^$J$18))+$D$19*(VLOOKUP($C38,Tracker!$A$46:$T$75,2023-$A$2,FALSE)-VLOOKUP(O$20,Tracker!$A$46:$T$75,2023-$A$2,FALSE))</f>
        <v>0.46838745578234114</v>
      </c>
      <c r="P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P$20,East_Snapshot[],5,FALSE),VLOOKUP(P$20,West_Snapshot[],5,FALSE))^$J$18+IFERROR(VLOOKUP(P$20,East_Snapshot[],8,FALSE),VLOOKUP(P$20,West_Snapshot[],8,FALSE))^$J$18))+$D$19*(VLOOKUP($C38,Tracker!$A$46:$T$75,2023-$A$2,FALSE)-VLOOKUP(P$20,Tracker!$A$46:$T$75,2023-$A$2,FALSE))</f>
        <v>0.48035921177893354</v>
      </c>
      <c r="Q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Q$20,East_Snapshot[],5,FALSE),VLOOKUP(Q$20,West_Snapshot[],5,FALSE))^$J$18+IFERROR(VLOOKUP(Q$20,East_Snapshot[],8,FALSE),VLOOKUP(Q$20,West_Snapshot[],8,FALSE))^$J$18))+$D$19*(VLOOKUP($C38,Tracker!$A$46:$T$75,2023-$A$2,FALSE)-VLOOKUP(Q$20,Tracker!$A$46:$T$75,2023-$A$2,FALSE))</f>
        <v>0.42763196225181072</v>
      </c>
      <c r="R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R$20,East_Snapshot[],5,FALSE),VLOOKUP(R$20,West_Snapshot[],5,FALSE))^$J$18+IFERROR(VLOOKUP(R$20,East_Snapshot[],8,FALSE),VLOOKUP(R$20,West_Snapshot[],8,FALSE))^$J$18))+$D$19*(VLOOKUP($C38,Tracker!$A$46:$T$75,2023-$A$2,FALSE)-VLOOKUP(R$20,Tracker!$A$46:$T$75,2023-$A$2,FALSE))</f>
        <v>0.71290256734983437</v>
      </c>
      <c r="S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S$20,East_Snapshot[],5,FALSE),VLOOKUP(S$20,West_Snapshot[],5,FALSE))^$J$18+IFERROR(VLOOKUP(S$20,East_Snapshot[],8,FALSE),VLOOKUP(S$20,West_Snapshot[],8,FALSE))^$J$18))+$D$19*(VLOOKUP($C38,Tracker!$A$46:$T$75,2023-$A$2,FALSE)-VLOOKUP(S$20,Tracker!$A$46:$T$75,2023-$A$2,FALSE))</f>
        <v>0.51653201723781117</v>
      </c>
      <c r="T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T$20,East_Snapshot[],5,FALSE),VLOOKUP(T$20,West_Snapshot[],5,FALSE))^$J$18+IFERROR(VLOOKUP(T$20,East_Snapshot[],8,FALSE),VLOOKUP(T$20,West_Snapshot[],8,FALSE))^$J$18))+$D$19*(VLOOKUP($C38,Tracker!$A$46:$T$75,2023-$A$2,FALSE)-VLOOKUP(T$20,Tracker!$A$46:$T$75,2023-$A$2,FALSE))</f>
        <v>0.47442385485455635</v>
      </c>
      <c r="U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U$20,East_Snapshot[],5,FALSE),VLOOKUP(U$20,West_Snapshot[],5,FALSE))^$J$18+IFERROR(VLOOKUP(U$20,East_Snapshot[],8,FALSE),VLOOKUP(U$20,West_Snapshot[],8,FALSE))^$J$18))+$D$19*(VLOOKUP($C38,Tracker!$A$46:$T$75,2023-$A$2,FALSE)-VLOOKUP(U$20,Tracker!$A$46:$T$75,2023-$A$2,FALSE))</f>
        <v>0.81114802395903896</v>
      </c>
      <c r="V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V$20,East_Snapshot[],5,FALSE),VLOOKUP(V$20,West_Snapshot[],5,FALSE))^$J$18+IFERROR(VLOOKUP(V$20,East_Snapshot[],8,FALSE),VLOOKUP(V$20,West_Snapshot[],8,FALSE))^$J$18))+$D$19*(VLOOKUP($C38,Tracker!$A$46:$T$75,2023-$A$2,FALSE)-VLOOKUP(V$20,Tracker!$A$46:$T$75,2023-$A$2,FALSE))</f>
        <v>0.5</v>
      </c>
      <c r="W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W$20,East_Snapshot[],5,FALSE),VLOOKUP(W$20,West_Snapshot[],5,FALSE))^$J$18+IFERROR(VLOOKUP(W$20,East_Snapshot[],8,FALSE),VLOOKUP(W$20,West_Snapshot[],8,FALSE))^$J$18))+$D$19*(VLOOKUP($C38,Tracker!$A$46:$T$75,2023-$A$2,FALSE)-VLOOKUP(W$20,Tracker!$A$46:$T$75,2023-$A$2,FALSE))</f>
        <v>0.60925995092465202</v>
      </c>
      <c r="X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X$20,East_Snapshot[],5,FALSE),VLOOKUP(X$20,West_Snapshot[],5,FALSE))^$J$18+IFERROR(VLOOKUP(X$20,East_Snapshot[],8,FALSE),VLOOKUP(X$20,West_Snapshot[],8,FALSE))^$J$18))+$D$19*(VLOOKUP($C38,Tracker!$A$46:$T$75,2023-$A$2,FALSE)-VLOOKUP(X$20,Tracker!$A$46:$T$75,2023-$A$2,FALSE))</f>
        <v>0.58218958124798348</v>
      </c>
      <c r="Y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Y$20,East_Snapshot[],5,FALSE),VLOOKUP(Y$20,West_Snapshot[],5,FALSE))^$J$18+IFERROR(VLOOKUP(Y$20,East_Snapshot[],8,FALSE),VLOOKUP(Y$20,West_Snapshot[],8,FALSE))^$J$18))+$D$19*(VLOOKUP($C38,Tracker!$A$46:$T$75,2023-$A$2,FALSE)-VLOOKUP(Y$20,Tracker!$A$46:$T$75,2023-$A$2,FALSE))</f>
        <v>0.44450955824270943</v>
      </c>
      <c r="Z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Z$20,East_Snapshot[],5,FALSE),VLOOKUP(Z$20,West_Snapshot[],5,FALSE))^$J$18+IFERROR(VLOOKUP(Z$20,East_Snapshot[],8,FALSE),VLOOKUP(Z$20,West_Snapshot[],8,FALSE))^$J$18))+$D$19*(VLOOKUP($C38,Tracker!$A$46:$T$75,2023-$A$2,FALSE)-VLOOKUP(Z$20,Tracker!$A$46:$T$75,2023-$A$2,FALSE))</f>
        <v>0.72046542402428337</v>
      </c>
      <c r="AA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A$20,East_Snapshot[],5,FALSE),VLOOKUP(AA$20,West_Snapshot[],5,FALSE))^$J$18+IFERROR(VLOOKUP(AA$20,East_Snapshot[],8,FALSE),VLOOKUP(AA$20,West_Snapshot[],8,FALSE))^$J$18))+$D$19*(VLOOKUP($C38,Tracker!$A$46:$T$75,2023-$A$2,FALSE)-VLOOKUP(AA$20,Tracker!$A$46:$T$75,2023-$A$2,FALSE))</f>
        <v>0.89248436642175788</v>
      </c>
      <c r="AB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B$20,East_Snapshot[],5,FALSE),VLOOKUP(AB$20,West_Snapshot[],5,FALSE))^$J$18+IFERROR(VLOOKUP(AB$20,East_Snapshot[],8,FALSE),VLOOKUP(AB$20,West_Snapshot[],8,FALSE))^$J$18))+$D$19*(VLOOKUP($C38,Tracker!$A$46:$T$75,2023-$A$2,FALSE)-VLOOKUP(AB$20,Tracker!$A$46:$T$75,2023-$A$2,FALSE))</f>
        <v>0.50056620369034122</v>
      </c>
      <c r="AC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C$20,East_Snapshot[],5,FALSE),VLOOKUP(AC$20,West_Snapshot[],5,FALSE))^$J$18+IFERROR(VLOOKUP(AC$20,East_Snapshot[],8,FALSE),VLOOKUP(AC$20,West_Snapshot[],8,FALSE))^$J$18))+$D$19*(VLOOKUP($C38,Tracker!$A$46:$T$75,2023-$A$2,FALSE)-VLOOKUP(AC$20,Tracker!$A$46:$T$75,2023-$A$2,FALSE))</f>
        <v>0.46811620129059428</v>
      </c>
      <c r="AD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D$20,East_Snapshot[],5,FALSE),VLOOKUP(AD$20,West_Snapshot[],5,FALSE))^$J$18+IFERROR(VLOOKUP(AD$20,East_Snapshot[],8,FALSE),VLOOKUP(AD$20,West_Snapshot[],8,FALSE))^$J$18))+$D$19*(VLOOKUP($C38,Tracker!$A$46:$T$75,2023-$A$2,FALSE)-VLOOKUP(AD$20,Tracker!$A$46:$T$75,2023-$A$2,FALSE))</f>
        <v>0.6125646256716375</v>
      </c>
      <c r="AE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E$20,East_Snapshot[],5,FALSE),VLOOKUP(AE$20,West_Snapshot[],5,FALSE))^$J$18+IFERROR(VLOOKUP(AE$20,East_Snapshot[],8,FALSE),VLOOKUP(AE$20,West_Snapshot[],8,FALSE))^$J$18))+$D$19*(VLOOKUP($C38,Tracker!$A$46:$T$75,2023-$A$2,FALSE)-VLOOKUP(AE$20,Tracker!$A$46:$T$75,2023-$A$2,FALSE))</f>
        <v>0.42726016979825449</v>
      </c>
      <c r="AF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F$20,East_Snapshot[],5,FALSE),VLOOKUP(AF$20,West_Snapshot[],5,FALSE))^$J$18+IFERROR(VLOOKUP(AF$20,East_Snapshot[],8,FALSE),VLOOKUP(AF$20,West_Snapshot[],8,FALSE))^$J$18))+$D$19*(VLOOKUP($C38,Tracker!$A$46:$T$75,2023-$A$2,FALSE)-VLOOKUP(AF$20,Tracker!$A$46:$T$75,2023-$A$2,FALSE))</f>
        <v>0.499946080029326</v>
      </c>
      <c r="AG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G$20,East_Snapshot[],5,FALSE),VLOOKUP(AG$20,West_Snapshot[],5,FALSE))^$J$18+IFERROR(VLOOKUP(AG$20,East_Snapshot[],8,FALSE),VLOOKUP(AG$20,West_Snapshot[],8,FALSE))^$J$18))+$D$19*(VLOOKUP($C38,Tracker!$A$46:$T$75,2023-$A$2,FALSE)-VLOOKUP(AG$20,Tracker!$A$46:$T$75,2023-$A$2,FALSE))</f>
        <v>0.74955397072181029</v>
      </c>
      <c r="AH38" s="4">
        <f>($H$18*IFERROR(VLOOKUP($C38,East_Snapshot[],5,FALSE),VLOOKUP($C38,West_Snapshot[],5,FALSE))^$J$18+IFERROR(VLOOKUP($C38,East_Snapshot[],8,FALSE),VLOOKUP($C38,West_Snapshot[],8,FALSE))^$J$18)/(($H$18*IFERROR(VLOOKUP($C38,East_Snapshot[],5,FALSE),VLOOKUP($C38,West_Snapshot[],5,FALSE))^$J$18+IFERROR(VLOOKUP($C38,East_Snapshot[],8,FALSE),VLOOKUP($C38,West_Snapshot[],8,FALSE))^$J$18)+($H$18*IFERROR(VLOOKUP(AH$20,East_Snapshot[],5,FALSE),VLOOKUP(AH$20,West_Snapshot[],5,FALSE))^$J$18+IFERROR(VLOOKUP(AH$20,East_Snapshot[],8,FALSE),VLOOKUP(AH$20,West_Snapshot[],8,FALSE))^$J$18))+$D$19*(VLOOKUP($C38,Tracker!$A$46:$T$75,2023-$A$2,FALSE)-VLOOKUP(AH$20,Tracker!$A$46:$T$75,2023-$A$2,FALSE))</f>
        <v>0.53861602519848839</v>
      </c>
    </row>
    <row r="39" spans="3:34" x14ac:dyDescent="0.25">
      <c r="C39" t="s">
        <v>169</v>
      </c>
      <c r="D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D$20,East_Snapshot[],5,FALSE),VLOOKUP(D$20,West_Snapshot[],5,FALSE))^$J$18+IFERROR(VLOOKUP(D$20,East_Snapshot[],8,FALSE),VLOOKUP(D$20,West_Snapshot[],8,FALSE))^$J$18))+$D$19*(VLOOKUP($C39,Tracker!$A$46:$T$75,2023-$A$2,FALSE)-VLOOKUP(D$20,Tracker!$A$46:$T$75,2023-$A$2,FALSE))</f>
        <v>0.47151351848811174</v>
      </c>
      <c r="E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E$20,East_Snapshot[],5,FALSE),VLOOKUP(E$20,West_Snapshot[],5,FALSE))^$J$18+IFERROR(VLOOKUP(E$20,East_Snapshot[],8,FALSE),VLOOKUP(E$20,West_Snapshot[],8,FALSE))^$J$18))+$D$19*(VLOOKUP($C39,Tracker!$A$46:$T$75,2023-$A$2,FALSE)-VLOOKUP(E$20,Tracker!$A$46:$T$75,2023-$A$2,FALSE))</f>
        <v>0.58797628219045162</v>
      </c>
      <c r="F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F$20,East_Snapshot[],5,FALSE),VLOOKUP(F$20,West_Snapshot[],5,FALSE))^$J$18+IFERROR(VLOOKUP(F$20,East_Snapshot[],8,FALSE),VLOOKUP(F$20,West_Snapshot[],8,FALSE))^$J$18))+$D$19*(VLOOKUP($C39,Tracker!$A$46:$T$75,2023-$A$2,FALSE)-VLOOKUP(F$20,Tracker!$A$46:$T$75,2023-$A$2,FALSE))</f>
        <v>0.48656449756981468</v>
      </c>
      <c r="G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G$20,East_Snapshot[],5,FALSE),VLOOKUP(G$20,West_Snapshot[],5,FALSE))^$J$18+IFERROR(VLOOKUP(G$20,East_Snapshot[],8,FALSE),VLOOKUP(G$20,West_Snapshot[],8,FALSE))^$J$18))+$D$19*(VLOOKUP($C39,Tracker!$A$46:$T$75,2023-$A$2,FALSE)-VLOOKUP(G$20,Tracker!$A$46:$T$75,2023-$A$2,FALSE))</f>
        <v>0.46893071493761856</v>
      </c>
      <c r="H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H$20,East_Snapshot[],5,FALSE),VLOOKUP(H$20,West_Snapshot[],5,FALSE))^$J$18+IFERROR(VLOOKUP(H$20,East_Snapshot[],8,FALSE),VLOOKUP(H$20,West_Snapshot[],8,FALSE))^$J$18))+$D$19*(VLOOKUP($C39,Tracker!$A$46:$T$75,2023-$A$2,FALSE)-VLOOKUP(H$20,Tracker!$A$46:$T$75,2023-$A$2,FALSE))</f>
        <v>0.41390351973749034</v>
      </c>
      <c r="I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I$20,East_Snapshot[],5,FALSE),VLOOKUP(I$20,West_Snapshot[],5,FALSE))^$J$18+IFERROR(VLOOKUP(I$20,East_Snapshot[],8,FALSE),VLOOKUP(I$20,West_Snapshot[],8,FALSE))^$J$18))+$D$19*(VLOOKUP($C39,Tracker!$A$46:$T$75,2023-$A$2,FALSE)-VLOOKUP(I$20,Tracker!$A$46:$T$75,2023-$A$2,FALSE))</f>
        <v>0.54987520874896889</v>
      </c>
      <c r="J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J$20,East_Snapshot[],5,FALSE),VLOOKUP(J$20,West_Snapshot[],5,FALSE))^$J$18+IFERROR(VLOOKUP(J$20,East_Snapshot[],8,FALSE),VLOOKUP(J$20,West_Snapshot[],8,FALSE))^$J$18))+$D$19*(VLOOKUP($C39,Tracker!$A$46:$T$75,2023-$A$2,FALSE)-VLOOKUP(J$20,Tracker!$A$46:$T$75,2023-$A$2,FALSE))</f>
        <v>0.39364783894928118</v>
      </c>
      <c r="K39" s="4" t="e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K$20,East_Snapshot[],5,FALSE),VLOOKUP(K$20,West_Snapshot[],5,FALSE))^$J$18+IFERROR(VLOOKUP(K$20,East_Snapshot[],8,FALSE),VLOOKUP(K$20,West_Snapshot[],8,FALSE))^$J$18))+$D$19*(VLOOKUP($C39,Tracker!$A$46:$T$75,2023-$A$2,FALSE)-VLOOKUP(K$20,Tracker!$A$46:$T$75,2023-$A$2,FALSE))</f>
        <v>#N/A</v>
      </c>
      <c r="L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L$20,East_Snapshot[],5,FALSE),VLOOKUP(L$20,West_Snapshot[],5,FALSE))^$J$18+IFERROR(VLOOKUP(L$20,East_Snapshot[],8,FALSE),VLOOKUP(L$20,West_Snapshot[],8,FALSE))^$J$18))+$D$19*(VLOOKUP($C39,Tracker!$A$46:$T$75,2023-$A$2,FALSE)-VLOOKUP(L$20,Tracker!$A$46:$T$75,2023-$A$2,FALSE))</f>
        <v>0.49381643391623753</v>
      </c>
      <c r="M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M$20,East_Snapshot[],5,FALSE),VLOOKUP(M$20,West_Snapshot[],5,FALSE))^$J$18+IFERROR(VLOOKUP(M$20,East_Snapshot[],8,FALSE),VLOOKUP(M$20,West_Snapshot[],8,FALSE))^$J$18))+$D$19*(VLOOKUP($C39,Tracker!$A$46:$T$75,2023-$A$2,FALSE)-VLOOKUP(M$20,Tracker!$A$46:$T$75,2023-$A$2,FALSE))</f>
        <v>0.55857849794068781</v>
      </c>
      <c r="N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N$20,East_Snapshot[],5,FALSE),VLOOKUP(N$20,West_Snapshot[],5,FALSE))^$J$18+IFERROR(VLOOKUP(N$20,East_Snapshot[],8,FALSE),VLOOKUP(N$20,West_Snapshot[],8,FALSE))^$J$18))+$D$19*(VLOOKUP($C39,Tracker!$A$46:$T$75,2023-$A$2,FALSE)-VLOOKUP(N$20,Tracker!$A$46:$T$75,2023-$A$2,FALSE))</f>
        <v>0.35845484815132034</v>
      </c>
      <c r="O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O$20,East_Snapshot[],5,FALSE),VLOOKUP(O$20,West_Snapshot[],5,FALSE))^$J$18+IFERROR(VLOOKUP(O$20,East_Snapshot[],8,FALSE),VLOOKUP(O$20,West_Snapshot[],8,FALSE))^$J$18))+$D$19*(VLOOKUP($C39,Tracker!$A$46:$T$75,2023-$A$2,FALSE)-VLOOKUP(O$20,Tracker!$A$46:$T$75,2023-$A$2,FALSE))</f>
        <v>0.36104726748946764</v>
      </c>
      <c r="P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P$20,East_Snapshot[],5,FALSE),VLOOKUP(P$20,West_Snapshot[],5,FALSE))^$J$18+IFERROR(VLOOKUP(P$20,East_Snapshot[],8,FALSE),VLOOKUP(P$20,West_Snapshot[],8,FALSE))^$J$18))+$D$19*(VLOOKUP($C39,Tracker!$A$46:$T$75,2023-$A$2,FALSE)-VLOOKUP(P$20,Tracker!$A$46:$T$75,2023-$A$2,FALSE))</f>
        <v>0.37219630302442119</v>
      </c>
      <c r="Q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Q$20,East_Snapshot[],5,FALSE),VLOOKUP(Q$20,West_Snapshot[],5,FALSE))^$J$18+IFERROR(VLOOKUP(Q$20,East_Snapshot[],8,FALSE),VLOOKUP(Q$20,West_Snapshot[],8,FALSE))^$J$18))+$D$19*(VLOOKUP($C39,Tracker!$A$46:$T$75,2023-$A$2,FALSE)-VLOOKUP(Q$20,Tracker!$A$46:$T$75,2023-$A$2,FALSE))</f>
        <v>0.32292599997003119</v>
      </c>
      <c r="R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R$20,East_Snapshot[],5,FALSE),VLOOKUP(R$20,West_Snapshot[],5,FALSE))^$J$18+IFERROR(VLOOKUP(R$20,East_Snapshot[],8,FALSE),VLOOKUP(R$20,West_Snapshot[],8,FALSE))^$J$18))+$D$19*(VLOOKUP($C39,Tracker!$A$46:$T$75,2023-$A$2,FALSE)-VLOOKUP(R$20,Tracker!$A$46:$T$75,2023-$A$2,FALSE))</f>
        <v>0.61275452815678311</v>
      </c>
      <c r="S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S$20,East_Snapshot[],5,FALSE),VLOOKUP(S$20,West_Snapshot[],5,FALSE))^$J$18+IFERROR(VLOOKUP(S$20,East_Snapshot[],8,FALSE),VLOOKUP(S$20,West_Snapshot[],8,FALSE))^$J$18))+$D$19*(VLOOKUP($C39,Tracker!$A$46:$T$75,2023-$A$2,FALSE)-VLOOKUP(S$20,Tracker!$A$46:$T$75,2023-$A$2,FALSE))</f>
        <v>0.40659721723760028</v>
      </c>
      <c r="T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T$20,East_Snapshot[],5,FALSE),VLOOKUP(T$20,West_Snapshot[],5,FALSE))^$J$18+IFERROR(VLOOKUP(T$20,East_Snapshot[],8,FALSE),VLOOKUP(T$20,West_Snapshot[],8,FALSE))^$J$18))+$D$19*(VLOOKUP($C39,Tracker!$A$46:$T$75,2023-$A$2,FALSE)-VLOOKUP(T$20,Tracker!$A$46:$T$75,2023-$A$2,FALSE))</f>
        <v>0.36665441335538446</v>
      </c>
      <c r="U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U$20,East_Snapshot[],5,FALSE),VLOOKUP(U$20,West_Snapshot[],5,FALSE))^$J$18+IFERROR(VLOOKUP(U$20,East_Snapshot[],8,FALSE),VLOOKUP(U$20,West_Snapshot[],8,FALSE))^$J$18))+$D$19*(VLOOKUP($C39,Tracker!$A$46:$T$75,2023-$A$2,FALSE)-VLOOKUP(U$20,Tracker!$A$46:$T$75,2023-$A$2,FALSE))</f>
        <v>0.73097085954603724</v>
      </c>
      <c r="V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V$20,East_Snapshot[],5,FALSE),VLOOKUP(V$20,West_Snapshot[],5,FALSE))^$J$18+IFERROR(VLOOKUP(V$20,East_Snapshot[],8,FALSE),VLOOKUP(V$20,West_Snapshot[],8,FALSE))^$J$18))+$D$19*(VLOOKUP($C39,Tracker!$A$46:$T$75,2023-$A$2,FALSE)-VLOOKUP(V$20,Tracker!$A$46:$T$75,2023-$A$2,FALSE))</f>
        <v>0.39074004907534798</v>
      </c>
      <c r="W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W$20,East_Snapshot[],5,FALSE),VLOOKUP(W$20,West_Snapshot[],5,FALSE))^$J$18+IFERROR(VLOOKUP(W$20,East_Snapshot[],8,FALSE),VLOOKUP(W$20,West_Snapshot[],8,FALSE))^$J$18))+$D$19*(VLOOKUP($C39,Tracker!$A$46:$T$75,2023-$A$2,FALSE)-VLOOKUP(W$20,Tracker!$A$46:$T$75,2023-$A$2,FALSE))</f>
        <v>0.5</v>
      </c>
      <c r="X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X$20,East_Snapshot[],5,FALSE),VLOOKUP(X$20,West_Snapshot[],5,FALSE))^$J$18+IFERROR(VLOOKUP(X$20,East_Snapshot[],8,FALSE),VLOOKUP(X$20,West_Snapshot[],8,FALSE))^$J$18))+$D$19*(VLOOKUP($C39,Tracker!$A$46:$T$75,2023-$A$2,FALSE)-VLOOKUP(X$20,Tracker!$A$46:$T$75,2023-$A$2,FALSE))</f>
        <v>0.47192103040955724</v>
      </c>
      <c r="Y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Y$20,East_Snapshot[],5,FALSE),VLOOKUP(Y$20,West_Snapshot[],5,FALSE))^$J$18+IFERROR(VLOOKUP(Y$20,East_Snapshot[],8,FALSE),VLOOKUP(Y$20,West_Snapshot[],8,FALSE))^$J$18))+$D$19*(VLOOKUP($C39,Tracker!$A$46:$T$75,2023-$A$2,FALSE)-VLOOKUP(Y$20,Tracker!$A$46:$T$75,2023-$A$2,FALSE))</f>
        <v>0.33915045516525055</v>
      </c>
      <c r="Z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Z$20,East_Snapshot[],5,FALSE),VLOOKUP(Z$20,West_Snapshot[],5,FALSE))^$J$18+IFERROR(VLOOKUP(Z$20,East_Snapshot[],8,FALSE),VLOOKUP(Z$20,West_Snapshot[],8,FALSE))^$J$18))+$D$19*(VLOOKUP($C39,Tracker!$A$46:$T$75,2023-$A$2,FALSE)-VLOOKUP(Z$20,Tracker!$A$46:$T$75,2023-$A$2,FALSE))</f>
        <v>0.62145753409844573</v>
      </c>
      <c r="AA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A$20,East_Snapshot[],5,FALSE),VLOOKUP(AA$20,West_Snapshot[],5,FALSE))^$J$18+IFERROR(VLOOKUP(AA$20,East_Snapshot[],8,FALSE),VLOOKUP(AA$20,West_Snapshot[],8,FALSE))^$J$18))+$D$19*(VLOOKUP($C39,Tracker!$A$46:$T$75,2023-$A$2,FALSE)-VLOOKUP(AA$20,Tracker!$A$46:$T$75,2023-$A$2,FALSE))</f>
        <v>0.83806386372826658</v>
      </c>
      <c r="AB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B$20,East_Snapshot[],5,FALSE),VLOOKUP(AB$20,West_Snapshot[],5,FALSE))^$J$18+IFERROR(VLOOKUP(AB$20,East_Snapshot[],8,FALSE),VLOOKUP(AB$20,West_Snapshot[],8,FALSE))^$J$18))+$D$19*(VLOOKUP($C39,Tracker!$A$46:$T$75,2023-$A$2,FALSE)-VLOOKUP(AB$20,Tracker!$A$46:$T$75,2023-$A$2,FALSE))</f>
        <v>0.39127934945478826</v>
      </c>
      <c r="AC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C$20,East_Snapshot[],5,FALSE),VLOOKUP(AC$20,West_Snapshot[],5,FALSE))^$J$18+IFERROR(VLOOKUP(AC$20,East_Snapshot[],8,FALSE),VLOOKUP(AC$20,West_Snapshot[],8,FALSE))^$J$18))+$D$19*(VLOOKUP($C39,Tracker!$A$46:$T$75,2023-$A$2,FALSE)-VLOOKUP(AC$20,Tracker!$A$46:$T$75,2023-$A$2,FALSE))</f>
        <v>0.36009863881728654</v>
      </c>
      <c r="AD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D$20,East_Snapshot[],5,FALSE),VLOOKUP(AD$20,West_Snapshot[],5,FALSE))^$J$18+IFERROR(VLOOKUP(AD$20,East_Snapshot[],8,FALSE),VLOOKUP(AD$20,West_Snapshot[],8,FALSE))^$J$18))+$D$19*(VLOOKUP($C39,Tracker!$A$46:$T$75,2023-$A$2,FALSE)-VLOOKUP(AD$20,Tracker!$A$46:$T$75,2023-$A$2,FALSE))</f>
        <v>0.50347566064362159</v>
      </c>
      <c r="AE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E$20,East_Snapshot[],5,FALSE),VLOOKUP(AE$20,West_Snapshot[],5,FALSE))^$J$18+IFERROR(VLOOKUP(AE$20,East_Snapshot[],8,FALSE),VLOOKUP(AE$20,West_Snapshot[],8,FALSE))^$J$18))+$D$19*(VLOOKUP($C39,Tracker!$A$46:$T$75,2023-$A$2,FALSE)-VLOOKUP(AE$20,Tracker!$A$46:$T$75,2023-$A$2,FALSE))</f>
        <v>0.32360776354517456</v>
      </c>
      <c r="AF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F$20,East_Snapshot[],5,FALSE),VLOOKUP(AF$20,West_Snapshot[],5,FALSE))^$J$18+IFERROR(VLOOKUP(AF$20,East_Snapshot[],8,FALSE),VLOOKUP(AF$20,West_Snapshot[],8,FALSE))^$J$18))+$D$19*(VLOOKUP($C39,Tracker!$A$46:$T$75,2023-$A$2,FALSE)-VLOOKUP(AF$20,Tracker!$A$46:$T$75,2023-$A$2,FALSE))</f>
        <v>0.39068870504429409</v>
      </c>
      <c r="AG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G$20,East_Snapshot[],5,FALSE),VLOOKUP(AG$20,West_Snapshot[],5,FALSE))^$J$18+IFERROR(VLOOKUP(AG$20,East_Snapshot[],8,FALSE),VLOOKUP(AG$20,West_Snapshot[],8,FALSE))^$J$18))+$D$19*(VLOOKUP($C39,Tracker!$A$46:$T$75,2023-$A$2,FALSE)-VLOOKUP(AG$20,Tracker!$A$46:$T$75,2023-$A$2,FALSE))</f>
        <v>0.655530254544615</v>
      </c>
      <c r="AH39" s="4">
        <f>($H$18*IFERROR(VLOOKUP($C39,East_Snapshot[],5,FALSE),VLOOKUP($C39,West_Snapshot[],5,FALSE))^$J$18+IFERROR(VLOOKUP($C39,East_Snapshot[],8,FALSE),VLOOKUP($C39,West_Snapshot[],8,FALSE))^$J$18)/(($H$18*IFERROR(VLOOKUP($C39,East_Snapshot[],5,FALSE),VLOOKUP($C39,West_Snapshot[],5,FALSE))^$J$18+IFERROR(VLOOKUP($C39,East_Snapshot[],8,FALSE),VLOOKUP($C39,West_Snapshot[],8,FALSE))^$J$18)+($H$18*IFERROR(VLOOKUP(AH$20,East_Snapshot[],5,FALSE),VLOOKUP(AH$20,West_Snapshot[],5,FALSE))^$J$18+IFERROR(VLOOKUP(AH$20,East_Snapshot[],8,FALSE),VLOOKUP(AH$20,West_Snapshot[],8,FALSE))^$J$18))+$D$19*(VLOOKUP($C39,Tracker!$A$46:$T$75,2023-$A$2,FALSE)-VLOOKUP(AH$20,Tracker!$A$46:$T$75,2023-$A$2,FALSE))</f>
        <v>0.42814336858293461</v>
      </c>
    </row>
    <row r="40" spans="3:34" x14ac:dyDescent="0.25">
      <c r="C40" t="s">
        <v>146</v>
      </c>
      <c r="D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D$20,East_Snapshot[],5,FALSE),VLOOKUP(D$20,West_Snapshot[],5,FALSE))^$J$18+IFERROR(VLOOKUP(D$20,East_Snapshot[],8,FALSE),VLOOKUP(D$20,West_Snapshot[],8,FALSE))^$J$18))+$D$19*(VLOOKUP($C40,Tracker!$A$46:$T$75,2023-$A$2,FALSE)-VLOOKUP(D$20,Tracker!$A$46:$T$75,2023-$A$2,FALSE))</f>
        <v>0.49954730480910681</v>
      </c>
      <c r="E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E$20,East_Snapshot[],5,FALSE),VLOOKUP(E$20,West_Snapshot[],5,FALSE))^$J$18+IFERROR(VLOOKUP(E$20,East_Snapshot[],8,FALSE),VLOOKUP(E$20,West_Snapshot[],8,FALSE))^$J$18))+$D$19*(VLOOKUP($C40,Tracker!$A$46:$T$75,2023-$A$2,FALSE)-VLOOKUP(E$20,Tracker!$A$46:$T$75,2023-$A$2,FALSE))</f>
        <v>0.61513448661484538</v>
      </c>
      <c r="F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F$20,East_Snapshot[],5,FALSE),VLOOKUP(F$20,West_Snapshot[],5,FALSE))^$J$18+IFERROR(VLOOKUP(F$20,East_Snapshot[],8,FALSE),VLOOKUP(F$20,West_Snapshot[],8,FALSE))^$J$18))+$D$19*(VLOOKUP($C40,Tracker!$A$46:$T$75,2023-$A$2,FALSE)-VLOOKUP(F$20,Tracker!$A$46:$T$75,2023-$A$2,FALSE))</f>
        <v>0.51465572185373831</v>
      </c>
      <c r="G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G$20,East_Snapshot[],5,FALSE),VLOOKUP(G$20,West_Snapshot[],5,FALSE))^$J$18+IFERROR(VLOOKUP(G$20,East_Snapshot[],8,FALSE),VLOOKUP(G$20,West_Snapshot[],8,FALSE))^$J$18))+$D$19*(VLOOKUP($C40,Tracker!$A$46:$T$75,2023-$A$2,FALSE)-VLOOKUP(G$20,Tracker!$A$46:$T$75,2023-$A$2,FALSE))</f>
        <v>0.49694948599371525</v>
      </c>
      <c r="H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H$20,East_Snapshot[],5,FALSE),VLOOKUP(H$20,West_Snapshot[],5,FALSE))^$J$18+IFERROR(VLOOKUP(H$20,East_Snapshot[],8,FALSE),VLOOKUP(H$20,West_Snapshot[],8,FALSE))^$J$18))+$D$19*(VLOOKUP($C40,Tracker!$A$46:$T$75,2023-$A$2,FALSE)-VLOOKUP(H$20,Tracker!$A$46:$T$75,2023-$A$2,FALSE))</f>
        <v>0.44141598176589208</v>
      </c>
      <c r="I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I$20,East_Snapshot[],5,FALSE),VLOOKUP(I$20,West_Snapshot[],5,FALSE))^$J$18+IFERROR(VLOOKUP(I$20,East_Snapshot[],8,FALSE),VLOOKUP(I$20,West_Snapshot[],8,FALSE))^$J$18))+$D$19*(VLOOKUP($C40,Tracker!$A$46:$T$75,2023-$A$2,FALSE)-VLOOKUP(I$20,Tracker!$A$46:$T$75,2023-$A$2,FALSE))</f>
        <v>0.57765119440830137</v>
      </c>
      <c r="J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J$20,East_Snapshot[],5,FALSE),VLOOKUP(J$20,West_Snapshot[],5,FALSE))^$J$18+IFERROR(VLOOKUP(J$20,East_Snapshot[],8,FALSE),VLOOKUP(J$20,West_Snapshot[],8,FALSE))^$J$18))+$D$19*(VLOOKUP($C40,Tracker!$A$46:$T$75,2023-$A$2,FALSE)-VLOOKUP(J$20,Tracker!$A$46:$T$75,2023-$A$2,FALSE))</f>
        <v>0.42078052907722358</v>
      </c>
      <c r="K40" s="4" t="e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K$20,East_Snapshot[],5,FALSE),VLOOKUP(K$20,West_Snapshot[],5,FALSE))^$J$18+IFERROR(VLOOKUP(K$20,East_Snapshot[],8,FALSE),VLOOKUP(K$20,West_Snapshot[],8,FALSE))^$J$18))+$D$19*(VLOOKUP($C40,Tracker!$A$46:$T$75,2023-$A$2,FALSE)-VLOOKUP(K$20,Tracker!$A$46:$T$75,2023-$A$2,FALSE))</f>
        <v>#N/A</v>
      </c>
      <c r="L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L$20,East_Snapshot[],5,FALSE),VLOOKUP(L$20,West_Snapshot[],5,FALSE))^$J$18+IFERROR(VLOOKUP(L$20,East_Snapshot[],8,FALSE),VLOOKUP(L$20,West_Snapshot[],8,FALSE))^$J$18))+$D$19*(VLOOKUP($C40,Tracker!$A$46:$T$75,2023-$A$2,FALSE)-VLOOKUP(L$20,Tracker!$A$46:$T$75,2023-$A$2,FALSE))</f>
        <v>0.52191706481503997</v>
      </c>
      <c r="M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M$20,East_Snapshot[],5,FALSE),VLOOKUP(M$20,West_Snapshot[],5,FALSE))^$J$18+IFERROR(VLOOKUP(M$20,East_Snapshot[],8,FALSE),VLOOKUP(M$20,West_Snapshot[],8,FALSE))^$J$18))+$D$19*(VLOOKUP($C40,Tracker!$A$46:$T$75,2023-$A$2,FALSE)-VLOOKUP(M$20,Tracker!$A$46:$T$75,2023-$A$2,FALSE))</f>
        <v>0.58624148357713768</v>
      </c>
      <c r="N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N$20,East_Snapshot[],5,FALSE),VLOOKUP(N$20,West_Snapshot[],5,FALSE))^$J$18+IFERROR(VLOOKUP(N$20,East_Snapshot[],8,FALSE),VLOOKUP(N$20,West_Snapshot[],8,FALSE))^$J$18))+$D$19*(VLOOKUP($C40,Tracker!$A$46:$T$75,2023-$A$2,FALSE)-VLOOKUP(N$20,Tracker!$A$46:$T$75,2023-$A$2,FALSE))</f>
        <v>0.3847008180905197</v>
      </c>
      <c r="O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O$20,East_Snapshot[],5,FALSE),VLOOKUP(O$20,West_Snapshot[],5,FALSE))^$J$18+IFERROR(VLOOKUP(O$20,East_Snapshot[],8,FALSE),VLOOKUP(O$20,West_Snapshot[],8,FALSE))^$J$18))+$D$19*(VLOOKUP($C40,Tracker!$A$46:$T$75,2023-$A$2,FALSE)-VLOOKUP(O$20,Tracker!$A$46:$T$75,2023-$A$2,FALSE))</f>
        <v>0.38736844160306677</v>
      </c>
      <c r="P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P$20,East_Snapshot[],5,FALSE),VLOOKUP(P$20,West_Snapshot[],5,FALSE))^$J$18+IFERROR(VLOOKUP(P$20,East_Snapshot[],8,FALSE),VLOOKUP(P$20,West_Snapshot[],8,FALSE))^$J$18))+$D$19*(VLOOKUP($C40,Tracker!$A$46:$T$75,2023-$A$2,FALSE)-VLOOKUP(P$20,Tracker!$A$46:$T$75,2023-$A$2,FALSE))</f>
        <v>0.39882293816840281</v>
      </c>
      <c r="Q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Q$20,East_Snapshot[],5,FALSE),VLOOKUP(Q$20,West_Snapshot[],5,FALSE))^$J$18+IFERROR(VLOOKUP(Q$20,East_Snapshot[],8,FALSE),VLOOKUP(Q$20,West_Snapshot[],8,FALSE))^$J$18))+$D$19*(VLOOKUP($C40,Tracker!$A$46:$T$75,2023-$A$2,FALSE)-VLOOKUP(Q$20,Tracker!$A$46:$T$75,2023-$A$2,FALSE))</f>
        <v>0.34834683906214975</v>
      </c>
      <c r="R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R$20,East_Snapshot[],5,FALSE),VLOOKUP(R$20,West_Snapshot[],5,FALSE))^$J$18+IFERROR(VLOOKUP(R$20,East_Snapshot[],8,FALSE),VLOOKUP(R$20,West_Snapshot[],8,FALSE))^$J$18))+$D$19*(VLOOKUP($C40,Tracker!$A$46:$T$75,2023-$A$2,FALSE)-VLOOKUP(R$20,Tracker!$A$46:$T$75,2023-$A$2,FALSE))</f>
        <v>0.63934078031744079</v>
      </c>
      <c r="S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S$20,East_Snapshot[],5,FALSE),VLOOKUP(S$20,West_Snapshot[],5,FALSE))^$J$18+IFERROR(VLOOKUP(S$20,East_Snapshot[],8,FALSE),VLOOKUP(S$20,West_Snapshot[],8,FALSE))^$J$18))+$D$19*(VLOOKUP($C40,Tracker!$A$46:$T$75,2023-$A$2,FALSE)-VLOOKUP(S$20,Tracker!$A$46:$T$75,2023-$A$2,FALSE))</f>
        <v>0.43398363451526595</v>
      </c>
      <c r="T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T$20,East_Snapshot[],5,FALSE),VLOOKUP(T$20,West_Snapshot[],5,FALSE))^$J$18+IFERROR(VLOOKUP(T$20,East_Snapshot[],8,FALSE),VLOOKUP(T$20,West_Snapshot[],8,FALSE))^$J$18))+$D$19*(VLOOKUP($C40,Tracker!$A$46:$T$75,2023-$A$2,FALSE)-VLOOKUP(T$20,Tracker!$A$46:$T$75,2023-$A$2,FALSE))</f>
        <v>0.39313285219432387</v>
      </c>
      <c r="U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U$20,East_Snapshot[],5,FALSE),VLOOKUP(U$20,West_Snapshot[],5,FALSE))^$J$18+IFERROR(VLOOKUP(U$20,East_Snapshot[],8,FALSE),VLOOKUP(U$20,West_Snapshot[],8,FALSE))^$J$18))+$D$19*(VLOOKUP($C40,Tracker!$A$46:$T$75,2023-$A$2,FALSE)-VLOOKUP(U$20,Tracker!$A$46:$T$75,2023-$A$2,FALSE))</f>
        <v>0.75301846653189874</v>
      </c>
      <c r="V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V$20,East_Snapshot[],5,FALSE),VLOOKUP(V$20,West_Snapshot[],5,FALSE))^$J$18+IFERROR(VLOOKUP(V$20,East_Snapshot[],8,FALSE),VLOOKUP(V$20,West_Snapshot[],8,FALSE))^$J$18))+$D$19*(VLOOKUP($C40,Tracker!$A$46:$T$75,2023-$A$2,FALSE)-VLOOKUP(V$20,Tracker!$A$46:$T$75,2023-$A$2,FALSE))</f>
        <v>0.41781041875201641</v>
      </c>
      <c r="W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W$20,East_Snapshot[],5,FALSE),VLOOKUP(W$20,West_Snapshot[],5,FALSE))^$J$18+IFERROR(VLOOKUP(W$20,East_Snapshot[],8,FALSE),VLOOKUP(W$20,West_Snapshot[],8,FALSE))^$J$18))+$D$19*(VLOOKUP($C40,Tracker!$A$46:$T$75,2023-$A$2,FALSE)-VLOOKUP(W$20,Tracker!$A$46:$T$75,2023-$A$2,FALSE))</f>
        <v>0.52807896959044287</v>
      </c>
      <c r="X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X$20,East_Snapshot[],5,FALSE),VLOOKUP(X$20,West_Snapshot[],5,FALSE))^$J$18+IFERROR(VLOOKUP(X$20,East_Snapshot[],8,FALSE),VLOOKUP(X$20,West_Snapshot[],8,FALSE))^$J$18))+$D$19*(VLOOKUP($C40,Tracker!$A$46:$T$75,2023-$A$2,FALSE)-VLOOKUP(X$20,Tracker!$A$46:$T$75,2023-$A$2,FALSE))</f>
        <v>0.5</v>
      </c>
      <c r="Y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Y$20,East_Snapshot[],5,FALSE),VLOOKUP(Y$20,West_Snapshot[],5,FALSE))^$J$18+IFERROR(VLOOKUP(Y$20,East_Snapshot[],8,FALSE),VLOOKUP(Y$20,West_Snapshot[],8,FALSE))^$J$18))+$D$19*(VLOOKUP($C40,Tracker!$A$46:$T$75,2023-$A$2,FALSE)-VLOOKUP(Y$20,Tracker!$A$46:$T$75,2023-$A$2,FALSE))</f>
        <v>0.36478666636100215</v>
      </c>
      <c r="Z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Z$20,East_Snapshot[],5,FALSE),VLOOKUP(Z$20,West_Snapshot[],5,FALSE))^$J$18+IFERROR(VLOOKUP(Z$20,East_Snapshot[],8,FALSE),VLOOKUP(Z$20,West_Snapshot[],8,FALSE))^$J$18))+$D$19*(VLOOKUP($C40,Tracker!$A$46:$T$75,2023-$A$2,FALSE)-VLOOKUP(Z$20,Tracker!$A$46:$T$75,2023-$A$2,FALSE))</f>
        <v>0.64781131946070669</v>
      </c>
      <c r="AA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A$20,East_Snapshot[],5,FALSE),VLOOKUP(AA$20,West_Snapshot[],5,FALSE))^$J$18+IFERROR(VLOOKUP(AA$20,East_Snapshot[],8,FALSE),VLOOKUP(AA$20,West_Snapshot[],8,FALSE))^$J$18))+$D$19*(VLOOKUP($C40,Tracker!$A$46:$T$75,2023-$A$2,FALSE)-VLOOKUP(AA$20,Tracker!$A$46:$T$75,2023-$A$2,FALSE))</f>
        <v>0.8534864628413289</v>
      </c>
      <c r="AB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B$20,East_Snapshot[],5,FALSE),VLOOKUP(AB$20,West_Snapshot[],5,FALSE))^$J$18+IFERROR(VLOOKUP(AB$20,East_Snapshot[],8,FALSE),VLOOKUP(AB$20,West_Snapshot[],8,FALSE))^$J$18))+$D$19*(VLOOKUP($C40,Tracker!$A$46:$T$75,2023-$A$2,FALSE)-VLOOKUP(AB$20,Tracker!$A$46:$T$75,2023-$A$2,FALSE))</f>
        <v>0.41836142589718284</v>
      </c>
      <c r="AC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C$20,East_Snapshot[],5,FALSE),VLOOKUP(AC$20,West_Snapshot[],5,FALSE))^$J$18+IFERROR(VLOOKUP(AC$20,East_Snapshot[],8,FALSE),VLOOKUP(AC$20,West_Snapshot[],8,FALSE))^$J$18))+$D$19*(VLOOKUP($C40,Tracker!$A$46:$T$75,2023-$A$2,FALSE)-VLOOKUP(AC$20,Tracker!$A$46:$T$75,2023-$A$2,FALSE))</f>
        <v>0.38667002558114144</v>
      </c>
      <c r="AD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D$20,East_Snapshot[],5,FALSE),VLOOKUP(AD$20,West_Snapshot[],5,FALSE))^$J$18+IFERROR(VLOOKUP(AD$20,East_Snapshot[],8,FALSE),VLOOKUP(AD$20,West_Snapshot[],8,FALSE))^$J$18))+$D$19*(VLOOKUP($C40,Tracker!$A$46:$T$75,2023-$A$2,FALSE)-VLOOKUP(AD$20,Tracker!$A$46:$T$75,2023-$A$2,FALSE))</f>
        <v>0.53154231700053811</v>
      </c>
      <c r="AE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E$20,East_Snapshot[],5,FALSE),VLOOKUP(AE$20,West_Snapshot[],5,FALSE))^$J$18+IFERROR(VLOOKUP(AE$20,East_Snapshot[],8,FALSE),VLOOKUP(AE$20,West_Snapshot[],8,FALSE))^$J$18))+$D$19*(VLOOKUP($C40,Tracker!$A$46:$T$75,2023-$A$2,FALSE)-VLOOKUP(AE$20,Tracker!$A$46:$T$75,2023-$A$2,FALSE))</f>
        <v>0.34868901297482247</v>
      </c>
      <c r="AF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F$20,East_Snapshot[],5,FALSE),VLOOKUP(AF$20,West_Snapshot[],5,FALSE))^$J$18+IFERROR(VLOOKUP(AF$20,East_Snapshot[],8,FALSE),VLOOKUP(AF$20,West_Snapshot[],8,FALSE))^$J$18))+$D$19*(VLOOKUP($C40,Tracker!$A$46:$T$75,2023-$A$2,FALSE)-VLOOKUP(AF$20,Tracker!$A$46:$T$75,2023-$A$2,FALSE))</f>
        <v>0.41775795665637533</v>
      </c>
      <c r="AG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G$20,East_Snapshot[],5,FALSE),VLOOKUP(AG$20,West_Snapshot[],5,FALSE))^$J$18+IFERROR(VLOOKUP(AG$20,East_Snapshot[],8,FALSE),VLOOKUP(AG$20,West_Snapshot[],8,FALSE))^$J$18))+$D$19*(VLOOKUP($C40,Tracker!$A$46:$T$75,2023-$A$2,FALSE)-VLOOKUP(AG$20,Tracker!$A$46:$T$75,2023-$A$2,FALSE))</f>
        <v>0.68081715649681873</v>
      </c>
      <c r="AH40" s="4">
        <f>($H$18*IFERROR(VLOOKUP($C40,East_Snapshot[],5,FALSE),VLOOKUP($C40,West_Snapshot[],5,FALSE))^$J$18+IFERROR(VLOOKUP($C40,East_Snapshot[],8,FALSE),VLOOKUP($C40,West_Snapshot[],8,FALSE))^$J$18)/(($H$18*IFERROR(VLOOKUP($C40,East_Snapshot[],5,FALSE),VLOOKUP($C40,West_Snapshot[],5,FALSE))^$J$18+IFERROR(VLOOKUP($C40,East_Snapshot[],8,FALSE),VLOOKUP($C40,West_Snapshot[],8,FALSE))^$J$18)+($H$18*IFERROR(VLOOKUP(AH$20,East_Snapshot[],5,FALSE),VLOOKUP(AH$20,West_Snapshot[],5,FALSE))^$J$18+IFERROR(VLOOKUP(AH$20,East_Snapshot[],8,FALSE),VLOOKUP(AH$20,West_Snapshot[],8,FALSE))^$J$18))+$D$19*(VLOOKUP($C40,Tracker!$A$46:$T$75,2023-$A$2,FALSE)-VLOOKUP(AH$20,Tracker!$A$46:$T$75,2023-$A$2,FALSE))</f>
        <v>0.4558661497262701</v>
      </c>
    </row>
    <row r="41" spans="3:34" x14ac:dyDescent="0.25">
      <c r="C41" t="s">
        <v>157</v>
      </c>
      <c r="D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D$20,East_Snapshot[],5,FALSE),VLOOKUP(D$20,West_Snapshot[],5,FALSE))^$J$18+IFERROR(VLOOKUP(D$20,East_Snapshot[],8,FALSE),VLOOKUP(D$20,West_Snapshot[],8,FALSE))^$J$18))+$D$19*(VLOOKUP($C41,Tracker!$A$46:$T$75,2023-$A$2,FALSE)-VLOOKUP(D$20,Tracker!$A$46:$T$75,2023-$A$2,FALSE))</f>
        <v>0.63546996723025451</v>
      </c>
      <c r="E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E$20,East_Snapshot[],5,FALSE),VLOOKUP(E$20,West_Snapshot[],5,FALSE))^$J$18+IFERROR(VLOOKUP(E$20,East_Snapshot[],8,FALSE),VLOOKUP(E$20,West_Snapshot[],8,FALSE))^$J$18))+$D$19*(VLOOKUP($C41,Tracker!$A$46:$T$75,2023-$A$2,FALSE)-VLOOKUP(E$20,Tracker!$A$46:$T$75,2023-$A$2,FALSE))</f>
        <v>0.73741639255064728</v>
      </c>
      <c r="F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F$20,East_Snapshot[],5,FALSE),VLOOKUP(F$20,West_Snapshot[],5,FALSE))^$J$18+IFERROR(VLOOKUP(F$20,East_Snapshot[],8,FALSE),VLOOKUP(F$20,West_Snapshot[],8,FALSE))^$J$18))+$D$19*(VLOOKUP($C41,Tracker!$A$46:$T$75,2023-$A$2,FALSE)-VLOOKUP(F$20,Tracker!$A$46:$T$75,2023-$A$2,FALSE))</f>
        <v>0.64951774107443294</v>
      </c>
      <c r="G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G$20,East_Snapshot[],5,FALSE),VLOOKUP(G$20,West_Snapshot[],5,FALSE))^$J$18+IFERROR(VLOOKUP(G$20,East_Snapshot[],8,FALSE),VLOOKUP(G$20,West_Snapshot[],8,FALSE))^$J$18))+$D$19*(VLOOKUP($C41,Tracker!$A$46:$T$75,2023-$A$2,FALSE)-VLOOKUP(G$20,Tracker!$A$46:$T$75,2023-$A$2,FALSE))</f>
        <v>0.6330312249555875</v>
      </c>
      <c r="H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H$20,East_Snapshot[],5,FALSE),VLOOKUP(H$20,West_Snapshot[],5,FALSE))^$J$18+IFERROR(VLOOKUP(H$20,East_Snapshot[],8,FALSE),VLOOKUP(H$20,West_Snapshot[],8,FALSE))^$J$18))+$D$19*(VLOOKUP($C41,Tracker!$A$46:$T$75,2023-$A$2,FALSE)-VLOOKUP(H$20,Tracker!$A$46:$T$75,2023-$A$2,FALSE))</f>
        <v>0.57913679331811563</v>
      </c>
      <c r="I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I$20,East_Snapshot[],5,FALSE),VLOOKUP(I$20,West_Snapshot[],5,FALSE))^$J$18+IFERROR(VLOOKUP(I$20,East_Snapshot[],8,FALSE),VLOOKUP(I$20,West_Snapshot[],8,FALSE))^$J$18))+$D$19*(VLOOKUP($C41,Tracker!$A$46:$T$75,2023-$A$2,FALSE)-VLOOKUP(I$20,Tracker!$A$46:$T$75,2023-$A$2,FALSE))</f>
        <v>0.70570384678781028</v>
      </c>
      <c r="J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J$20,East_Snapshot[],5,FALSE),VLOOKUP(J$20,West_Snapshot[],5,FALSE))^$J$18+IFERROR(VLOOKUP(J$20,East_Snapshot[],8,FALSE),VLOOKUP(J$20,West_Snapshot[],8,FALSE))^$J$18))+$D$19*(VLOOKUP($C41,Tracker!$A$46:$T$75,2023-$A$2,FALSE)-VLOOKUP(J$20,Tracker!$A$46:$T$75,2023-$A$2,FALSE))</f>
        <v>0.55850037657928597</v>
      </c>
      <c r="K41" s="4" t="e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K$20,East_Snapshot[],5,FALSE),VLOOKUP(K$20,West_Snapshot[],5,FALSE))^$J$18+IFERROR(VLOOKUP(K$20,East_Snapshot[],8,FALSE),VLOOKUP(K$20,West_Snapshot[],8,FALSE))^$J$18))+$D$19*(VLOOKUP($C41,Tracker!$A$46:$T$75,2023-$A$2,FALSE)-VLOOKUP(K$20,Tracker!$A$46:$T$75,2023-$A$2,FALSE))</f>
        <v>#N/A</v>
      </c>
      <c r="L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L$20,East_Snapshot[],5,FALSE),VLOOKUP(L$20,West_Snapshot[],5,FALSE))^$J$18+IFERROR(VLOOKUP(L$20,East_Snapshot[],8,FALSE),VLOOKUP(L$20,West_Snapshot[],8,FALSE))^$J$18))+$D$19*(VLOOKUP($C41,Tracker!$A$46:$T$75,2023-$A$2,FALSE)-VLOOKUP(L$20,Tracker!$A$46:$T$75,2023-$A$2,FALSE))</f>
        <v>0.65618815959363097</v>
      </c>
      <c r="M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M$20,East_Snapshot[],5,FALSE),VLOOKUP(M$20,West_Snapshot[],5,FALSE))^$J$18+IFERROR(VLOOKUP(M$20,East_Snapshot[],8,FALSE),VLOOKUP(M$20,West_Snapshot[],8,FALSE))^$J$18))+$D$19*(VLOOKUP($C41,Tracker!$A$46:$T$75,2023-$A$2,FALSE)-VLOOKUP(M$20,Tracker!$A$46:$T$75,2023-$A$2,FALSE))</f>
        <v>0.71308069136386731</v>
      </c>
      <c r="N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N$20,East_Snapshot[],5,FALSE),VLOOKUP(N$20,West_Snapshot[],5,FALSE))^$J$18+IFERROR(VLOOKUP(N$20,East_Snapshot[],8,FALSE),VLOOKUP(N$20,West_Snapshot[],8,FALSE))^$J$18))+$D$19*(VLOOKUP($C41,Tracker!$A$46:$T$75,2023-$A$2,FALSE)-VLOOKUP(N$20,Tracker!$A$46:$T$75,2023-$A$2,FALSE))</f>
        <v>0.52123858901500331</v>
      </c>
      <c r="O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O$20,East_Snapshot[],5,FALSE),VLOOKUP(O$20,West_Snapshot[],5,FALSE))^$J$18+IFERROR(VLOOKUP(O$20,East_Snapshot[],8,FALSE),VLOOKUP(O$20,West_Snapshot[],8,FALSE))^$J$18))+$D$19*(VLOOKUP($C41,Tracker!$A$46:$T$75,2023-$A$2,FALSE)-VLOOKUP(O$20,Tracker!$A$46:$T$75,2023-$A$2,FALSE))</f>
        <v>0.52404662734144636</v>
      </c>
      <c r="P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P$20,East_Snapshot[],5,FALSE),VLOOKUP(P$20,West_Snapshot[],5,FALSE))^$J$18+IFERROR(VLOOKUP(P$20,East_Snapshot[],8,FALSE),VLOOKUP(P$20,West_Snapshot[],8,FALSE))^$J$18))+$D$19*(VLOOKUP($C41,Tracker!$A$46:$T$75,2023-$A$2,FALSE)-VLOOKUP(P$20,Tracker!$A$46:$T$75,2023-$A$2,FALSE))</f>
        <v>0.53600662456216797</v>
      </c>
      <c r="Q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Q$20,East_Snapshot[],5,FALSE),VLOOKUP(Q$20,West_Snapshot[],5,FALSE))^$J$18+IFERROR(VLOOKUP(Q$20,East_Snapshot[],8,FALSE),VLOOKUP(Q$20,West_Snapshot[],8,FALSE))^$J$18))+$D$19*(VLOOKUP($C41,Tracker!$A$46:$T$75,2023-$A$2,FALSE)-VLOOKUP(Q$20,Tracker!$A$46:$T$75,2023-$A$2,FALSE))</f>
        <v>0.48302585874086934</v>
      </c>
      <c r="R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R$20,East_Snapshot[],5,FALSE),VLOOKUP(R$20,West_Snapshot[],5,FALSE))^$J$18+IFERROR(VLOOKUP(R$20,East_Snapshot[],8,FALSE),VLOOKUP(R$20,West_Snapshot[],8,FALSE))^$J$18))+$D$19*(VLOOKUP($C41,Tracker!$A$46:$T$75,2023-$A$2,FALSE)-VLOOKUP(R$20,Tracker!$A$46:$T$75,2023-$A$2,FALSE))</f>
        <v>0.75725737456961617</v>
      </c>
      <c r="S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S$20,East_Snapshot[],5,FALSE),VLOOKUP(S$20,West_Snapshot[],5,FALSE))^$J$18+IFERROR(VLOOKUP(S$20,East_Snapshot[],8,FALSE),VLOOKUP(S$20,West_Snapshot[],8,FALSE))^$J$18))+$D$19*(VLOOKUP($C41,Tracker!$A$46:$T$75,2023-$A$2,FALSE)-VLOOKUP(S$20,Tracker!$A$46:$T$75,2023-$A$2,FALSE))</f>
        <v>0.571759140568324</v>
      </c>
      <c r="T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T$20,East_Snapshot[],5,FALSE),VLOOKUP(T$20,West_Snapshot[],5,FALSE))^$J$18+IFERROR(VLOOKUP(T$20,East_Snapshot[],8,FALSE),VLOOKUP(T$20,West_Snapshot[],8,FALSE))^$J$18))+$D$19*(VLOOKUP($C41,Tracker!$A$46:$T$75,2023-$A$2,FALSE)-VLOOKUP(T$20,Tracker!$A$46:$T$75,2023-$A$2,FALSE))</f>
        <v>0.53008508743807625</v>
      </c>
      <c r="U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U$20,East_Snapshot[],5,FALSE),VLOOKUP(U$20,West_Snapshot[],5,FALSE))^$J$18+IFERROR(VLOOKUP(U$20,East_Snapshot[],8,FALSE),VLOOKUP(U$20,West_Snapshot[],8,FALSE))^$J$18))+$D$19*(VLOOKUP($C41,Tracker!$A$46:$T$75,2023-$A$2,FALSE)-VLOOKUP(U$20,Tracker!$A$46:$T$75,2023-$A$2,FALSE))</f>
        <v>0.84429318984859925</v>
      </c>
      <c r="V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V$20,East_Snapshot[],5,FALSE),VLOOKUP(V$20,West_Snapshot[],5,FALSE))^$J$18+IFERROR(VLOOKUP(V$20,East_Snapshot[],8,FALSE),VLOOKUP(V$20,West_Snapshot[],8,FALSE))^$J$18))+$D$19*(VLOOKUP($C41,Tracker!$A$46:$T$75,2023-$A$2,FALSE)-VLOOKUP(V$20,Tracker!$A$46:$T$75,2023-$A$2,FALSE))</f>
        <v>0.55549044175729057</v>
      </c>
      <c r="W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W$20,East_Snapshot[],5,FALSE),VLOOKUP(W$20,West_Snapshot[],5,FALSE))^$J$18+IFERROR(VLOOKUP(W$20,East_Snapshot[],8,FALSE),VLOOKUP(W$20,West_Snapshot[],8,FALSE))^$J$18))+$D$19*(VLOOKUP($C41,Tracker!$A$46:$T$75,2023-$A$2,FALSE)-VLOOKUP(W$20,Tracker!$A$46:$T$75,2023-$A$2,FALSE))</f>
        <v>0.66084954483474945</v>
      </c>
      <c r="X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X$20,East_Snapshot[],5,FALSE),VLOOKUP(X$20,West_Snapshot[],5,FALSE))^$J$18+IFERROR(VLOOKUP(X$20,East_Snapshot[],8,FALSE),VLOOKUP(X$20,West_Snapshot[],8,FALSE))^$J$18))+$D$19*(VLOOKUP($C41,Tracker!$A$46:$T$75,2023-$A$2,FALSE)-VLOOKUP(X$20,Tracker!$A$46:$T$75,2023-$A$2,FALSE))</f>
        <v>0.63521333363899779</v>
      </c>
      <c r="Y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Y$20,East_Snapshot[],5,FALSE),VLOOKUP(Y$20,West_Snapshot[],5,FALSE))^$J$18+IFERROR(VLOOKUP(Y$20,East_Snapshot[],8,FALSE),VLOOKUP(Y$20,West_Snapshot[],8,FALSE))^$J$18))+$D$19*(VLOOKUP($C41,Tracker!$A$46:$T$75,2023-$A$2,FALSE)-VLOOKUP(Y$20,Tracker!$A$46:$T$75,2023-$A$2,FALSE))</f>
        <v>0.5</v>
      </c>
      <c r="Z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Z$20,East_Snapshot[],5,FALSE),VLOOKUP(Z$20,West_Snapshot[],5,FALSE))^$J$18+IFERROR(VLOOKUP(Z$20,East_Snapshot[],8,FALSE),VLOOKUP(Z$20,West_Snapshot[],8,FALSE))^$J$18))+$D$19*(VLOOKUP($C41,Tracker!$A$46:$T$75,2023-$A$2,FALSE)-VLOOKUP(Z$20,Tracker!$A$46:$T$75,2023-$A$2,FALSE))</f>
        <v>0.76408616031514687</v>
      </c>
      <c r="AA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A$20,East_Snapshot[],5,FALSE),VLOOKUP(AA$20,West_Snapshot[],5,FALSE))^$J$18+IFERROR(VLOOKUP(AA$20,East_Snapshot[],8,FALSE),VLOOKUP(AA$20,West_Snapshot[],8,FALSE))^$J$18))+$D$19*(VLOOKUP($C41,Tracker!$A$46:$T$75,2023-$A$2,FALSE)-VLOOKUP(AA$20,Tracker!$A$46:$T$75,2023-$A$2,FALSE))</f>
        <v>0.91370177647724726</v>
      </c>
      <c r="AB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B$20,East_Snapshot[],5,FALSE),VLOOKUP(AB$20,West_Snapshot[],5,FALSE))^$J$18+IFERROR(VLOOKUP(AB$20,East_Snapshot[],8,FALSE),VLOOKUP(AB$20,West_Snapshot[],8,FALSE))^$J$18))+$D$19*(VLOOKUP($C41,Tracker!$A$46:$T$75,2023-$A$2,FALSE)-VLOOKUP(AB$20,Tracker!$A$46:$T$75,2023-$A$2,FALSE))</f>
        <v>0.55604960138193982</v>
      </c>
      <c r="AC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C$20,East_Snapshot[],5,FALSE),VLOOKUP(AC$20,West_Snapshot[],5,FALSE))^$J$18+IFERROR(VLOOKUP(AC$20,East_Snapshot[],8,FALSE),VLOOKUP(AC$20,West_Snapshot[],8,FALSE))^$J$18))+$D$19*(VLOOKUP($C41,Tracker!$A$46:$T$75,2023-$A$2,FALSE)-VLOOKUP(AC$20,Tracker!$A$46:$T$75,2023-$A$2,FALSE))</f>
        <v>0.5237706796201731</v>
      </c>
      <c r="AD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D$20,East_Snapshot[],5,FALSE),VLOOKUP(AD$20,West_Snapshot[],5,FALSE))^$J$18+IFERROR(VLOOKUP(AD$20,East_Snapshot[],8,FALSE),VLOOKUP(AD$20,West_Snapshot[],8,FALSE))^$J$18))+$D$19*(VLOOKUP($C41,Tracker!$A$46:$T$75,2023-$A$2,FALSE)-VLOOKUP(AD$20,Tracker!$A$46:$T$75,2023-$A$2,FALSE))</f>
        <v>0.66395855582549457</v>
      </c>
      <c r="AE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E$20,East_Snapshot[],5,FALSE),VLOOKUP(AE$20,West_Snapshot[],5,FALSE))^$J$18+IFERROR(VLOOKUP(AE$20,East_Snapshot[],8,FALSE),VLOOKUP(AE$20,West_Snapshot[],8,FALSE))^$J$18))+$D$19*(VLOOKUP($C41,Tracker!$A$46:$T$75,2023-$A$2,FALSE)-VLOOKUP(AE$20,Tracker!$A$46:$T$75,2023-$A$2,FALSE))</f>
        <v>0.48246754193329988</v>
      </c>
      <c r="AF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F$20,East_Snapshot[],5,FALSE),VLOOKUP(AF$20,West_Snapshot[],5,FALSE))^$J$18+IFERROR(VLOOKUP(AF$20,East_Snapshot[],8,FALSE),VLOOKUP(AF$20,West_Snapshot[],8,FALSE))^$J$18))+$D$19*(VLOOKUP($C41,Tracker!$A$46:$T$75,2023-$A$2,FALSE)-VLOOKUP(AF$20,Tracker!$A$46:$T$75,2023-$A$2,FALSE))</f>
        <v>0.55543718526838337</v>
      </c>
      <c r="AG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G$20,East_Snapshot[],5,FALSE),VLOOKUP(AG$20,West_Snapshot[],5,FALSE))^$J$18+IFERROR(VLOOKUP(AG$20,East_Snapshot[],8,FALSE),VLOOKUP(AG$20,West_Snapshot[],8,FALSE))^$J$18))+$D$19*(VLOOKUP($C41,Tracker!$A$46:$T$75,2023-$A$2,FALSE)-VLOOKUP(AG$20,Tracker!$A$46:$T$75,2023-$A$2,FALSE))</f>
        <v>0.79014841086370391</v>
      </c>
      <c r="AH41" s="4">
        <f>($H$18*IFERROR(VLOOKUP($C41,East_Snapshot[],5,FALSE),VLOOKUP($C41,West_Snapshot[],5,FALSE))^$J$18+IFERROR(VLOOKUP($C41,East_Snapshot[],8,FALSE),VLOOKUP($C41,West_Snapshot[],8,FALSE))^$J$18)/(($H$18*IFERROR(VLOOKUP($C41,East_Snapshot[],5,FALSE),VLOOKUP($C41,West_Snapshot[],5,FALSE))^$J$18+IFERROR(VLOOKUP($C41,East_Snapshot[],8,FALSE),VLOOKUP($C41,West_Snapshot[],8,FALSE))^$J$18)+($H$18*IFERROR(VLOOKUP(AH$20,East_Snapshot[],5,FALSE),VLOOKUP(AH$20,West_Snapshot[],5,FALSE))^$J$18+IFERROR(VLOOKUP(AH$20,East_Snapshot[],8,FALSE),VLOOKUP(AH$20,West_Snapshot[],8,FALSE))^$J$18))+$D$19*(VLOOKUP($C41,Tracker!$A$46:$T$75,2023-$A$2,FALSE)-VLOOKUP(AH$20,Tracker!$A$46:$T$75,2023-$A$2,FALSE))</f>
        <v>0.59330670891686044</v>
      </c>
    </row>
    <row r="42" spans="3:34" x14ac:dyDescent="0.25">
      <c r="C42" t="s">
        <v>138</v>
      </c>
      <c r="D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D$20,East_Snapshot[],5,FALSE),VLOOKUP(D$20,West_Snapshot[],5,FALSE))^$J$18+IFERROR(VLOOKUP(D$20,East_Snapshot[],8,FALSE),VLOOKUP(D$20,West_Snapshot[],8,FALSE))^$J$18))+$D$19*(VLOOKUP($C42,Tracker!$A$46:$T$75,2023-$A$2,FALSE)-VLOOKUP(D$20,Tracker!$A$46:$T$75,2023-$A$2,FALSE))</f>
        <v>0.35258538817438101</v>
      </c>
      <c r="E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E$20,East_Snapshot[],5,FALSE),VLOOKUP(E$20,West_Snapshot[],5,FALSE))^$J$18+IFERROR(VLOOKUP(E$20,East_Snapshot[],8,FALSE),VLOOKUP(E$20,West_Snapshot[],8,FALSE))^$J$18))+$D$19*(VLOOKUP($C42,Tracker!$A$46:$T$75,2023-$A$2,FALSE)-VLOOKUP(E$20,Tracker!$A$46:$T$75,2023-$A$2,FALSE))</f>
        <v>0.46531287889063488</v>
      </c>
      <c r="F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F$20,East_Snapshot[],5,FALSE),VLOOKUP(F$20,West_Snapshot[],5,FALSE))^$J$18+IFERROR(VLOOKUP(F$20,East_Snapshot[],8,FALSE),VLOOKUP(F$20,West_Snapshot[],8,FALSE))^$J$18))+$D$19*(VLOOKUP($C42,Tracker!$A$46:$T$75,2023-$A$2,FALSE)-VLOOKUP(F$20,Tracker!$A$46:$T$75,2023-$A$2,FALSE))</f>
        <v>0.3665017866125832</v>
      </c>
      <c r="G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G$20,East_Snapshot[],5,FALSE),VLOOKUP(G$20,West_Snapshot[],5,FALSE))^$J$18+IFERROR(VLOOKUP(G$20,East_Snapshot[],8,FALSE),VLOOKUP(G$20,West_Snapshot[],8,FALSE))^$J$18))+$D$19*(VLOOKUP($C42,Tracker!$A$46:$T$75,2023-$A$2,FALSE)-VLOOKUP(G$20,Tracker!$A$46:$T$75,2023-$A$2,FALSE))</f>
        <v>0.35021571977050575</v>
      </c>
      <c r="H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H$20,East_Snapshot[],5,FALSE),VLOOKUP(H$20,West_Snapshot[],5,FALSE))^$J$18+IFERROR(VLOOKUP(H$20,East_Snapshot[],8,FALSE),VLOOKUP(H$20,West_Snapshot[],8,FALSE))^$J$18))+$D$19*(VLOOKUP($C42,Tracker!$A$46:$T$75,2023-$A$2,FALSE)-VLOOKUP(H$20,Tracker!$A$46:$T$75,2023-$A$2,FALSE))</f>
        <v>0.29974866984976262</v>
      </c>
      <c r="I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I$20,East_Snapshot[],5,FALSE),VLOOKUP(I$20,West_Snapshot[],5,FALSE))^$J$18+IFERROR(VLOOKUP(I$20,East_Snapshot[],8,FALSE),VLOOKUP(I$20,West_Snapshot[],8,FALSE))^$J$18))+$D$19*(VLOOKUP($C42,Tracker!$A$46:$T$75,2023-$A$2,FALSE)-VLOOKUP(I$20,Tracker!$A$46:$T$75,2023-$A$2,FALSE))</f>
        <v>0.42712208238652982</v>
      </c>
      <c r="J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J$20,East_Snapshot[],5,FALSE),VLOOKUP(J$20,West_Snapshot[],5,FALSE))^$J$18+IFERROR(VLOOKUP(J$20,East_Snapshot[],8,FALSE),VLOOKUP(J$20,West_Snapshot[],8,FALSE))^$J$18))+$D$19*(VLOOKUP($C42,Tracker!$A$46:$T$75,2023-$A$2,FALSE)-VLOOKUP(J$20,Tracker!$A$46:$T$75,2023-$A$2,FALSE))</f>
        <v>0.28205024229369602</v>
      </c>
      <c r="K42" s="4" t="e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K$20,East_Snapshot[],5,FALSE),VLOOKUP(K$20,West_Snapshot[],5,FALSE))^$J$18+IFERROR(VLOOKUP(K$20,East_Snapshot[],8,FALSE),VLOOKUP(K$20,West_Snapshot[],8,FALSE))^$J$18))+$D$19*(VLOOKUP($C42,Tracker!$A$46:$T$75,2023-$A$2,FALSE)-VLOOKUP(K$20,Tracker!$A$46:$T$75,2023-$A$2,FALSE))</f>
        <v>#N/A</v>
      </c>
      <c r="L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L$20,East_Snapshot[],5,FALSE),VLOOKUP(L$20,West_Snapshot[],5,FALSE))^$J$18+IFERROR(VLOOKUP(L$20,East_Snapshot[],8,FALSE),VLOOKUP(L$20,West_Snapshot[],8,FALSE))^$J$18))+$D$19*(VLOOKUP($C42,Tracker!$A$46:$T$75,2023-$A$2,FALSE)-VLOOKUP(L$20,Tracker!$A$46:$T$75,2023-$A$2,FALSE))</f>
        <v>0.37327324872232404</v>
      </c>
      <c r="M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M$20,East_Snapshot[],5,FALSE),VLOOKUP(M$20,West_Snapshot[],5,FALSE))^$J$18+IFERROR(VLOOKUP(M$20,East_Snapshot[],8,FALSE),VLOOKUP(M$20,West_Snapshot[],8,FALSE))^$J$18))+$D$19*(VLOOKUP($C42,Tracker!$A$46:$T$75,2023-$A$2,FALSE)-VLOOKUP(M$20,Tracker!$A$46:$T$75,2023-$A$2,FALSE))</f>
        <v>0.43572899801144505</v>
      </c>
      <c r="N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N$20,East_Snapshot[],5,FALSE),VLOOKUP(N$20,West_Snapshot[],5,FALSE))^$J$18+IFERROR(VLOOKUP(N$20,East_Snapshot[],8,FALSE),VLOOKUP(N$20,West_Snapshot[],8,FALSE))^$J$18))+$D$19*(VLOOKUP($C42,Tracker!$A$46:$T$75,2023-$A$2,FALSE)-VLOOKUP(N$20,Tracker!$A$46:$T$75,2023-$A$2,FALSE))</f>
        <v>0.25201535738032882</v>
      </c>
      <c r="O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O$20,East_Snapshot[],5,FALSE),VLOOKUP(O$20,West_Snapshot[],5,FALSE))^$J$18+IFERROR(VLOOKUP(O$20,East_Snapshot[],8,FALSE),VLOOKUP(O$20,West_Snapshot[],8,FALSE))^$J$18))+$D$19*(VLOOKUP($C42,Tracker!$A$46:$T$75,2023-$A$2,FALSE)-VLOOKUP(O$20,Tracker!$A$46:$T$75,2023-$A$2,FALSE))</f>
        <v>0.25419753475063589</v>
      </c>
      <c r="P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P$20,East_Snapshot[],5,FALSE),VLOOKUP(P$20,West_Snapshot[],5,FALSE))^$J$18+IFERROR(VLOOKUP(P$20,East_Snapshot[],8,FALSE),VLOOKUP(P$20,West_Snapshot[],8,FALSE))^$J$18))+$D$19*(VLOOKUP($C42,Tracker!$A$46:$T$75,2023-$A$2,FALSE)-VLOOKUP(P$20,Tracker!$A$46:$T$75,2023-$A$2,FALSE))</f>
        <v>0.26363666637960076</v>
      </c>
      <c r="Q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Q$20,East_Snapshot[],5,FALSE),VLOOKUP(Q$20,West_Snapshot[],5,FALSE))^$J$18+IFERROR(VLOOKUP(Q$20,East_Snapshot[],8,FALSE),VLOOKUP(Q$20,West_Snapshot[],8,FALSE))^$J$18))+$D$19*(VLOOKUP($C42,Tracker!$A$46:$T$75,2023-$A$2,FALSE)-VLOOKUP(Q$20,Tracker!$A$46:$T$75,2023-$A$2,FALSE))</f>
        <v>0.22077710429360328</v>
      </c>
      <c r="R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R$20,East_Snapshot[],5,FALSE),VLOOKUP(R$20,West_Snapshot[],5,FALSE))^$J$18+IFERROR(VLOOKUP(R$20,East_Snapshot[],8,FALSE),VLOOKUP(R$20,West_Snapshot[],8,FALSE))^$J$18))+$D$19*(VLOOKUP($C42,Tracker!$A$46:$T$75,2023-$A$2,FALSE)-VLOOKUP(R$20,Tracker!$A$46:$T$75,2023-$A$2,FALSE))</f>
        <v>0.49087915859721393</v>
      </c>
      <c r="S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S$20,East_Snapshot[],5,FALSE),VLOOKUP(S$20,West_Snapshot[],5,FALSE))^$J$18+IFERROR(VLOOKUP(S$20,East_Snapshot[],8,FALSE),VLOOKUP(S$20,West_Snapshot[],8,FALSE))^$J$18))+$D$19*(VLOOKUP($C42,Tracker!$A$46:$T$75,2023-$A$2,FALSE)-VLOOKUP(S$20,Tracker!$A$46:$T$75,2023-$A$2,FALSE))</f>
        <v>0.29332939624430687</v>
      </c>
      <c r="T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T$20,East_Snapshot[],5,FALSE),VLOOKUP(T$20,West_Snapshot[],5,FALSE))^$J$18+IFERROR(VLOOKUP(T$20,East_Snapshot[],8,FALSE),VLOOKUP(T$20,West_Snapshot[],8,FALSE))^$J$18))+$D$19*(VLOOKUP($C42,Tracker!$A$46:$T$75,2023-$A$2,FALSE)-VLOOKUP(T$20,Tracker!$A$46:$T$75,2023-$A$2,FALSE))</f>
        <v>0.25893365364319748</v>
      </c>
      <c r="U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U$20,East_Snapshot[],5,FALSE),VLOOKUP(U$20,West_Snapshot[],5,FALSE))^$J$18+IFERROR(VLOOKUP(U$20,East_Snapshot[],8,FALSE),VLOOKUP(U$20,West_Snapshot[],8,FALSE))^$J$18))+$D$19*(VLOOKUP($C42,Tracker!$A$46:$T$75,2023-$A$2,FALSE)-VLOOKUP(U$20,Tracker!$A$46:$T$75,2023-$A$2,FALSE))</f>
        <v>0.62148109214847191</v>
      </c>
      <c r="V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V$20,East_Snapshot[],5,FALSE),VLOOKUP(V$20,West_Snapshot[],5,FALSE))^$J$18+IFERROR(VLOOKUP(V$20,East_Snapshot[],8,FALSE),VLOOKUP(V$20,West_Snapshot[],8,FALSE))^$J$18))+$D$19*(VLOOKUP($C42,Tracker!$A$46:$T$75,2023-$A$2,FALSE)-VLOOKUP(V$20,Tracker!$A$46:$T$75,2023-$A$2,FALSE))</f>
        <v>0.27953457597571674</v>
      </c>
      <c r="W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W$20,East_Snapshot[],5,FALSE),VLOOKUP(W$20,West_Snapshot[],5,FALSE))^$J$18+IFERROR(VLOOKUP(W$20,East_Snapshot[],8,FALSE),VLOOKUP(W$20,West_Snapshot[],8,FALSE))^$J$18))+$D$19*(VLOOKUP($C42,Tracker!$A$46:$T$75,2023-$A$2,FALSE)-VLOOKUP(W$20,Tracker!$A$46:$T$75,2023-$A$2,FALSE))</f>
        <v>0.37854246590155421</v>
      </c>
      <c r="X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X$20,East_Snapshot[],5,FALSE),VLOOKUP(X$20,West_Snapshot[],5,FALSE))^$J$18+IFERROR(VLOOKUP(X$20,East_Snapshot[],8,FALSE),VLOOKUP(X$20,West_Snapshot[],8,FALSE))^$J$18))+$D$19*(VLOOKUP($C42,Tracker!$A$46:$T$75,2023-$A$2,FALSE)-VLOOKUP(X$20,Tracker!$A$46:$T$75,2023-$A$2,FALSE))</f>
        <v>0.35218868053929331</v>
      </c>
      <c r="Y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Y$20,East_Snapshot[],5,FALSE),VLOOKUP(Y$20,West_Snapshot[],5,FALSE))^$J$18+IFERROR(VLOOKUP(Y$20,East_Snapshot[],8,FALSE),VLOOKUP(Y$20,West_Snapshot[],8,FALSE))^$J$18))+$D$19*(VLOOKUP($C42,Tracker!$A$46:$T$75,2023-$A$2,FALSE)-VLOOKUP(Y$20,Tracker!$A$46:$T$75,2023-$A$2,FALSE))</f>
        <v>0.23591383968485327</v>
      </c>
      <c r="Z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Z$20,East_Snapshot[],5,FALSE),VLOOKUP(Z$20,West_Snapshot[],5,FALSE))^$J$18+IFERROR(VLOOKUP(Z$20,East_Snapshot[],8,FALSE),VLOOKUP(Z$20,West_Snapshot[],8,FALSE))^$J$18))+$D$19*(VLOOKUP($C42,Tracker!$A$46:$T$75,2023-$A$2,FALSE)-VLOOKUP(Z$20,Tracker!$A$46:$T$75,2023-$A$2,FALSE))</f>
        <v>0.5</v>
      </c>
      <c r="AA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A$20,East_Snapshot[],5,FALSE),VLOOKUP(AA$20,West_Snapshot[],5,FALSE))^$J$18+IFERROR(VLOOKUP(AA$20,East_Snapshot[],8,FALSE),VLOOKUP(AA$20,West_Snapshot[],8,FALSE))^$J$18))+$D$19*(VLOOKUP($C42,Tracker!$A$46:$T$75,2023-$A$2,FALSE)-VLOOKUP(AA$20,Tracker!$A$46:$T$75,2023-$A$2,FALSE))</f>
        <v>0.75371485665465365</v>
      </c>
      <c r="AB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B$20,East_Snapshot[],5,FALSE),VLOOKUP(AB$20,West_Snapshot[],5,FALSE))^$J$18+IFERROR(VLOOKUP(AB$20,East_Snapshot[],8,FALSE),VLOOKUP(AB$20,West_Snapshot[],8,FALSE))^$J$18))+$D$19*(VLOOKUP($C42,Tracker!$A$46:$T$75,2023-$A$2,FALSE)-VLOOKUP(AB$20,Tracker!$A$46:$T$75,2023-$A$2,FALSE))</f>
        <v>0.28000068029852432</v>
      </c>
      <c r="AC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C$20,East_Snapshot[],5,FALSE),VLOOKUP(AC$20,West_Snapshot[],5,FALSE))^$J$18+IFERROR(VLOOKUP(AC$20,East_Snapshot[],8,FALSE),VLOOKUP(AC$20,West_Snapshot[],8,FALSE))^$J$18))+$D$19*(VLOOKUP($C42,Tracker!$A$46:$T$75,2023-$A$2,FALSE)-VLOOKUP(AC$20,Tracker!$A$46:$T$75,2023-$A$2,FALSE))</f>
        <v>0.25185394218163265</v>
      </c>
      <c r="AD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D$20,East_Snapshot[],5,FALSE),VLOOKUP(AD$20,West_Snapshot[],5,FALSE))^$J$18+IFERROR(VLOOKUP(AD$20,East_Snapshot[],8,FALSE),VLOOKUP(AD$20,West_Snapshot[],8,FALSE))^$J$18))+$D$19*(VLOOKUP($C42,Tracker!$A$46:$T$75,2023-$A$2,FALSE)-VLOOKUP(AD$20,Tracker!$A$46:$T$75,2023-$A$2,FALSE))</f>
        <v>0.38185054309363925</v>
      </c>
      <c r="AE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E$20,East_Snapshot[],5,FALSE),VLOOKUP(AE$20,West_Snapshot[],5,FALSE))^$J$18+IFERROR(VLOOKUP(AE$20,East_Snapshot[],8,FALSE),VLOOKUP(AE$20,West_Snapshot[],8,FALSE))^$J$18))+$D$19*(VLOOKUP($C42,Tracker!$A$46:$T$75,2023-$A$2,FALSE)-VLOOKUP(AE$20,Tracker!$A$46:$T$75,2023-$A$2,FALSE))</f>
        <v>0.2231366253756053</v>
      </c>
      <c r="AF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F$20,East_Snapshot[],5,FALSE),VLOOKUP(AF$20,West_Snapshot[],5,FALSE))^$J$18+IFERROR(VLOOKUP(AF$20,East_Snapshot[],8,FALSE),VLOOKUP(AF$20,West_Snapshot[],8,FALSE))^$J$18))+$D$19*(VLOOKUP($C42,Tracker!$A$46:$T$75,2023-$A$2,FALSE)-VLOOKUP(AF$20,Tracker!$A$46:$T$75,2023-$A$2,FALSE))</f>
        <v>0.27949021170911587</v>
      </c>
      <c r="AG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G$20,East_Snapshot[],5,FALSE),VLOOKUP(AG$20,West_Snapshot[],5,FALSE))^$J$18+IFERROR(VLOOKUP(AG$20,East_Snapshot[],8,FALSE),VLOOKUP(AG$20,West_Snapshot[],8,FALSE))^$J$18))+$D$19*(VLOOKUP($C42,Tracker!$A$46:$T$75,2023-$A$2,FALSE)-VLOOKUP(AG$20,Tracker!$A$46:$T$75,2023-$A$2,FALSE))</f>
        <v>0.5364368049631234</v>
      </c>
      <c r="AH42" s="4">
        <f>($H$18*IFERROR(VLOOKUP($C42,East_Snapshot[],5,FALSE),VLOOKUP($C42,West_Snapshot[],5,FALSE))^$J$18+IFERROR(VLOOKUP($C42,East_Snapshot[],8,FALSE),VLOOKUP($C42,West_Snapshot[],8,FALSE))^$J$18)/(($H$18*IFERROR(VLOOKUP($C42,East_Snapshot[],5,FALSE),VLOOKUP($C42,West_Snapshot[],5,FALSE))^$J$18+IFERROR(VLOOKUP($C42,East_Snapshot[],8,FALSE),VLOOKUP($C42,West_Snapshot[],8,FALSE))^$J$18)+($H$18*IFERROR(VLOOKUP(AH$20,East_Snapshot[],5,FALSE),VLOOKUP(AH$20,West_Snapshot[],5,FALSE))^$J$18+IFERROR(VLOOKUP(AH$20,East_Snapshot[],8,FALSE),VLOOKUP(AH$20,West_Snapshot[],8,FALSE))^$J$18))+$D$19*(VLOOKUP($C42,Tracker!$A$46:$T$75,2023-$A$2,FALSE)-VLOOKUP(AH$20,Tracker!$A$46:$T$75,2023-$A$2,FALSE))</f>
        <v>0.3123761653256818</v>
      </c>
    </row>
    <row r="43" spans="3:34" x14ac:dyDescent="0.25">
      <c r="C43" t="s">
        <v>134</v>
      </c>
      <c r="D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D$20,East_Snapshot[],5,FALSE),VLOOKUP(D$20,West_Snapshot[],5,FALSE))^$J$18+IFERROR(VLOOKUP(D$20,East_Snapshot[],8,FALSE),VLOOKUP(D$20,West_Snapshot[],8,FALSE))^$J$18))+$D$19*(VLOOKUP($C43,Tracker!$A$46:$T$75,2023-$A$2,FALSE)-VLOOKUP(D$20,Tracker!$A$46:$T$75,2023-$A$2,FALSE))</f>
        <v>0.15107195023933154</v>
      </c>
      <c r="E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E$20,East_Snapshot[],5,FALSE),VLOOKUP(E$20,West_Snapshot[],5,FALSE))^$J$18+IFERROR(VLOOKUP(E$20,East_Snapshot[],8,FALSE),VLOOKUP(E$20,West_Snapshot[],8,FALSE))^$J$18))+$D$19*(VLOOKUP($C43,Tracker!$A$46:$T$75,2023-$A$2,FALSE)-VLOOKUP(E$20,Tracker!$A$46:$T$75,2023-$A$2,FALSE))</f>
        <v>0.22140526774071756</v>
      </c>
      <c r="F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F$20,East_Snapshot[],5,FALSE),VLOOKUP(F$20,West_Snapshot[],5,FALSE))^$J$18+IFERROR(VLOOKUP(F$20,East_Snapshot[],8,FALSE),VLOOKUP(F$20,West_Snapshot[],8,FALSE))^$J$18))+$D$19*(VLOOKUP($C43,Tracker!$A$46:$T$75,2023-$A$2,FALSE)-VLOOKUP(F$20,Tracker!$A$46:$T$75,2023-$A$2,FALSE))</f>
        <v>0.15898790361878554</v>
      </c>
      <c r="G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G$20,East_Snapshot[],5,FALSE),VLOOKUP(G$20,West_Snapshot[],5,FALSE))^$J$18+IFERROR(VLOOKUP(G$20,East_Snapshot[],8,FALSE),VLOOKUP(G$20,West_Snapshot[],8,FALSE))^$J$18))+$D$19*(VLOOKUP($C43,Tracker!$A$46:$T$75,2023-$A$2,FALSE)-VLOOKUP(G$20,Tracker!$A$46:$T$75,2023-$A$2,FALSE))</f>
        <v>0.14974336956756476</v>
      </c>
      <c r="H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H$20,East_Snapshot[],5,FALSE),VLOOKUP(H$20,West_Snapshot[],5,FALSE))^$J$18+IFERROR(VLOOKUP(H$20,East_Snapshot[],8,FALSE),VLOOKUP(H$20,West_Snapshot[],8,FALSE))^$J$18))+$D$19*(VLOOKUP($C43,Tracker!$A$46:$T$75,2023-$A$2,FALSE)-VLOOKUP(H$20,Tracker!$A$46:$T$75,2023-$A$2,FALSE))</f>
        <v>0.11788178610771542</v>
      </c>
      <c r="I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I$20,East_Snapshot[],5,FALSE),VLOOKUP(I$20,West_Snapshot[],5,FALSE))^$J$18+IFERROR(VLOOKUP(I$20,East_Snapshot[],8,FALSE),VLOOKUP(I$20,West_Snapshot[],8,FALSE))^$J$18))+$D$19*(VLOOKUP($C43,Tracker!$A$46:$T$75,2023-$A$2,FALSE)-VLOOKUP(I$20,Tracker!$A$46:$T$75,2023-$A$2,FALSE))</f>
        <v>0.19589880599695364</v>
      </c>
      <c r="J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J$20,East_Snapshot[],5,FALSE),VLOOKUP(J$20,West_Snapshot[],5,FALSE))^$J$18+IFERROR(VLOOKUP(J$20,East_Snapshot[],8,FALSE),VLOOKUP(J$20,West_Snapshot[],8,FALSE))^$J$18))+$D$19*(VLOOKUP($C43,Tracker!$A$46:$T$75,2023-$A$2,FALSE)-VLOOKUP(J$20,Tracker!$A$46:$T$75,2023-$A$2,FALSE))</f>
        <v>0.10878657903398735</v>
      </c>
      <c r="K43" s="4" t="e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K$20,East_Snapshot[],5,FALSE),VLOOKUP(K$20,West_Snapshot[],5,FALSE))^$J$18+IFERROR(VLOOKUP(K$20,East_Snapshot[],8,FALSE),VLOOKUP(K$20,West_Snapshot[],8,FALSE))^$J$18))+$D$19*(VLOOKUP($C43,Tracker!$A$46:$T$75,2023-$A$2,FALSE)-VLOOKUP(K$20,Tracker!$A$46:$T$75,2023-$A$2,FALSE))</f>
        <v>#N/A</v>
      </c>
      <c r="L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L$20,East_Snapshot[],5,FALSE),VLOOKUP(L$20,West_Snapshot[],5,FALSE))^$J$18+IFERROR(VLOOKUP(L$20,East_Snapshot[],8,FALSE),VLOOKUP(L$20,West_Snapshot[],8,FALSE))^$J$18))+$D$19*(VLOOKUP($C43,Tracker!$A$46:$T$75,2023-$A$2,FALSE)-VLOOKUP(L$20,Tracker!$A$46:$T$75,2023-$A$2,FALSE))</f>
        <v>0.16291131347952389</v>
      </c>
      <c r="M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M$20,East_Snapshot[],5,FALSE),VLOOKUP(M$20,West_Snapshot[],5,FALSE))^$J$18+IFERROR(VLOOKUP(M$20,East_Snapshot[],8,FALSE),VLOOKUP(M$20,West_Snapshot[],8,FALSE))^$J$18))+$D$19*(VLOOKUP($C43,Tracker!$A$46:$T$75,2023-$A$2,FALSE)-VLOOKUP(M$20,Tracker!$A$46:$T$75,2023-$A$2,FALSE))</f>
        <v>0.20148508483347688</v>
      </c>
      <c r="N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N$20,East_Snapshot[],5,FALSE),VLOOKUP(N$20,West_Snapshot[],5,FALSE))^$J$18+IFERROR(VLOOKUP(N$20,East_Snapshot[],8,FALSE),VLOOKUP(N$20,West_Snapshot[],8,FALSE))^$J$18))+$D$19*(VLOOKUP($C43,Tracker!$A$46:$T$75,2023-$A$2,FALSE)-VLOOKUP(N$20,Tracker!$A$46:$T$75,2023-$A$2,FALSE))</f>
        <v>9.3953927539799975E-2</v>
      </c>
      <c r="O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O$20,East_Snapshot[],5,FALSE),VLOOKUP(O$20,West_Snapshot[],5,FALSE))^$J$18+IFERROR(VLOOKUP(O$20,East_Snapshot[],8,FALSE),VLOOKUP(O$20,West_Snapshot[],8,FALSE))^$J$18))+$D$19*(VLOOKUP($C43,Tracker!$A$46:$T$75,2023-$A$2,FALSE)-VLOOKUP(O$20,Tracker!$A$46:$T$75,2023-$A$2,FALSE))</f>
        <v>9.5007010529598673E-2</v>
      </c>
      <c r="P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P$20,East_Snapshot[],5,FALSE),VLOOKUP(P$20,West_Snapshot[],5,FALSE))^$J$18+IFERROR(VLOOKUP(P$20,East_Snapshot[],8,FALSE),VLOOKUP(P$20,West_Snapshot[],8,FALSE))^$J$18))+$D$19*(VLOOKUP($C43,Tracker!$A$46:$T$75,2023-$A$2,FALSE)-VLOOKUP(P$20,Tracker!$A$46:$T$75,2023-$A$2,FALSE))</f>
        <v>9.9605868023460872E-2</v>
      </c>
      <c r="Q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Q$20,East_Snapshot[],5,FALSE),VLOOKUP(Q$20,West_Snapshot[],5,FALSE))^$J$18+IFERROR(VLOOKUP(Q$20,East_Snapshot[],8,FALSE),VLOOKUP(Q$20,West_Snapshot[],8,FALSE))^$J$18))+$D$19*(VLOOKUP($C43,Tracker!$A$46:$T$75,2023-$A$2,FALSE)-VLOOKUP(Q$20,Tracker!$A$46:$T$75,2023-$A$2,FALSE))</f>
        <v>7.3897564384865055E-2</v>
      </c>
      <c r="R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R$20,East_Snapshot[],5,FALSE),VLOOKUP(R$20,West_Snapshot[],5,FALSE))^$J$18+IFERROR(VLOOKUP(R$20,East_Snapshot[],8,FALSE),VLOOKUP(R$20,West_Snapshot[],8,FALSE))^$J$18))+$D$19*(VLOOKUP($C43,Tracker!$A$46:$T$75,2023-$A$2,FALSE)-VLOOKUP(R$20,Tracker!$A$46:$T$75,2023-$A$2,FALSE))</f>
        <v>0.23957489357357115</v>
      </c>
      <c r="S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S$20,East_Snapshot[],5,FALSE),VLOOKUP(S$20,West_Snapshot[],5,FALSE))^$J$18+IFERROR(VLOOKUP(S$20,East_Snapshot[],8,FALSE),VLOOKUP(S$20,West_Snapshot[],8,FALSE))^$J$18))+$D$19*(VLOOKUP($C43,Tracker!$A$46:$T$75,2023-$A$2,FALSE)-VLOOKUP(S$20,Tracker!$A$46:$T$75,2023-$A$2,FALSE))</f>
        <v>0.11455144841374677</v>
      </c>
      <c r="T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T$20,East_Snapshot[],5,FALSE),VLOOKUP(T$20,West_Snapshot[],5,FALSE))^$J$18+IFERROR(VLOOKUP(T$20,East_Snapshot[],8,FALSE),VLOOKUP(T$20,West_Snapshot[],8,FALSE))^$J$18))+$D$19*(VLOOKUP($C43,Tracker!$A$46:$T$75,2023-$A$2,FALSE)-VLOOKUP(T$20,Tracker!$A$46:$T$75,2023-$A$2,FALSE))</f>
        <v>9.7305582764505294E-2</v>
      </c>
      <c r="U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U$20,East_Snapshot[],5,FALSE),VLOOKUP(U$20,West_Snapshot[],5,FALSE))^$J$18+IFERROR(VLOOKUP(U$20,East_Snapshot[],8,FALSE),VLOOKUP(U$20,West_Snapshot[],8,FALSE))^$J$18))+$D$19*(VLOOKUP($C43,Tracker!$A$46:$T$75,2023-$A$2,FALSE)-VLOOKUP(U$20,Tracker!$A$46:$T$75,2023-$A$2,FALSE))</f>
        <v>0.3491711100467097</v>
      </c>
      <c r="V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V$20,East_Snapshot[],5,FALSE),VLOOKUP(V$20,West_Snapshot[],5,FALSE))^$J$18+IFERROR(VLOOKUP(V$20,East_Snapshot[],8,FALSE),VLOOKUP(V$20,West_Snapshot[],8,FALSE))^$J$18))+$D$19*(VLOOKUP($C43,Tracker!$A$46:$T$75,2023-$A$2,FALSE)-VLOOKUP(V$20,Tracker!$A$46:$T$75,2023-$A$2,FALSE))</f>
        <v>0.10751563357824208</v>
      </c>
      <c r="W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W$20,East_Snapshot[],5,FALSE),VLOOKUP(W$20,West_Snapshot[],5,FALSE))^$J$18+IFERROR(VLOOKUP(W$20,East_Snapshot[],8,FALSE),VLOOKUP(W$20,West_Snapshot[],8,FALSE))^$J$18))+$D$19*(VLOOKUP($C43,Tracker!$A$46:$T$75,2023-$A$2,FALSE)-VLOOKUP(W$20,Tracker!$A$46:$T$75,2023-$A$2,FALSE))</f>
        <v>0.16193613627173331</v>
      </c>
      <c r="X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X$20,East_Snapshot[],5,FALSE),VLOOKUP(X$20,West_Snapshot[],5,FALSE))^$J$18+IFERROR(VLOOKUP(X$20,East_Snapshot[],8,FALSE),VLOOKUP(X$20,West_Snapshot[],8,FALSE))^$J$18))+$D$19*(VLOOKUP($C43,Tracker!$A$46:$T$75,2023-$A$2,FALSE)-VLOOKUP(X$20,Tracker!$A$46:$T$75,2023-$A$2,FALSE))</f>
        <v>0.14651353715867119</v>
      </c>
      <c r="Y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Y$20,East_Snapshot[],5,FALSE),VLOOKUP(Y$20,West_Snapshot[],5,FALSE))^$J$18+IFERROR(VLOOKUP(Y$20,East_Snapshot[],8,FALSE),VLOOKUP(Y$20,West_Snapshot[],8,FALSE))^$J$18))+$D$19*(VLOOKUP($C43,Tracker!$A$46:$T$75,2023-$A$2,FALSE)-VLOOKUP(Y$20,Tracker!$A$46:$T$75,2023-$A$2,FALSE))</f>
        <v>8.6298223522752682E-2</v>
      </c>
      <c r="Z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Z$20,East_Snapshot[],5,FALSE),VLOOKUP(Z$20,West_Snapshot[],5,FALSE))^$J$18+IFERROR(VLOOKUP(Z$20,East_Snapshot[],8,FALSE),VLOOKUP(Z$20,West_Snapshot[],8,FALSE))^$J$18))+$D$19*(VLOOKUP($C43,Tracker!$A$46:$T$75,2023-$A$2,FALSE)-VLOOKUP(Z$20,Tracker!$A$46:$T$75,2023-$A$2,FALSE))</f>
        <v>0.24628514334534635</v>
      </c>
      <c r="AA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A$20,East_Snapshot[],5,FALSE),VLOOKUP(AA$20,West_Snapshot[],5,FALSE))^$J$18+IFERROR(VLOOKUP(AA$20,East_Snapshot[],8,FALSE),VLOOKUP(AA$20,West_Snapshot[],8,FALSE))^$J$18))+$D$19*(VLOOKUP($C43,Tracker!$A$46:$T$75,2023-$A$2,FALSE)-VLOOKUP(AA$20,Tracker!$A$46:$T$75,2023-$A$2,FALSE))</f>
        <v>0.5</v>
      </c>
      <c r="AB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B$20,East_Snapshot[],5,FALSE),VLOOKUP(AB$20,West_Snapshot[],5,FALSE))^$J$18+IFERROR(VLOOKUP(AB$20,East_Snapshot[],8,FALSE),VLOOKUP(AB$20,West_Snapshot[],8,FALSE))^$J$18))+$D$19*(VLOOKUP($C43,Tracker!$A$46:$T$75,2023-$A$2,FALSE)-VLOOKUP(AB$20,Tracker!$A$46:$T$75,2023-$A$2,FALSE))</f>
        <v>0.10775071143748853</v>
      </c>
      <c r="AC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C$20,East_Snapshot[],5,FALSE),VLOOKUP(AC$20,West_Snapshot[],5,FALSE))^$J$18+IFERROR(VLOOKUP(AC$20,East_Snapshot[],8,FALSE),VLOOKUP(AC$20,West_Snapshot[],8,FALSE))^$J$18))+$D$19*(VLOOKUP($C43,Tracker!$A$46:$T$75,2023-$A$2,FALSE)-VLOOKUP(AC$20,Tracker!$A$46:$T$75,2023-$A$2,FALSE))</f>
        <v>8.873182346832921E-2</v>
      </c>
      <c r="AD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D$20,East_Snapshot[],5,FALSE),VLOOKUP(AD$20,West_Snapshot[],5,FALSE))^$J$18+IFERROR(VLOOKUP(AD$20,East_Snapshot[],8,FALSE),VLOOKUP(AD$20,West_Snapshot[],8,FALSE))^$J$18))+$D$19*(VLOOKUP($C43,Tracker!$A$46:$T$75,2023-$A$2,FALSE)-VLOOKUP(AD$20,Tracker!$A$46:$T$75,2023-$A$2,FALSE))</f>
        <v>0.16392458172369753</v>
      </c>
      <c r="AE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E$20,East_Snapshot[],5,FALSE),VLOOKUP(AE$20,West_Snapshot[],5,FALSE))^$J$18+IFERROR(VLOOKUP(AE$20,East_Snapshot[],8,FALSE),VLOOKUP(AE$20,West_Snapshot[],8,FALSE))^$J$18))+$D$19*(VLOOKUP($C43,Tracker!$A$46:$T$75,2023-$A$2,FALSE)-VLOOKUP(AE$20,Tracker!$A$46:$T$75,2023-$A$2,FALSE))</f>
        <v>8.03632128679517E-2</v>
      </c>
      <c r="AF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F$20,East_Snapshot[],5,FALSE),VLOOKUP(AF$20,West_Snapshot[],5,FALSE))^$J$18+IFERROR(VLOOKUP(AF$20,East_Snapshot[],8,FALSE),VLOOKUP(AF$20,West_Snapshot[],8,FALSE))^$J$18))+$D$19*(VLOOKUP($C43,Tracker!$A$46:$T$75,2023-$A$2,FALSE)-VLOOKUP(AF$20,Tracker!$A$46:$T$75,2023-$A$2,FALSE))</f>
        <v>0.10749326818800913</v>
      </c>
      <c r="AG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G$20,East_Snapshot[],5,FALSE),VLOOKUP(AG$20,West_Snapshot[],5,FALSE))^$J$18+IFERROR(VLOOKUP(AG$20,East_Snapshot[],8,FALSE),VLOOKUP(AG$20,West_Snapshot[],8,FALSE))^$J$18))+$D$19*(VLOOKUP($C43,Tracker!$A$46:$T$75,2023-$A$2,FALSE)-VLOOKUP(AG$20,Tracker!$A$46:$T$75,2023-$A$2,FALSE))</f>
        <v>0.27437887741833028</v>
      </c>
      <c r="AH43" s="4">
        <f>($H$18*IFERROR(VLOOKUP($C43,East_Snapshot[],5,FALSE),VLOOKUP($C43,West_Snapshot[],5,FALSE))^$J$18+IFERROR(VLOOKUP($C43,East_Snapshot[],8,FALSE),VLOOKUP($C43,West_Snapshot[],8,FALSE))^$J$18)/(($H$18*IFERROR(VLOOKUP($C43,East_Snapshot[],5,FALSE),VLOOKUP($C43,West_Snapshot[],5,FALSE))^$J$18+IFERROR(VLOOKUP($C43,East_Snapshot[],8,FALSE),VLOOKUP($C43,West_Snapshot[],8,FALSE))^$J$18)+($H$18*IFERROR(VLOOKUP(AH$20,East_Snapshot[],5,FALSE),VLOOKUP(AH$20,West_Snapshot[],5,FALSE))^$J$18+IFERROR(VLOOKUP(AH$20,East_Snapshot[],8,FALSE),VLOOKUP(AH$20,West_Snapshot[],8,FALSE))^$J$18))+$D$19*(VLOOKUP($C43,Tracker!$A$46:$T$75,2023-$A$2,FALSE)-VLOOKUP(AH$20,Tracker!$A$46:$T$75,2023-$A$2,FALSE))</f>
        <v>0.1245402593936339</v>
      </c>
    </row>
    <row r="44" spans="3:34" x14ac:dyDescent="0.25">
      <c r="C44" t="s">
        <v>164</v>
      </c>
      <c r="D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D$20,East_Snapshot[],5,FALSE),VLOOKUP(D$20,West_Snapshot[],5,FALSE))^$J$18+IFERROR(VLOOKUP(D$20,East_Snapshot[],8,FALSE),VLOOKUP(D$20,West_Snapshot[],8,FALSE))^$J$18))+$D$19*(VLOOKUP($C44,Tracker!$A$46:$T$75,2023-$A$2,FALSE)-VLOOKUP(D$20,Tracker!$A$46:$T$75,2023-$A$2,FALSE))</f>
        <v>0.58142969507045106</v>
      </c>
      <c r="E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E$20,East_Snapshot[],5,FALSE),VLOOKUP(E$20,West_Snapshot[],5,FALSE))^$J$18+IFERROR(VLOOKUP(E$20,East_Snapshot[],8,FALSE),VLOOKUP(E$20,West_Snapshot[],8,FALSE))^$J$18))+$D$19*(VLOOKUP($C44,Tracker!$A$46:$T$75,2023-$A$2,FALSE)-VLOOKUP(E$20,Tracker!$A$46:$T$75,2023-$A$2,FALSE))</f>
        <v>0.69057358696713589</v>
      </c>
      <c r="F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F$20,East_Snapshot[],5,FALSE),VLOOKUP(F$20,West_Snapshot[],5,FALSE))^$J$18+IFERROR(VLOOKUP(F$20,East_Snapshot[],8,FALSE),VLOOKUP(F$20,West_Snapshot[],8,FALSE))^$J$18))+$D$19*(VLOOKUP($C44,Tracker!$A$46:$T$75,2023-$A$2,FALSE)-VLOOKUP(F$20,Tracker!$A$46:$T$75,2023-$A$2,FALSE))</f>
        <v>0.59616329793341571</v>
      </c>
      <c r="G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G$20,East_Snapshot[],5,FALSE),VLOOKUP(G$20,West_Snapshot[],5,FALSE))^$J$18+IFERROR(VLOOKUP(G$20,East_Snapshot[],8,FALSE),VLOOKUP(G$20,West_Snapshot[],8,FALSE))^$J$18))+$D$19*(VLOOKUP($C44,Tracker!$A$46:$T$75,2023-$A$2,FALSE)-VLOOKUP(G$20,Tracker!$A$46:$T$75,2023-$A$2,FALSE))</f>
        <v>0.578881612964254</v>
      </c>
      <c r="H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H$20,East_Snapshot[],5,FALSE),VLOOKUP(H$20,West_Snapshot[],5,FALSE))^$J$18+IFERROR(VLOOKUP(H$20,East_Snapshot[],8,FALSE),VLOOKUP(H$20,West_Snapshot[],8,FALSE))^$J$18))+$D$19*(VLOOKUP($C44,Tracker!$A$46:$T$75,2023-$A$2,FALSE)-VLOOKUP(H$20,Tracker!$A$46:$T$75,2023-$A$2,FALSE))</f>
        <v>0.52350421171964168</v>
      </c>
      <c r="I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I$20,East_Snapshot[],5,FALSE),VLOOKUP(I$20,West_Snapshot[],5,FALSE))^$J$18+IFERROR(VLOOKUP(I$20,East_Snapshot[],8,FALSE),VLOOKUP(I$20,West_Snapshot[],8,FALSE))^$J$18))+$D$19*(VLOOKUP($C44,Tracker!$A$46:$T$75,2023-$A$2,FALSE)-VLOOKUP(I$20,Tracker!$A$46:$T$75,2023-$A$2,FALSE))</f>
        <v>0.65606297617877374</v>
      </c>
      <c r="J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J$20,East_Snapshot[],5,FALSE),VLOOKUP(J$20,West_Snapshot[],5,FALSE))^$J$18+IFERROR(VLOOKUP(J$20,East_Snapshot[],8,FALSE),VLOOKUP(J$20,West_Snapshot[],8,FALSE))^$J$18))+$D$19*(VLOOKUP($C44,Tracker!$A$46:$T$75,2023-$A$2,FALSE)-VLOOKUP(J$20,Tracker!$A$46:$T$75,2023-$A$2,FALSE))</f>
        <v>0.50248334599645883</v>
      </c>
      <c r="K44" s="4" t="e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K$20,East_Snapshot[],5,FALSE),VLOOKUP(K$20,West_Snapshot[],5,FALSE))^$J$18+IFERROR(VLOOKUP(K$20,East_Snapshot[],8,FALSE),VLOOKUP(K$20,West_Snapshot[],8,FALSE))^$J$18))+$D$19*(VLOOKUP($C44,Tracker!$A$46:$T$75,2023-$A$2,FALSE)-VLOOKUP(K$20,Tracker!$A$46:$T$75,2023-$A$2,FALSE))</f>
        <v>#N/A</v>
      </c>
      <c r="L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L$20,East_Snapshot[],5,FALSE),VLOOKUP(L$20,West_Snapshot[],5,FALSE))^$J$18+IFERROR(VLOOKUP(L$20,East_Snapshot[],8,FALSE),VLOOKUP(L$20,West_Snapshot[],8,FALSE))^$J$18))+$D$19*(VLOOKUP($C44,Tracker!$A$46:$T$75,2023-$A$2,FALSE)-VLOOKUP(L$20,Tracker!$A$46:$T$75,2023-$A$2,FALSE))</f>
        <v>0.60319297206322819</v>
      </c>
      <c r="M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M$20,East_Snapshot[],5,FALSE),VLOOKUP(M$20,West_Snapshot[],5,FALSE))^$J$18+IFERROR(VLOOKUP(M$20,East_Snapshot[],8,FALSE),VLOOKUP(M$20,West_Snapshot[],8,FALSE))^$J$18))+$D$19*(VLOOKUP($C44,Tracker!$A$46:$T$75,2023-$A$2,FALSE)-VLOOKUP(M$20,Tracker!$A$46:$T$75,2023-$A$2,FALSE))</f>
        <v>0.66404480659083842</v>
      </c>
      <c r="N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N$20,East_Snapshot[],5,FALSE),VLOOKUP(N$20,West_Snapshot[],5,FALSE))^$J$18+IFERROR(VLOOKUP(N$20,East_Snapshot[],8,FALSE),VLOOKUP(N$20,West_Snapshot[],8,FALSE))^$J$18))+$D$19*(VLOOKUP($C44,Tracker!$A$46:$T$75,2023-$A$2,FALSE)-VLOOKUP(N$20,Tracker!$A$46:$T$75,2023-$A$2,FALSE))</f>
        <v>0.46502243644498781</v>
      </c>
      <c r="O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O$20,East_Snapshot[],5,FALSE),VLOOKUP(O$20,West_Snapshot[],5,FALSE))^$J$18+IFERROR(VLOOKUP(O$20,East_Snapshot[],8,FALSE),VLOOKUP(O$20,West_Snapshot[],8,FALSE))^$J$18))+$D$19*(VLOOKUP($C44,Tracker!$A$46:$T$75,2023-$A$2,FALSE)-VLOOKUP(O$20,Tracker!$A$46:$T$75,2023-$A$2,FALSE))</f>
        <v>0.46782355581461327</v>
      </c>
      <c r="P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P$20,East_Snapshot[],5,FALSE),VLOOKUP(P$20,West_Snapshot[],5,FALSE))^$J$18+IFERROR(VLOOKUP(P$20,East_Snapshot[],8,FALSE),VLOOKUP(P$20,West_Snapshot[],8,FALSE))^$J$18))+$D$19*(VLOOKUP($C44,Tracker!$A$46:$T$75,2023-$A$2,FALSE)-VLOOKUP(P$20,Tracker!$A$46:$T$75,2023-$A$2,FALSE))</f>
        <v>0.47979390691112078</v>
      </c>
      <c r="Q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Q$20,East_Snapshot[],5,FALSE),VLOOKUP(Q$20,West_Snapshot[],5,FALSE))^$J$18+IFERROR(VLOOKUP(Q$20,East_Snapshot[],8,FALSE),VLOOKUP(Q$20,West_Snapshot[],8,FALSE))^$J$18))+$D$19*(VLOOKUP($C44,Tracker!$A$46:$T$75,2023-$A$2,FALSE)-VLOOKUP(Q$20,Tracker!$A$46:$T$75,2023-$A$2,FALSE))</f>
        <v>0.42707464689675145</v>
      </c>
      <c r="R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R$20,East_Snapshot[],5,FALSE),VLOOKUP(R$20,West_Snapshot[],5,FALSE))^$J$18+IFERROR(VLOOKUP(R$20,East_Snapshot[],8,FALSE),VLOOKUP(R$20,West_Snapshot[],8,FALSE))^$J$18))+$D$19*(VLOOKUP($C44,Tracker!$A$46:$T$75,2023-$A$2,FALSE)-VLOOKUP(R$20,Tracker!$A$46:$T$75,2023-$A$2,FALSE))</f>
        <v>0.71242938739816364</v>
      </c>
      <c r="S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S$20,East_Snapshot[],5,FALSE),VLOOKUP(S$20,West_Snapshot[],5,FALSE))^$J$18+IFERROR(VLOOKUP(S$20,East_Snapshot[],8,FALSE),VLOOKUP(S$20,West_Snapshot[],8,FALSE))^$J$18))+$D$19*(VLOOKUP($C44,Tracker!$A$46:$T$75,2023-$A$2,FALSE)-VLOOKUP(S$20,Tracker!$A$46:$T$75,2023-$A$2,FALSE))</f>
        <v>0.5159664113611524</v>
      </c>
      <c r="T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T$20,East_Snapshot[],5,FALSE),VLOOKUP(T$20,West_Snapshot[],5,FALSE))^$J$18+IFERROR(VLOOKUP(T$20,East_Snapshot[],8,FALSE),VLOOKUP(T$20,West_Snapshot[],8,FALSE))^$J$18))+$D$19*(VLOOKUP($C44,Tracker!$A$46:$T$75,2023-$A$2,FALSE)-VLOOKUP(T$20,Tracker!$A$46:$T$75,2023-$A$2,FALSE))</f>
        <v>0.47385916537810074</v>
      </c>
      <c r="U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U$20,East_Snapshot[],5,FALSE),VLOOKUP(U$20,West_Snapshot[],5,FALSE))^$J$18+IFERROR(VLOOKUP(U$20,East_Snapshot[],8,FALSE),VLOOKUP(U$20,West_Snapshot[],8,FALSE))^$J$18))+$D$19*(VLOOKUP($C44,Tracker!$A$46:$T$75,2023-$A$2,FALSE)-VLOOKUP(U$20,Tracker!$A$46:$T$75,2023-$A$2,FALSE))</f>
        <v>0.81078697036450409</v>
      </c>
      <c r="V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V$20,East_Snapshot[],5,FALSE),VLOOKUP(V$20,West_Snapshot[],5,FALSE))^$J$18+IFERROR(VLOOKUP(V$20,East_Snapshot[],8,FALSE),VLOOKUP(V$20,West_Snapshot[],8,FALSE))^$J$18))+$D$19*(VLOOKUP($C44,Tracker!$A$46:$T$75,2023-$A$2,FALSE)-VLOOKUP(V$20,Tracker!$A$46:$T$75,2023-$A$2,FALSE))</f>
        <v>0.49943379630965873</v>
      </c>
      <c r="W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W$20,East_Snapshot[],5,FALSE),VLOOKUP(W$20,West_Snapshot[],5,FALSE))^$J$18+IFERROR(VLOOKUP(W$20,East_Snapshot[],8,FALSE),VLOOKUP(W$20,West_Snapshot[],8,FALSE))^$J$18))+$D$19*(VLOOKUP($C44,Tracker!$A$46:$T$75,2023-$A$2,FALSE)-VLOOKUP(W$20,Tracker!$A$46:$T$75,2023-$A$2,FALSE))</f>
        <v>0.60872065054521174</v>
      </c>
      <c r="X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X$20,East_Snapshot[],5,FALSE),VLOOKUP(X$20,West_Snapshot[],5,FALSE))^$J$18+IFERROR(VLOOKUP(X$20,East_Snapshot[],8,FALSE),VLOOKUP(X$20,West_Snapshot[],8,FALSE))^$J$18))+$D$19*(VLOOKUP($C44,Tracker!$A$46:$T$75,2023-$A$2,FALSE)-VLOOKUP(X$20,Tracker!$A$46:$T$75,2023-$A$2,FALSE))</f>
        <v>0.58163857410281705</v>
      </c>
      <c r="Y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Y$20,East_Snapshot[],5,FALSE),VLOOKUP(Y$20,West_Snapshot[],5,FALSE))^$J$18+IFERROR(VLOOKUP(Y$20,East_Snapshot[],8,FALSE),VLOOKUP(Y$20,West_Snapshot[],8,FALSE))^$J$18))+$D$19*(VLOOKUP($C44,Tracker!$A$46:$T$75,2023-$A$2,FALSE)-VLOOKUP(Y$20,Tracker!$A$46:$T$75,2023-$A$2,FALSE))</f>
        <v>0.44395039861806018</v>
      </c>
      <c r="Z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Z$20,East_Snapshot[],5,FALSE),VLOOKUP(Z$20,West_Snapshot[],5,FALSE))^$J$18+IFERROR(VLOOKUP(Z$20,East_Snapshot[],8,FALSE),VLOOKUP(Z$20,West_Snapshot[],8,FALSE))^$J$18))+$D$19*(VLOOKUP($C44,Tracker!$A$46:$T$75,2023-$A$2,FALSE)-VLOOKUP(Z$20,Tracker!$A$46:$T$75,2023-$A$2,FALSE))</f>
        <v>0.71999931970147579</v>
      </c>
      <c r="AA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A$20,East_Snapshot[],5,FALSE),VLOOKUP(AA$20,West_Snapshot[],5,FALSE))^$J$18+IFERROR(VLOOKUP(AA$20,East_Snapshot[],8,FALSE),VLOOKUP(AA$20,West_Snapshot[],8,FALSE))^$J$18))+$D$19*(VLOOKUP($C44,Tracker!$A$46:$T$75,2023-$A$2,FALSE)-VLOOKUP(AA$20,Tracker!$A$46:$T$75,2023-$A$2,FALSE))</f>
        <v>0.8922492885625114</v>
      </c>
      <c r="AB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B$20,East_Snapshot[],5,FALSE),VLOOKUP(AB$20,West_Snapshot[],5,FALSE))^$J$18+IFERROR(VLOOKUP(AB$20,East_Snapshot[],8,FALSE),VLOOKUP(AB$20,West_Snapshot[],8,FALSE))^$J$18))+$D$19*(VLOOKUP($C44,Tracker!$A$46:$T$75,2023-$A$2,FALSE)-VLOOKUP(AB$20,Tracker!$A$46:$T$75,2023-$A$2,FALSE))</f>
        <v>0.5</v>
      </c>
      <c r="AC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C$20,East_Snapshot[],5,FALSE),VLOOKUP(AC$20,West_Snapshot[],5,FALSE))^$J$18+IFERROR(VLOOKUP(AC$20,East_Snapshot[],8,FALSE),VLOOKUP(AC$20,West_Snapshot[],8,FALSE))^$J$18))+$D$19*(VLOOKUP($C44,Tracker!$A$46:$T$75,2023-$A$2,FALSE)-VLOOKUP(AC$20,Tracker!$A$46:$T$75,2023-$A$2,FALSE))</f>
        <v>0.46755111022897244</v>
      </c>
      <c r="AD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D$20,East_Snapshot[],5,FALSE),VLOOKUP(AD$20,West_Snapshot[],5,FALSE))^$J$18+IFERROR(VLOOKUP(AD$20,East_Snapshot[],8,FALSE),VLOOKUP(AD$20,West_Snapshot[],8,FALSE))^$J$18))+$D$19*(VLOOKUP($C44,Tracker!$A$46:$T$75,2023-$A$2,FALSE)-VLOOKUP(AD$20,Tracker!$A$46:$T$75,2023-$A$2,FALSE))</f>
        <v>0.61202698191890614</v>
      </c>
      <c r="AE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E$20,East_Snapshot[],5,FALSE),VLOOKUP(AE$20,West_Snapshot[],5,FALSE))^$J$18+IFERROR(VLOOKUP(AE$20,East_Snapshot[],8,FALSE),VLOOKUP(AE$20,West_Snapshot[],8,FALSE))^$J$18))+$D$19*(VLOOKUP($C44,Tracker!$A$46:$T$75,2023-$A$2,FALSE)-VLOOKUP(AE$20,Tracker!$A$46:$T$75,2023-$A$2,FALSE))</f>
        <v>0.42670604071903012</v>
      </c>
      <c r="AF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F$20,East_Snapshot[],5,FALSE),VLOOKUP(AF$20,West_Snapshot[],5,FALSE))^$J$18+IFERROR(VLOOKUP(AF$20,East_Snapshot[],8,FALSE),VLOOKUP(AF$20,West_Snapshot[],8,FALSE))^$J$18))+$D$19*(VLOOKUP($C44,Tracker!$A$46:$T$75,2023-$A$2,FALSE)-VLOOKUP(AF$20,Tracker!$A$46:$T$75,2023-$A$2,FALSE))</f>
        <v>0.49937987641471349</v>
      </c>
      <c r="AG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G$20,East_Snapshot[],5,FALSE),VLOOKUP(AG$20,West_Snapshot[],5,FALSE))^$J$18+IFERROR(VLOOKUP(AG$20,East_Snapshot[],8,FALSE),VLOOKUP(AG$20,West_Snapshot[],8,FALSE))^$J$18))+$D$19*(VLOOKUP($C44,Tracker!$A$46:$T$75,2023-$A$2,FALSE)-VLOOKUP(AG$20,Tracker!$A$46:$T$75,2023-$A$2,FALSE))</f>
        <v>0.74911749912327352</v>
      </c>
      <c r="AH44" s="4">
        <f>($H$18*IFERROR(VLOOKUP($C44,East_Snapshot[],5,FALSE),VLOOKUP($C44,West_Snapshot[],5,FALSE))^$J$18+IFERROR(VLOOKUP($C44,East_Snapshot[],8,FALSE),VLOOKUP($C44,West_Snapshot[],8,FALSE))^$J$18)/(($H$18*IFERROR(VLOOKUP($C44,East_Snapshot[],5,FALSE),VLOOKUP($C44,West_Snapshot[],5,FALSE))^$J$18+IFERROR(VLOOKUP($C44,East_Snapshot[],8,FALSE),VLOOKUP($C44,West_Snapshot[],8,FALSE))^$J$18)+($H$18*IFERROR(VLOOKUP(AH$20,East_Snapshot[],5,FALSE),VLOOKUP(AH$20,West_Snapshot[],5,FALSE))^$J$18+IFERROR(VLOOKUP(AH$20,East_Snapshot[],8,FALSE),VLOOKUP(AH$20,West_Snapshot[],8,FALSE))^$J$18))+$D$19*(VLOOKUP($C44,Tracker!$A$46:$T$75,2023-$A$2,FALSE)-VLOOKUP(AH$20,Tracker!$A$46:$T$75,2023-$A$2,FALSE))</f>
        <v>0.5380531495659775</v>
      </c>
    </row>
    <row r="45" spans="3:34" x14ac:dyDescent="0.25">
      <c r="C45" t="s">
        <v>160</v>
      </c>
      <c r="D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D$20,East_Snapshot[],5,FALSE),VLOOKUP(D$20,West_Snapshot[],5,FALSE))^$J$18+IFERROR(VLOOKUP(D$20,East_Snapshot[],8,FALSE),VLOOKUP(D$20,West_Snapshot[],8,FALSE))^$J$18))+$D$19*(VLOOKUP($C45,Tracker!$A$46:$T$75,2023-$A$2,FALSE)-VLOOKUP(D$20,Tracker!$A$46:$T$75,2023-$A$2,FALSE))</f>
        <v>0.61328027866012258</v>
      </c>
      <c r="E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E$20,East_Snapshot[],5,FALSE),VLOOKUP(E$20,West_Snapshot[],5,FALSE))^$J$18+IFERROR(VLOOKUP(E$20,East_Snapshot[],8,FALSE),VLOOKUP(E$20,West_Snapshot[],8,FALSE))^$J$18))+$D$19*(VLOOKUP($C45,Tracker!$A$46:$T$75,2023-$A$2,FALSE)-VLOOKUP(E$20,Tracker!$A$46:$T$75,2023-$A$2,FALSE))</f>
        <v>0.71978305322684322</v>
      </c>
      <c r="F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F$20,East_Snapshot[],5,FALSE),VLOOKUP(F$20,West_Snapshot[],5,FALSE))^$J$18+IFERROR(VLOOKUP(F$20,East_Snapshot[],8,FALSE),VLOOKUP(F$20,West_Snapshot[],8,FALSE))^$J$18))+$D$19*(VLOOKUP($C45,Tracker!$A$46:$T$75,2023-$A$2,FALSE)-VLOOKUP(F$20,Tracker!$A$46:$T$75,2023-$A$2,FALSE))</f>
        <v>0.62777829822600972</v>
      </c>
      <c r="G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G$20,East_Snapshot[],5,FALSE),VLOOKUP(G$20,West_Snapshot[],5,FALSE))^$J$18+IFERROR(VLOOKUP(G$20,East_Snapshot[],8,FALSE),VLOOKUP(G$20,West_Snapshot[],8,FALSE))^$J$18))+$D$19*(VLOOKUP($C45,Tracker!$A$46:$T$75,2023-$A$2,FALSE)-VLOOKUP(G$20,Tracker!$A$46:$T$75,2023-$A$2,FALSE))</f>
        <v>0.61076907215656151</v>
      </c>
      <c r="H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H$20,East_Snapshot[],5,FALSE),VLOOKUP(H$20,West_Snapshot[],5,FALSE))^$J$18+IFERROR(VLOOKUP(H$20,East_Snapshot[],8,FALSE),VLOOKUP(H$20,West_Snapshot[],8,FALSE))^$J$18))+$D$19*(VLOOKUP($C45,Tracker!$A$46:$T$75,2023-$A$2,FALSE)-VLOOKUP(H$20,Tracker!$A$46:$T$75,2023-$A$2,FALSE))</f>
        <v>0.55585631834512905</v>
      </c>
      <c r="I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I$20,East_Snapshot[],5,FALSE),VLOOKUP(I$20,West_Snapshot[],5,FALSE))^$J$18+IFERROR(VLOOKUP(I$20,East_Snapshot[],8,FALSE),VLOOKUP(I$20,West_Snapshot[],8,FALSE))^$J$18))+$D$19*(VLOOKUP($C45,Tracker!$A$46:$T$75,2023-$A$2,FALSE)-VLOOKUP(I$20,Tracker!$A$46:$T$75,2023-$A$2,FALSE))</f>
        <v>0.68633030977384824</v>
      </c>
      <c r="J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J$20,East_Snapshot[],5,FALSE),VLOOKUP(J$20,West_Snapshot[],5,FALSE))^$J$18+IFERROR(VLOOKUP(J$20,East_Snapshot[],8,FALSE),VLOOKUP(J$20,West_Snapshot[],8,FALSE))^$J$18))+$D$19*(VLOOKUP($C45,Tracker!$A$46:$T$75,2023-$A$2,FALSE)-VLOOKUP(J$20,Tracker!$A$46:$T$75,2023-$A$2,FALSE))</f>
        <v>0.5349266772819179</v>
      </c>
      <c r="K45" s="4" t="e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K$20,East_Snapshot[],5,FALSE),VLOOKUP(K$20,West_Snapshot[],5,FALSE))^$J$18+IFERROR(VLOOKUP(K$20,East_Snapshot[],8,FALSE),VLOOKUP(K$20,West_Snapshot[],8,FALSE))^$J$18))+$D$19*(VLOOKUP($C45,Tracker!$A$46:$T$75,2023-$A$2,FALSE)-VLOOKUP(K$20,Tracker!$A$46:$T$75,2023-$A$2,FALSE))</f>
        <v>#N/A</v>
      </c>
      <c r="L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L$20,East_Snapshot[],5,FALSE),VLOOKUP(L$20,West_Snapshot[],5,FALSE))^$J$18+IFERROR(VLOOKUP(L$20,East_Snapshot[],8,FALSE),VLOOKUP(L$20,West_Snapshot[],8,FALSE))^$J$18))+$D$19*(VLOOKUP($C45,Tracker!$A$46:$T$75,2023-$A$2,FALSE)-VLOOKUP(L$20,Tracker!$A$46:$T$75,2023-$A$2,FALSE))</f>
        <v>0.63468216534641453</v>
      </c>
      <c r="M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M$20,East_Snapshot[],5,FALSE),VLOOKUP(M$20,West_Snapshot[],5,FALSE))^$J$18+IFERROR(VLOOKUP(M$20,East_Snapshot[],8,FALSE),VLOOKUP(M$20,West_Snapshot[],8,FALSE))^$J$18))+$D$19*(VLOOKUP($C45,Tracker!$A$46:$T$75,2023-$A$2,FALSE)-VLOOKUP(M$20,Tracker!$A$46:$T$75,2023-$A$2,FALSE))</f>
        <v>0.69408564973005105</v>
      </c>
      <c r="N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N$20,East_Snapshot[],5,FALSE),VLOOKUP(N$20,West_Snapshot[],5,FALSE))^$J$18+IFERROR(VLOOKUP(N$20,East_Snapshot[],8,FALSE),VLOOKUP(N$20,West_Snapshot[],8,FALSE))^$J$18))+$D$19*(VLOOKUP($C45,Tracker!$A$46:$T$75,2023-$A$2,FALSE)-VLOOKUP(N$20,Tracker!$A$46:$T$75,2023-$A$2,FALSE))</f>
        <v>0.49743185180067978</v>
      </c>
      <c r="O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O$20,East_Snapshot[],5,FALSE),VLOOKUP(O$20,West_Snapshot[],5,FALSE))^$J$18+IFERROR(VLOOKUP(O$20,East_Snapshot[],8,FALSE),VLOOKUP(O$20,West_Snapshot[],8,FALSE))^$J$18))+$D$19*(VLOOKUP($C45,Tracker!$A$46:$T$75,2023-$A$2,FALSE)-VLOOKUP(O$20,Tracker!$A$46:$T$75,2023-$A$2,FALSE))</f>
        <v>0.50024425830364627</v>
      </c>
      <c r="P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P$20,East_Snapshot[],5,FALSE),VLOOKUP(P$20,West_Snapshot[],5,FALSE))^$J$18+IFERROR(VLOOKUP(P$20,East_Snapshot[],8,FALSE),VLOOKUP(P$20,West_Snapshot[],8,FALSE))^$J$18))+$D$19*(VLOOKUP($C45,Tracker!$A$46:$T$75,2023-$A$2,FALSE)-VLOOKUP(P$20,Tracker!$A$46:$T$75,2023-$A$2,FALSE))</f>
        <v>0.51224687344848685</v>
      </c>
      <c r="Q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Q$20,East_Snapshot[],5,FALSE),VLOOKUP(Q$20,West_Snapshot[],5,FALSE))^$J$18+IFERROR(VLOOKUP(Q$20,East_Snapshot[],8,FALSE),VLOOKUP(Q$20,West_Snapshot[],8,FALSE))^$J$18))+$D$19*(VLOOKUP($C45,Tracker!$A$46:$T$75,2023-$A$2,FALSE)-VLOOKUP(Q$20,Tracker!$A$46:$T$75,2023-$A$2,FALSE))</f>
        <v>0.45929352811635332</v>
      </c>
      <c r="R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R$20,East_Snapshot[],5,FALSE),VLOOKUP(R$20,West_Snapshot[],5,FALSE))^$J$18+IFERROR(VLOOKUP(R$20,East_Snapshot[],8,FALSE),VLOOKUP(R$20,West_Snapshot[],8,FALSE))^$J$18))+$D$19*(VLOOKUP($C45,Tracker!$A$46:$T$75,2023-$A$2,FALSE)-VLOOKUP(R$20,Tracker!$A$46:$T$75,2023-$A$2,FALSE))</f>
        <v>0.74086358240367023</v>
      </c>
      <c r="S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S$20,East_Snapshot[],5,FALSE),VLOOKUP(S$20,West_Snapshot[],5,FALSE))^$J$18+IFERROR(VLOOKUP(S$20,East_Snapshot[],8,FALSE),VLOOKUP(S$20,West_Snapshot[],8,FALSE))^$J$18))+$D$19*(VLOOKUP($C45,Tracker!$A$46:$T$75,2023-$A$2,FALSE)-VLOOKUP(S$20,Tracker!$A$46:$T$75,2023-$A$2,FALSE))</f>
        <v>0.54836030347274645</v>
      </c>
      <c r="T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T$20,East_Snapshot[],5,FALSE),VLOOKUP(T$20,West_Snapshot[],5,FALSE))^$J$18+IFERROR(VLOOKUP(T$20,East_Snapshot[],8,FALSE),VLOOKUP(T$20,West_Snapshot[],8,FALSE))^$J$18))+$D$19*(VLOOKUP($C45,Tracker!$A$46:$T$75,2023-$A$2,FALSE)-VLOOKUP(T$20,Tracker!$A$46:$T$75,2023-$A$2,FALSE))</f>
        <v>0.50629936854270774</v>
      </c>
      <c r="U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U$20,East_Snapshot[],5,FALSE),VLOOKUP(U$20,West_Snapshot[],5,FALSE))^$J$18+IFERROR(VLOOKUP(U$20,East_Snapshot[],8,FALSE),VLOOKUP(U$20,West_Snapshot[],8,FALSE))^$J$18))+$D$19*(VLOOKUP($C45,Tracker!$A$46:$T$75,2023-$A$2,FALSE)-VLOOKUP(U$20,Tracker!$A$46:$T$75,2023-$A$2,FALSE))</f>
        <v>0.83473507531170221</v>
      </c>
      <c r="V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V$20,East_Snapshot[],5,FALSE),VLOOKUP(V$20,West_Snapshot[],5,FALSE))^$J$18+IFERROR(VLOOKUP(V$20,East_Snapshot[],8,FALSE),VLOOKUP(V$20,West_Snapshot[],8,FALSE))^$J$18))+$D$19*(VLOOKUP($C45,Tracker!$A$46:$T$75,2023-$A$2,FALSE)-VLOOKUP(V$20,Tracker!$A$46:$T$75,2023-$A$2,FALSE))</f>
        <v>0.53188379870940572</v>
      </c>
      <c r="W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W$20,East_Snapshot[],5,FALSE),VLOOKUP(W$20,West_Snapshot[],5,FALSE))^$J$18+IFERROR(VLOOKUP(W$20,East_Snapshot[],8,FALSE),VLOOKUP(W$20,West_Snapshot[],8,FALSE))^$J$18))+$D$19*(VLOOKUP($C45,Tracker!$A$46:$T$75,2023-$A$2,FALSE)-VLOOKUP(W$20,Tracker!$A$46:$T$75,2023-$A$2,FALSE))</f>
        <v>0.63990136118271346</v>
      </c>
      <c r="X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X$20,East_Snapshot[],5,FALSE),VLOOKUP(X$20,West_Snapshot[],5,FALSE))^$J$18+IFERROR(VLOOKUP(X$20,East_Snapshot[],8,FALSE),VLOOKUP(X$20,West_Snapshot[],8,FALSE))^$J$18))+$D$19*(VLOOKUP($C45,Tracker!$A$46:$T$75,2023-$A$2,FALSE)-VLOOKUP(X$20,Tracker!$A$46:$T$75,2023-$A$2,FALSE))</f>
        <v>0.61332997441885861</v>
      </c>
      <c r="Y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Y$20,East_Snapshot[],5,FALSE),VLOOKUP(Y$20,West_Snapshot[],5,FALSE))^$J$18+IFERROR(VLOOKUP(Y$20,East_Snapshot[],8,FALSE),VLOOKUP(Y$20,West_Snapshot[],8,FALSE))^$J$18))+$D$19*(VLOOKUP($C45,Tracker!$A$46:$T$75,2023-$A$2,FALSE)-VLOOKUP(Y$20,Tracker!$A$46:$T$75,2023-$A$2,FALSE))</f>
        <v>0.47622932037982701</v>
      </c>
      <c r="Z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Z$20,East_Snapshot[],5,FALSE),VLOOKUP(Z$20,West_Snapshot[],5,FALSE))^$J$18+IFERROR(VLOOKUP(Z$20,East_Snapshot[],8,FALSE),VLOOKUP(Z$20,West_Snapshot[],8,FALSE))^$J$18))+$D$19*(VLOOKUP($C45,Tracker!$A$46:$T$75,2023-$A$2,FALSE)-VLOOKUP(Z$20,Tracker!$A$46:$T$75,2023-$A$2,FALSE))</f>
        <v>0.74814605781836729</v>
      </c>
      <c r="AA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A$20,East_Snapshot[],5,FALSE),VLOOKUP(AA$20,West_Snapshot[],5,FALSE))^$J$18+IFERROR(VLOOKUP(AA$20,East_Snapshot[],8,FALSE),VLOOKUP(AA$20,West_Snapshot[],8,FALSE))^$J$18))+$D$19*(VLOOKUP($C45,Tracker!$A$46:$T$75,2023-$A$2,FALSE)-VLOOKUP(AA$20,Tracker!$A$46:$T$75,2023-$A$2,FALSE))</f>
        <v>0.9112681765316708</v>
      </c>
      <c r="AB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B$20,East_Snapshot[],5,FALSE),VLOOKUP(AB$20,West_Snapshot[],5,FALSE))^$J$18+IFERROR(VLOOKUP(AB$20,East_Snapshot[],8,FALSE),VLOOKUP(AB$20,West_Snapshot[],8,FALSE))^$J$18))+$D$19*(VLOOKUP($C45,Tracker!$A$46:$T$75,2023-$A$2,FALSE)-VLOOKUP(AB$20,Tracker!$A$46:$T$75,2023-$A$2,FALSE))</f>
        <v>0.53244888977102756</v>
      </c>
      <c r="AC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C$20,East_Snapshot[],5,FALSE),VLOOKUP(AC$20,West_Snapshot[],5,FALSE))^$J$18+IFERROR(VLOOKUP(AC$20,East_Snapshot[],8,FALSE),VLOOKUP(AC$20,West_Snapshot[],8,FALSE))^$J$18))+$D$19*(VLOOKUP($C45,Tracker!$A$46:$T$75,2023-$A$2,FALSE)-VLOOKUP(AC$20,Tracker!$A$46:$T$75,2023-$A$2,FALSE))</f>
        <v>0.5</v>
      </c>
      <c r="AD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D$20,East_Snapshot[],5,FALSE),VLOOKUP(AD$20,West_Snapshot[],5,FALSE))^$J$18+IFERROR(VLOOKUP(AD$20,East_Snapshot[],8,FALSE),VLOOKUP(AD$20,West_Snapshot[],8,FALSE))^$J$18))+$D$19*(VLOOKUP($C45,Tracker!$A$46:$T$75,2023-$A$2,FALSE)-VLOOKUP(AD$20,Tracker!$A$46:$T$75,2023-$A$2,FALSE))</f>
        <v>0.64313658086323033</v>
      </c>
      <c r="AE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E$20,East_Snapshot[],5,FALSE),VLOOKUP(AE$20,West_Snapshot[],5,FALSE))^$J$18+IFERROR(VLOOKUP(AE$20,East_Snapshot[],8,FALSE),VLOOKUP(AE$20,West_Snapshot[],8,FALSE))^$J$18))+$D$19*(VLOOKUP($C45,Tracker!$A$46:$T$75,2023-$A$2,FALSE)-VLOOKUP(AE$20,Tracker!$A$46:$T$75,2023-$A$2,FALSE))</f>
        <v>0.45881807810156039</v>
      </c>
      <c r="AF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F$20,East_Snapshot[],5,FALSE),VLOOKUP(AF$20,West_Snapshot[],5,FALSE))^$J$18+IFERROR(VLOOKUP(AF$20,East_Snapshot[],8,FALSE),VLOOKUP(AF$20,West_Snapshot[],8,FALSE))^$J$18))+$D$19*(VLOOKUP($C45,Tracker!$A$46:$T$75,2023-$A$2,FALSE)-VLOOKUP(AF$20,Tracker!$A$46:$T$75,2023-$A$2,FALSE))</f>
        <v>0.53182998177395657</v>
      </c>
      <c r="AG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G$20,East_Snapshot[],5,FALSE),VLOOKUP(AG$20,West_Snapshot[],5,FALSE))^$J$18+IFERROR(VLOOKUP(AG$20,East_Snapshot[],8,FALSE),VLOOKUP(AG$20,West_Snapshot[],8,FALSE))^$J$18))+$D$19*(VLOOKUP($C45,Tracker!$A$46:$T$75,2023-$A$2,FALSE)-VLOOKUP(AG$20,Tracker!$A$46:$T$75,2023-$A$2,FALSE))</f>
        <v>0.77606817259621574</v>
      </c>
      <c r="AH45" s="4">
        <f>($H$18*IFERROR(VLOOKUP($C45,East_Snapshot[],5,FALSE),VLOOKUP($C45,West_Snapshot[],5,FALSE))^$J$18+IFERROR(VLOOKUP($C45,East_Snapshot[],8,FALSE),VLOOKUP($C45,West_Snapshot[],8,FALSE))^$J$18)/(($H$18*IFERROR(VLOOKUP($C45,East_Snapshot[],5,FALSE),VLOOKUP($C45,West_Snapshot[],5,FALSE))^$J$18+IFERROR(VLOOKUP($C45,East_Snapshot[],8,FALSE),VLOOKUP($C45,West_Snapshot[],8,FALSE))^$J$18)+($H$18*IFERROR(VLOOKUP(AH$20,East_Snapshot[],5,FALSE),VLOOKUP(AH$20,West_Snapshot[],5,FALSE))^$J$18+IFERROR(VLOOKUP(AH$20,East_Snapshot[],8,FALSE),VLOOKUP(AH$20,West_Snapshot[],8,FALSE))^$J$18))+$D$19*(VLOOKUP($C45,Tracker!$A$46:$T$75,2023-$A$2,FALSE)-VLOOKUP(AH$20,Tracker!$A$46:$T$75,2023-$A$2,FALSE))</f>
        <v>0.57029600764732613</v>
      </c>
    </row>
    <row r="46" spans="3:34" x14ac:dyDescent="0.25">
      <c r="C46" t="s">
        <v>167</v>
      </c>
      <c r="D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D$20,East_Snapshot[],5,FALSE),VLOOKUP(D$20,West_Snapshot[],5,FALSE))^$J$18+IFERROR(VLOOKUP(D$20,East_Snapshot[],8,FALSE),VLOOKUP(D$20,West_Snapshot[],8,FALSE))^$J$18))+$D$19*(VLOOKUP($C46,Tracker!$A$46:$T$75,2023-$A$2,FALSE)-VLOOKUP(D$20,Tracker!$A$46:$T$75,2023-$A$2,FALSE))</f>
        <v>0.46806029826052314</v>
      </c>
      <c r="E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E$20,East_Snapshot[],5,FALSE),VLOOKUP(E$20,West_Snapshot[],5,FALSE))^$J$18+IFERROR(VLOOKUP(E$20,East_Snapshot[],8,FALSE),VLOOKUP(E$20,West_Snapshot[],8,FALSE))^$J$18))+$D$19*(VLOOKUP($C46,Tracker!$A$46:$T$75,2023-$A$2,FALSE)-VLOOKUP(E$20,Tracker!$A$46:$T$75,2023-$A$2,FALSE))</f>
        <v>0.58458147356074608</v>
      </c>
      <c r="F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F$20,East_Snapshot[],5,FALSE),VLOOKUP(F$20,West_Snapshot[],5,FALSE))^$J$18+IFERROR(VLOOKUP(F$20,East_Snapshot[],8,FALSE),VLOOKUP(F$20,West_Snapshot[],8,FALSE))^$J$18))+$D$19*(VLOOKUP($C46,Tracker!$A$46:$T$75,2023-$A$2,FALSE)-VLOOKUP(F$20,Tracker!$A$46:$T$75,2023-$A$2,FALSE))</f>
        <v>0.48309760214208441</v>
      </c>
      <c r="G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G$20,East_Snapshot[],5,FALSE),VLOOKUP(G$20,West_Snapshot[],5,FALSE))^$J$18+IFERROR(VLOOKUP(G$20,East_Snapshot[],8,FALSE),VLOOKUP(G$20,West_Snapshot[],8,FALSE))^$J$18))+$D$19*(VLOOKUP($C46,Tracker!$A$46:$T$75,2023-$A$2,FALSE)-VLOOKUP(G$20,Tracker!$A$46:$T$75,2023-$A$2,FALSE))</f>
        <v>0.46548047367877166</v>
      </c>
      <c r="H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H$20,East_Snapshot[],5,FALSE),VLOOKUP(H$20,West_Snapshot[],5,FALSE))^$J$18+IFERROR(VLOOKUP(H$20,East_Snapshot[],8,FALSE),VLOOKUP(H$20,West_Snapshot[],8,FALSE))^$J$18))+$D$19*(VLOOKUP($C46,Tracker!$A$46:$T$75,2023-$A$2,FALSE)-VLOOKUP(H$20,Tracker!$A$46:$T$75,2023-$A$2,FALSE))</f>
        <v>0.41053494595364476</v>
      </c>
      <c r="I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I$20,East_Snapshot[],5,FALSE),VLOOKUP(I$20,West_Snapshot[],5,FALSE))^$J$18+IFERROR(VLOOKUP(I$20,East_Snapshot[],8,FALSE),VLOOKUP(I$20,West_Snapshot[],8,FALSE))^$J$18))+$D$19*(VLOOKUP($C46,Tracker!$A$46:$T$75,2023-$A$2,FALSE)-VLOOKUP(I$20,Tracker!$A$46:$T$75,2023-$A$2,FALSE))</f>
        <v>0.54641973814380074</v>
      </c>
      <c r="J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J$20,East_Snapshot[],5,FALSE),VLOOKUP(J$20,West_Snapshot[],5,FALSE))^$J$18+IFERROR(VLOOKUP(J$20,East_Snapshot[],8,FALSE),VLOOKUP(J$20,West_Snapshot[],8,FALSE))^$J$18))+$D$19*(VLOOKUP($C46,Tracker!$A$46:$T$75,2023-$A$2,FALSE)-VLOOKUP(J$20,Tracker!$A$46:$T$75,2023-$A$2,FALSE))</f>
        <v>0.3903343273462741</v>
      </c>
      <c r="K46" s="4" t="e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K$20,East_Snapshot[],5,FALSE),VLOOKUP(K$20,West_Snapshot[],5,FALSE))^$J$18+IFERROR(VLOOKUP(K$20,East_Snapshot[],8,FALSE),VLOOKUP(K$20,West_Snapshot[],8,FALSE))^$J$18))+$D$19*(VLOOKUP($C46,Tracker!$A$46:$T$75,2023-$A$2,FALSE)-VLOOKUP(K$20,Tracker!$A$46:$T$75,2023-$A$2,FALSE))</f>
        <v>#N/A</v>
      </c>
      <c r="L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L$20,East_Snapshot[],5,FALSE),VLOOKUP(L$20,West_Snapshot[],5,FALSE))^$J$18+IFERROR(VLOOKUP(L$20,East_Snapshot[],8,FALSE),VLOOKUP(L$20,West_Snapshot[],8,FALSE))^$J$18))+$D$19*(VLOOKUP($C46,Tracker!$A$46:$T$75,2023-$A$2,FALSE)-VLOOKUP(L$20,Tracker!$A$46:$T$75,2023-$A$2,FALSE))</f>
        <v>0.49034519549228256</v>
      </c>
      <c r="M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M$20,East_Snapshot[],5,FALSE),VLOOKUP(M$20,West_Snapshot[],5,FALSE))^$J$18+IFERROR(VLOOKUP(M$20,East_Snapshot[],8,FALSE),VLOOKUP(M$20,West_Snapshot[],8,FALSE))^$J$18))+$D$19*(VLOOKUP($C46,Tracker!$A$46:$T$75,2023-$A$2,FALSE)-VLOOKUP(M$20,Tracker!$A$46:$T$75,2023-$A$2,FALSE))</f>
        <v>0.55513331896384266</v>
      </c>
      <c r="N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N$20,East_Snapshot[],5,FALSE),VLOOKUP(N$20,West_Snapshot[],5,FALSE))^$J$18+IFERROR(VLOOKUP(N$20,East_Snapshot[],8,FALSE),VLOOKUP(N$20,West_Snapshot[],8,FALSE))^$J$18))+$D$19*(VLOOKUP($C46,Tracker!$A$46:$T$75,2023-$A$2,FALSE)-VLOOKUP(N$20,Tracker!$A$46:$T$75,2023-$A$2,FALSE))</f>
        <v>0.35526400647200002</v>
      </c>
      <c r="O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O$20,East_Snapshot[],5,FALSE),VLOOKUP(O$20,West_Snapshot[],5,FALSE))^$J$18+IFERROR(VLOOKUP(O$20,East_Snapshot[],8,FALSE),VLOOKUP(O$20,West_Snapshot[],8,FALSE))^$J$18))+$D$19*(VLOOKUP($C46,Tracker!$A$46:$T$75,2023-$A$2,FALSE)-VLOOKUP(O$20,Tracker!$A$46:$T$75,2023-$A$2,FALSE))</f>
        <v>0.35784622096258273</v>
      </c>
      <c r="P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P$20,East_Snapshot[],5,FALSE),VLOOKUP(P$20,West_Snapshot[],5,FALSE))^$J$18+IFERROR(VLOOKUP(P$20,East_Snapshot[],8,FALSE),VLOOKUP(P$20,West_Snapshot[],8,FALSE))^$J$18))+$D$19*(VLOOKUP($C46,Tracker!$A$46:$T$75,2023-$A$2,FALSE)-VLOOKUP(P$20,Tracker!$A$46:$T$75,2023-$A$2,FALSE))</f>
        <v>0.36895348702004266</v>
      </c>
      <c r="Q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Q$20,East_Snapshot[],5,FALSE),VLOOKUP(Q$20,West_Snapshot[],5,FALSE))^$J$18+IFERROR(VLOOKUP(Q$20,East_Snapshot[],8,FALSE),VLOOKUP(Q$20,West_Snapshot[],8,FALSE))^$J$18))+$D$19*(VLOOKUP($C46,Tracker!$A$46:$T$75,2023-$A$2,FALSE)-VLOOKUP(Q$20,Tracker!$A$46:$T$75,2023-$A$2,FALSE))</f>
        <v>0.31984556895223482</v>
      </c>
      <c r="R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R$20,East_Snapshot[],5,FALSE),VLOOKUP(R$20,West_Snapshot[],5,FALSE))^$J$18+IFERROR(VLOOKUP(R$20,East_Snapshot[],8,FALSE),VLOOKUP(R$20,West_Snapshot[],8,FALSE))^$J$18))+$D$19*(VLOOKUP($C46,Tracker!$A$46:$T$75,2023-$A$2,FALSE)-VLOOKUP(R$20,Tracker!$A$46:$T$75,2023-$A$2,FALSE))</f>
        <v>0.60942089617669337</v>
      </c>
      <c r="S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S$20,East_Snapshot[],5,FALSE),VLOOKUP(S$20,West_Snapshot[],5,FALSE))^$J$18+IFERROR(VLOOKUP(S$20,East_Snapshot[],8,FALSE),VLOOKUP(S$20,West_Snapshot[],8,FALSE))^$J$18))+$D$19*(VLOOKUP($C46,Tracker!$A$46:$T$75,2023-$A$2,FALSE)-VLOOKUP(S$20,Tracker!$A$46:$T$75,2023-$A$2,FALSE))</f>
        <v>0.40324719451456126</v>
      </c>
      <c r="T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T$20,East_Snapshot[],5,FALSE),VLOOKUP(T$20,West_Snapshot[],5,FALSE))^$J$18+IFERROR(VLOOKUP(T$20,East_Snapshot[],8,FALSE),VLOOKUP(T$20,West_Snapshot[],8,FALSE))^$J$18))+$D$19*(VLOOKUP($C46,Tracker!$A$46:$T$75,2023-$A$2,FALSE)-VLOOKUP(T$20,Tracker!$A$46:$T$75,2023-$A$2,FALSE))</f>
        <v>0.36343193025137249</v>
      </c>
      <c r="U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U$20,East_Snapshot[],5,FALSE),VLOOKUP(U$20,West_Snapshot[],5,FALSE))^$J$18+IFERROR(VLOOKUP(U$20,East_Snapshot[],8,FALSE),VLOOKUP(U$20,West_Snapshot[],8,FALSE))^$J$18))+$D$19*(VLOOKUP($C46,Tracker!$A$46:$T$75,2023-$A$2,FALSE)-VLOOKUP(U$20,Tracker!$A$46:$T$75,2023-$A$2,FALSE))</f>
        <v>0.728165420282334</v>
      </c>
      <c r="V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V$20,East_Snapshot[],5,FALSE),VLOOKUP(V$20,West_Snapshot[],5,FALSE))^$J$18+IFERROR(VLOOKUP(V$20,East_Snapshot[],8,FALSE),VLOOKUP(V$20,West_Snapshot[],8,FALSE))^$J$18))+$D$19*(VLOOKUP($C46,Tracker!$A$46:$T$75,2023-$A$2,FALSE)-VLOOKUP(V$20,Tracker!$A$46:$T$75,2023-$A$2,FALSE))</f>
        <v>0.3874353743283625</v>
      </c>
      <c r="W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W$20,East_Snapshot[],5,FALSE),VLOOKUP(W$20,West_Snapshot[],5,FALSE))^$J$18+IFERROR(VLOOKUP(W$20,East_Snapshot[],8,FALSE),VLOOKUP(W$20,West_Snapshot[],8,FALSE))^$J$18))+$D$19*(VLOOKUP($C46,Tracker!$A$46:$T$75,2023-$A$2,FALSE)-VLOOKUP(W$20,Tracker!$A$46:$T$75,2023-$A$2,FALSE))</f>
        <v>0.49652433935637835</v>
      </c>
      <c r="X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X$20,East_Snapshot[],5,FALSE),VLOOKUP(X$20,West_Snapshot[],5,FALSE))^$J$18+IFERROR(VLOOKUP(X$20,East_Snapshot[],8,FALSE),VLOOKUP(X$20,West_Snapshot[],8,FALSE))^$J$18))+$D$19*(VLOOKUP($C46,Tracker!$A$46:$T$75,2023-$A$2,FALSE)-VLOOKUP(X$20,Tracker!$A$46:$T$75,2023-$A$2,FALSE))</f>
        <v>0.46845768299946194</v>
      </c>
      <c r="Y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Y$20,East_Snapshot[],5,FALSE),VLOOKUP(Y$20,West_Snapshot[],5,FALSE))^$J$18+IFERROR(VLOOKUP(Y$20,East_Snapshot[],8,FALSE),VLOOKUP(Y$20,West_Snapshot[],8,FALSE))^$J$18))+$D$19*(VLOOKUP($C46,Tracker!$A$46:$T$75,2023-$A$2,FALSE)-VLOOKUP(Y$20,Tracker!$A$46:$T$75,2023-$A$2,FALSE))</f>
        <v>0.33604144417450543</v>
      </c>
      <c r="Z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Z$20,East_Snapshot[],5,FALSE),VLOOKUP(Z$20,West_Snapshot[],5,FALSE))^$J$18+IFERROR(VLOOKUP(Z$20,East_Snapshot[],8,FALSE),VLOOKUP(Z$20,West_Snapshot[],8,FALSE))^$J$18))+$D$19*(VLOOKUP($C46,Tracker!$A$46:$T$75,2023-$A$2,FALSE)-VLOOKUP(Z$20,Tracker!$A$46:$T$75,2023-$A$2,FALSE))</f>
        <v>0.61814945690636081</v>
      </c>
      <c r="AA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A$20,East_Snapshot[],5,FALSE),VLOOKUP(AA$20,West_Snapshot[],5,FALSE))^$J$18+IFERROR(VLOOKUP(AA$20,East_Snapshot[],8,FALSE),VLOOKUP(AA$20,West_Snapshot[],8,FALSE))^$J$18))+$D$19*(VLOOKUP($C46,Tracker!$A$46:$T$75,2023-$A$2,FALSE)-VLOOKUP(AA$20,Tracker!$A$46:$T$75,2023-$A$2,FALSE))</f>
        <v>0.83607541827630238</v>
      </c>
      <c r="AB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B$20,East_Snapshot[],5,FALSE),VLOOKUP(AB$20,West_Snapshot[],5,FALSE))^$J$18+IFERROR(VLOOKUP(AB$20,East_Snapshot[],8,FALSE),VLOOKUP(AB$20,West_Snapshot[],8,FALSE))^$J$18))+$D$19*(VLOOKUP($C46,Tracker!$A$46:$T$75,2023-$A$2,FALSE)-VLOOKUP(AB$20,Tracker!$A$46:$T$75,2023-$A$2,FALSE))</f>
        <v>0.3879730180810938</v>
      </c>
      <c r="AC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C$20,East_Snapshot[],5,FALSE),VLOOKUP(AC$20,West_Snapshot[],5,FALSE))^$J$18+IFERROR(VLOOKUP(AC$20,East_Snapshot[],8,FALSE),VLOOKUP(AC$20,West_Snapshot[],8,FALSE))^$J$18))+$D$19*(VLOOKUP($C46,Tracker!$A$46:$T$75,2023-$A$2,FALSE)-VLOOKUP(AC$20,Tracker!$A$46:$T$75,2023-$A$2,FALSE))</f>
        <v>0.35686341913676972</v>
      </c>
      <c r="AD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D$20,East_Snapshot[],5,FALSE),VLOOKUP(AD$20,West_Snapshot[],5,FALSE))^$J$18+IFERROR(VLOOKUP(AD$20,East_Snapshot[],8,FALSE),VLOOKUP(AD$20,West_Snapshot[],8,FALSE))^$J$18))+$D$19*(VLOOKUP($C46,Tracker!$A$46:$T$75,2023-$A$2,FALSE)-VLOOKUP(AD$20,Tracker!$A$46:$T$75,2023-$A$2,FALSE))</f>
        <v>0.5</v>
      </c>
      <c r="AE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E$20,East_Snapshot[],5,FALSE),VLOOKUP(AE$20,West_Snapshot[],5,FALSE))^$J$18+IFERROR(VLOOKUP(AE$20,East_Snapshot[],8,FALSE),VLOOKUP(AE$20,West_Snapshot[],8,FALSE))^$J$18))+$D$19*(VLOOKUP($C46,Tracker!$A$46:$T$75,2023-$A$2,FALSE)-VLOOKUP(AE$20,Tracker!$A$46:$T$75,2023-$A$2,FALSE))</f>
        <v>0.32057211716714434</v>
      </c>
      <c r="AF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F$20,East_Snapshot[],5,FALSE),VLOOKUP(AF$20,West_Snapshot[],5,FALSE))^$J$18+IFERROR(VLOOKUP(AF$20,East_Snapshot[],8,FALSE),VLOOKUP(AF$20,West_Snapshot[],8,FALSE))^$J$18))+$D$19*(VLOOKUP($C46,Tracker!$A$46:$T$75,2023-$A$2,FALSE)-VLOOKUP(AF$20,Tracker!$A$46:$T$75,2023-$A$2,FALSE))</f>
        <v>0.38738418843594485</v>
      </c>
      <c r="AG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G$20,East_Snapshot[],5,FALSE),VLOOKUP(AG$20,West_Snapshot[],5,FALSE))^$J$18+IFERROR(VLOOKUP(AG$20,East_Snapshot[],8,FALSE),VLOOKUP(AG$20,West_Snapshot[],8,FALSE))^$J$18))+$D$19*(VLOOKUP($C46,Tracker!$A$46:$T$75,2023-$A$2,FALSE)-VLOOKUP(AG$20,Tracker!$A$46:$T$75,2023-$A$2,FALSE))</f>
        <v>0.652342589272495</v>
      </c>
      <c r="AH46" s="4">
        <f>($H$18*IFERROR(VLOOKUP($C46,East_Snapshot[],5,FALSE),VLOOKUP($C46,West_Snapshot[],5,FALSE))^$J$18+IFERROR(VLOOKUP($C46,East_Snapshot[],8,FALSE),VLOOKUP($C46,West_Snapshot[],8,FALSE))^$J$18)/(($H$18*IFERROR(VLOOKUP($C46,East_Snapshot[],5,FALSE),VLOOKUP($C46,West_Snapshot[],5,FALSE))^$J$18+IFERROR(VLOOKUP($C46,East_Snapshot[],8,FALSE),VLOOKUP($C46,West_Snapshot[],8,FALSE))^$J$18)+($H$18*IFERROR(VLOOKUP(AH$20,East_Snapshot[],5,FALSE),VLOOKUP(AH$20,West_Snapshot[],5,FALSE))^$J$18+IFERROR(VLOOKUP(AH$20,East_Snapshot[],8,FALSE),VLOOKUP(AH$20,West_Snapshot[],8,FALSE))^$J$18))+$D$19*(VLOOKUP($C46,Tracker!$A$46:$T$75,2023-$A$2,FALSE)-VLOOKUP(AH$20,Tracker!$A$46:$T$75,2023-$A$2,FALSE))</f>
        <v>0.42474288957161571</v>
      </c>
    </row>
    <row r="47" spans="3:34" x14ac:dyDescent="0.25">
      <c r="C47" t="s">
        <v>165</v>
      </c>
      <c r="D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D$20,East_Snapshot[],5,FALSE),VLOOKUP(D$20,West_Snapshot[],5,FALSE))^$J$18+IFERROR(VLOOKUP(D$20,East_Snapshot[],8,FALSE),VLOOKUP(D$20,West_Snapshot[],8,FALSE))^$J$18))+$D$19*(VLOOKUP($C47,Tracker!$A$46:$T$75,2023-$A$2,FALSE)-VLOOKUP(D$20,Tracker!$A$46:$T$75,2023-$A$2,FALSE))</f>
        <v>0.65175509559538747</v>
      </c>
      <c r="E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E$20,East_Snapshot[],5,FALSE),VLOOKUP(E$20,West_Snapshot[],5,FALSE))^$J$18+IFERROR(VLOOKUP(E$20,East_Snapshot[],8,FALSE),VLOOKUP(E$20,West_Snapshot[],8,FALSE))^$J$18))+$D$19*(VLOOKUP($C47,Tracker!$A$46:$T$75,2023-$A$2,FALSE)-VLOOKUP(E$20,Tracker!$A$46:$T$75,2023-$A$2,FALSE))</f>
        <v>0.75110356853175742</v>
      </c>
      <c r="F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F$20,East_Snapshot[],5,FALSE),VLOOKUP(F$20,West_Snapshot[],5,FALSE))^$J$18+IFERROR(VLOOKUP(F$20,East_Snapshot[],8,FALSE),VLOOKUP(F$20,West_Snapshot[],8,FALSE))^$J$18))+$D$19*(VLOOKUP($C47,Tracker!$A$46:$T$75,2023-$A$2,FALSE)-VLOOKUP(F$20,Tracker!$A$46:$T$75,2023-$A$2,FALSE))</f>
        <v>0.66552845341900058</v>
      </c>
      <c r="G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G$20,East_Snapshot[],5,FALSE),VLOOKUP(G$20,West_Snapshot[],5,FALSE))^$J$18+IFERROR(VLOOKUP(G$20,East_Snapshot[],8,FALSE),VLOOKUP(G$20,West_Snapshot[],8,FALSE))^$J$18))+$D$19*(VLOOKUP($C47,Tracker!$A$46:$T$75,2023-$A$2,FALSE)-VLOOKUP(G$20,Tracker!$A$46:$T$75,2023-$A$2,FALSE))</f>
        <v>0.64936125195830074</v>
      </c>
      <c r="H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H$20,East_Snapshot[],5,FALSE),VLOOKUP(H$20,West_Snapshot[],5,FALSE))^$J$18+IFERROR(VLOOKUP(H$20,East_Snapshot[],8,FALSE),VLOOKUP(H$20,West_Snapshot[],8,FALSE))^$J$18))+$D$19*(VLOOKUP($C47,Tracker!$A$46:$T$75,2023-$A$2,FALSE)-VLOOKUP(H$20,Tracker!$A$46:$T$75,2023-$A$2,FALSE))</f>
        <v>0.59613571259627063</v>
      </c>
      <c r="I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I$20,East_Snapshot[],5,FALSE),VLOOKUP(I$20,West_Snapshot[],5,FALSE))^$J$18+IFERROR(VLOOKUP(I$20,East_Snapshot[],8,FALSE),VLOOKUP(I$20,West_Snapshot[],8,FALSE))^$J$18))+$D$19*(VLOOKUP($C47,Tracker!$A$46:$T$75,2023-$A$2,FALSE)-VLOOKUP(I$20,Tracker!$A$46:$T$75,2023-$A$2,FALSE))</f>
        <v>0.7203493280699208</v>
      </c>
      <c r="J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J$20,East_Snapshot[],5,FALSE),VLOOKUP(J$20,West_Snapshot[],5,FALSE))^$J$18+IFERROR(VLOOKUP(J$20,East_Snapshot[],8,FALSE),VLOOKUP(J$20,West_Snapshot[],8,FALSE))^$J$18))+$D$19*(VLOOKUP($C47,Tracker!$A$46:$T$75,2023-$A$2,FALSE)-VLOOKUP(J$20,Tracker!$A$46:$T$75,2023-$A$2,FALSE))</f>
        <v>0.57572217521457503</v>
      </c>
      <c r="K47" s="4" t="e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K$20,East_Snapshot[],5,FALSE),VLOOKUP(K$20,West_Snapshot[],5,FALSE))^$J$18+IFERROR(VLOOKUP(K$20,East_Snapshot[],8,FALSE),VLOOKUP(K$20,West_Snapshot[],8,FALSE))^$J$18))+$D$19*(VLOOKUP($C47,Tracker!$A$46:$T$75,2023-$A$2,FALSE)-VLOOKUP(K$20,Tracker!$A$46:$T$75,2023-$A$2,FALSE))</f>
        <v>#N/A</v>
      </c>
      <c r="L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L$20,East_Snapshot[],5,FALSE),VLOOKUP(L$20,West_Snapshot[],5,FALSE))^$J$18+IFERROR(VLOOKUP(L$20,East_Snapshot[],8,FALSE),VLOOKUP(L$20,West_Snapshot[],8,FALSE))^$J$18))+$D$19*(VLOOKUP($C47,Tracker!$A$46:$T$75,2023-$A$2,FALSE)-VLOOKUP(L$20,Tracker!$A$46:$T$75,2023-$A$2,FALSE))</f>
        <v>0.67205916263595278</v>
      </c>
      <c r="M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M$20,East_Snapshot[],5,FALSE),VLOOKUP(M$20,West_Snapshot[],5,FALSE))^$J$18+IFERROR(VLOOKUP(M$20,East_Snapshot[],8,FALSE),VLOOKUP(M$20,West_Snapshot[],8,FALSE))^$J$18))+$D$19*(VLOOKUP($C47,Tracker!$A$46:$T$75,2023-$A$2,FALSE)-VLOOKUP(M$20,Tracker!$A$46:$T$75,2023-$A$2,FALSE))</f>
        <v>0.72751529339798726</v>
      </c>
      <c r="N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N$20,East_Snapshot[],5,FALSE),VLOOKUP(N$20,West_Snapshot[],5,FALSE))^$J$18+IFERROR(VLOOKUP(N$20,East_Snapshot[],8,FALSE),VLOOKUP(N$20,West_Snapshot[],8,FALSE))^$J$18))+$D$19*(VLOOKUP($C47,Tracker!$A$46:$T$75,2023-$A$2,FALSE)-VLOOKUP(N$20,Tracker!$A$46:$T$75,2023-$A$2,FALSE))</f>
        <v>0.53871338509404132</v>
      </c>
      <c r="O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O$20,East_Snapshot[],5,FALSE),VLOOKUP(O$20,West_Snapshot[],5,FALSE))^$J$18+IFERROR(VLOOKUP(O$20,East_Snapshot[],8,FALSE),VLOOKUP(O$20,West_Snapshot[],8,FALSE))^$J$18))+$D$19*(VLOOKUP($C47,Tracker!$A$46:$T$75,2023-$A$2,FALSE)-VLOOKUP(O$20,Tracker!$A$46:$T$75,2023-$A$2,FALSE))</f>
        <v>0.54150908507061657</v>
      </c>
      <c r="P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P$20,East_Snapshot[],5,FALSE),VLOOKUP(P$20,West_Snapshot[],5,FALSE))^$J$18+IFERROR(VLOOKUP(P$20,East_Snapshot[],8,FALSE),VLOOKUP(P$20,West_Snapshot[],8,FALSE))^$J$18))+$D$19*(VLOOKUP($C47,Tracker!$A$46:$T$75,2023-$A$2,FALSE)-VLOOKUP(P$20,Tracker!$A$46:$T$75,2023-$A$2,FALSE))</f>
        <v>0.55340422955057544</v>
      </c>
      <c r="Q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Q$20,East_Snapshot[],5,FALSE),VLOOKUP(Q$20,West_Snapshot[],5,FALSE))^$J$18+IFERROR(VLOOKUP(Q$20,East_Snapshot[],8,FALSE),VLOOKUP(Q$20,West_Snapshot[],8,FALSE))^$J$18))+$D$19*(VLOOKUP($C47,Tracker!$A$46:$T$75,2023-$A$2,FALSE)-VLOOKUP(Q$20,Tracker!$A$46:$T$75,2023-$A$2,FALSE))</f>
        <v>0.50056348335823064</v>
      </c>
      <c r="R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R$20,East_Snapshot[],5,FALSE),VLOOKUP(R$20,West_Snapshot[],5,FALSE))^$J$18+IFERROR(VLOOKUP(R$20,East_Snapshot[],8,FALSE),VLOOKUP(R$20,West_Snapshot[],8,FALSE))^$J$18))+$D$19*(VLOOKUP($C47,Tracker!$A$46:$T$75,2023-$A$2,FALSE)-VLOOKUP(R$20,Tracker!$A$46:$T$75,2023-$A$2,FALSE))</f>
        <v>0.77027660553034671</v>
      </c>
      <c r="S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S$20,East_Snapshot[],5,FALSE),VLOOKUP(S$20,West_Snapshot[],5,FALSE))^$J$18+IFERROR(VLOOKUP(S$20,East_Snapshot[],8,FALSE),VLOOKUP(S$20,West_Snapshot[],8,FALSE))^$J$18))+$D$19*(VLOOKUP($C47,Tracker!$A$46:$T$75,2023-$A$2,FALSE)-VLOOKUP(S$20,Tracker!$A$46:$T$75,2023-$A$2,FALSE))</f>
        <v>0.58884449259153304</v>
      </c>
      <c r="T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T$20,East_Snapshot[],5,FALSE),VLOOKUP(T$20,West_Snapshot[],5,FALSE))^$J$18+IFERROR(VLOOKUP(T$20,East_Snapshot[],8,FALSE),VLOOKUP(T$20,West_Snapshot[],8,FALSE))^$J$18))+$D$19*(VLOOKUP($C47,Tracker!$A$46:$T$75,2023-$A$2,FALSE)-VLOOKUP(T$20,Tracker!$A$46:$T$75,2023-$A$2,FALSE))</f>
        <v>0.54751729057260301</v>
      </c>
      <c r="U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U$20,East_Snapshot[],5,FALSE),VLOOKUP(U$20,West_Snapshot[],5,FALSE))^$J$18+IFERROR(VLOOKUP(U$20,East_Snapshot[],8,FALSE),VLOOKUP(U$20,West_Snapshot[],8,FALSE))^$J$18))+$D$19*(VLOOKUP($C47,Tracker!$A$46:$T$75,2023-$A$2,FALSE)-VLOOKUP(U$20,Tracker!$A$46:$T$75,2023-$A$2,FALSE))</f>
        <v>0.85376641377900941</v>
      </c>
      <c r="V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V$20,East_Snapshot[],5,FALSE),VLOOKUP(V$20,West_Snapshot[],5,FALSE))^$J$18+IFERROR(VLOOKUP(V$20,East_Snapshot[],8,FALSE),VLOOKUP(V$20,West_Snapshot[],8,FALSE))^$J$18))+$D$19*(VLOOKUP($C47,Tracker!$A$46:$T$75,2023-$A$2,FALSE)-VLOOKUP(V$20,Tracker!$A$46:$T$75,2023-$A$2,FALSE))</f>
        <v>0.57273983020174557</v>
      </c>
      <c r="W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W$20,East_Snapshot[],5,FALSE),VLOOKUP(W$20,West_Snapshot[],5,FALSE))^$J$18+IFERROR(VLOOKUP(W$20,East_Snapshot[],8,FALSE),VLOOKUP(W$20,West_Snapshot[],8,FALSE))^$J$18))+$D$19*(VLOOKUP($C47,Tracker!$A$46:$T$75,2023-$A$2,FALSE)-VLOOKUP(W$20,Tracker!$A$46:$T$75,2023-$A$2,FALSE))</f>
        <v>0.67639223645482538</v>
      </c>
      <c r="X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X$20,East_Snapshot[],5,FALSE),VLOOKUP(X$20,West_Snapshot[],5,FALSE))^$J$18+IFERROR(VLOOKUP(X$20,East_Snapshot[],8,FALSE),VLOOKUP(X$20,West_Snapshot[],8,FALSE))^$J$18))+$D$19*(VLOOKUP($C47,Tracker!$A$46:$T$75,2023-$A$2,FALSE)-VLOOKUP(X$20,Tracker!$A$46:$T$75,2023-$A$2,FALSE))</f>
        <v>0.65131098702517753</v>
      </c>
      <c r="Y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Y$20,East_Snapshot[],5,FALSE),VLOOKUP(Y$20,West_Snapshot[],5,FALSE))^$J$18+IFERROR(VLOOKUP(Y$20,East_Snapshot[],8,FALSE),VLOOKUP(Y$20,West_Snapshot[],8,FALSE))^$J$18))+$D$19*(VLOOKUP($C47,Tracker!$A$46:$T$75,2023-$A$2,FALSE)-VLOOKUP(Y$20,Tracker!$A$46:$T$75,2023-$A$2,FALSE))</f>
        <v>0.51753245806670012</v>
      </c>
      <c r="Z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Z$20,East_Snapshot[],5,FALSE),VLOOKUP(Z$20,West_Snapshot[],5,FALSE))^$J$18+IFERROR(VLOOKUP(Z$20,East_Snapshot[],8,FALSE),VLOOKUP(Z$20,West_Snapshot[],8,FALSE))^$J$18))+$D$19*(VLOOKUP($C47,Tracker!$A$46:$T$75,2023-$A$2,FALSE)-VLOOKUP(Z$20,Tracker!$A$46:$T$75,2023-$A$2,FALSE))</f>
        <v>0.77686337462439481</v>
      </c>
      <c r="AA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A$20,East_Snapshot[],5,FALSE),VLOOKUP(AA$20,West_Snapshot[],5,FALSE))^$J$18+IFERROR(VLOOKUP(AA$20,East_Snapshot[],8,FALSE),VLOOKUP(AA$20,West_Snapshot[],8,FALSE))^$J$18))+$D$19*(VLOOKUP($C47,Tracker!$A$46:$T$75,2023-$A$2,FALSE)-VLOOKUP(AA$20,Tracker!$A$46:$T$75,2023-$A$2,FALSE))</f>
        <v>0.91963678713204822</v>
      </c>
      <c r="AB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B$20,East_Snapshot[],5,FALSE),VLOOKUP(AB$20,West_Snapshot[],5,FALSE))^$J$18+IFERROR(VLOOKUP(AB$20,East_Snapshot[],8,FALSE),VLOOKUP(AB$20,West_Snapshot[],8,FALSE))^$J$18))+$D$19*(VLOOKUP($C47,Tracker!$A$46:$T$75,2023-$A$2,FALSE)-VLOOKUP(AB$20,Tracker!$A$46:$T$75,2023-$A$2,FALSE))</f>
        <v>0.57329395928096982</v>
      </c>
      <c r="AC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C$20,East_Snapshot[],5,FALSE),VLOOKUP(AC$20,West_Snapshot[],5,FALSE))^$J$18+IFERROR(VLOOKUP(AC$20,East_Snapshot[],8,FALSE),VLOOKUP(AC$20,West_Snapshot[],8,FALSE))^$J$18))+$D$19*(VLOOKUP($C47,Tracker!$A$46:$T$75,2023-$A$2,FALSE)-VLOOKUP(AC$20,Tracker!$A$46:$T$75,2023-$A$2,FALSE))</f>
        <v>0.54118192189843972</v>
      </c>
      <c r="AD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D$20,East_Snapshot[],5,FALSE),VLOOKUP(AD$20,West_Snapshot[],5,FALSE))^$J$18+IFERROR(VLOOKUP(AD$20,East_Snapshot[],8,FALSE),VLOOKUP(AD$20,West_Snapshot[],8,FALSE))^$J$18))+$D$19*(VLOOKUP($C47,Tracker!$A$46:$T$75,2023-$A$2,FALSE)-VLOOKUP(AD$20,Tracker!$A$46:$T$75,2023-$A$2,FALSE))</f>
        <v>0.67942788283285571</v>
      </c>
      <c r="AE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E$20,East_Snapshot[],5,FALSE),VLOOKUP(AE$20,West_Snapshot[],5,FALSE))^$J$18+IFERROR(VLOOKUP(AE$20,East_Snapshot[],8,FALSE),VLOOKUP(AE$20,West_Snapshot[],8,FALSE))^$J$18))+$D$19*(VLOOKUP($C47,Tracker!$A$46:$T$75,2023-$A$2,FALSE)-VLOOKUP(AE$20,Tracker!$A$46:$T$75,2023-$A$2,FALSE))</f>
        <v>0.5</v>
      </c>
      <c r="AF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F$20,East_Snapshot[],5,FALSE),VLOOKUP(AF$20,West_Snapshot[],5,FALSE))^$J$18+IFERROR(VLOOKUP(AF$20,East_Snapshot[],8,FALSE),VLOOKUP(AF$20,West_Snapshot[],8,FALSE))^$J$18))+$D$19*(VLOOKUP($C47,Tracker!$A$46:$T$75,2023-$A$2,FALSE)-VLOOKUP(AF$20,Tracker!$A$46:$T$75,2023-$A$2,FALSE))</f>
        <v>0.57268705058317626</v>
      </c>
      <c r="AG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G$20,East_Snapshot[],5,FALSE),VLOOKUP(AG$20,West_Snapshot[],5,FALSE))^$J$18+IFERROR(VLOOKUP(AG$20,East_Snapshot[],8,FALSE),VLOOKUP(AG$20,West_Snapshot[],8,FALSE))^$J$18))+$D$19*(VLOOKUP($C47,Tracker!$A$46:$T$75,2023-$A$2,FALSE)-VLOOKUP(AG$20,Tracker!$A$46:$T$75,2023-$A$2,FALSE))</f>
        <v>0.80194509343595344</v>
      </c>
      <c r="AH47" s="4">
        <f>($H$18*IFERROR(VLOOKUP($C47,East_Snapshot[],5,FALSE),VLOOKUP($C47,West_Snapshot[],5,FALSE))^$J$18+IFERROR(VLOOKUP($C47,East_Snapshot[],8,FALSE),VLOOKUP($C47,West_Snapshot[],8,FALSE))^$J$18)/(($H$18*IFERROR(VLOOKUP($C47,East_Snapshot[],5,FALSE),VLOOKUP($C47,West_Snapshot[],5,FALSE))^$J$18+IFERROR(VLOOKUP($C47,East_Snapshot[],8,FALSE),VLOOKUP($C47,West_Snapshot[],8,FALSE))^$J$18)+($H$18*IFERROR(VLOOKUP(AH$20,East_Snapshot[],5,FALSE),VLOOKUP(AH$20,West_Snapshot[],5,FALSE))^$J$18+IFERROR(VLOOKUP(AH$20,East_Snapshot[],8,FALSE),VLOOKUP(AH$20,West_Snapshot[],8,FALSE))^$J$18))+$D$19*(VLOOKUP($C47,Tracker!$A$46:$T$75,2023-$A$2,FALSE)-VLOOKUP(AH$20,Tracker!$A$46:$T$75,2023-$A$2,FALSE))</f>
        <v>0.61011859671299751</v>
      </c>
    </row>
    <row r="48" spans="3:34" x14ac:dyDescent="0.25">
      <c r="C48" t="s">
        <v>129</v>
      </c>
      <c r="D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D$20,East_Snapshot[],5,FALSE),VLOOKUP(D$20,West_Snapshot[],5,FALSE))^$J$18+IFERROR(VLOOKUP(D$20,East_Snapshot[],8,FALSE),VLOOKUP(D$20,West_Snapshot[],8,FALSE))^$J$18))+$D$19*(VLOOKUP($C48,Tracker!$A$46:$T$75,2023-$A$2,FALSE)-VLOOKUP(D$20,Tracker!$A$46:$T$75,2023-$A$2,FALSE))</f>
        <v>0.58203705506156878</v>
      </c>
      <c r="E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E$20,East_Snapshot[],5,FALSE),VLOOKUP(E$20,West_Snapshot[],5,FALSE))^$J$18+IFERROR(VLOOKUP(E$20,East_Snapshot[],8,FALSE),VLOOKUP(E$20,West_Snapshot[],8,FALSE))^$J$18))+$D$19*(VLOOKUP($C48,Tracker!$A$46:$T$75,2023-$A$2,FALSE)-VLOOKUP(E$20,Tracker!$A$46:$T$75,2023-$A$2,FALSE))</f>
        <v>0.69111258809421638</v>
      </c>
      <c r="F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F$20,East_Snapshot[],5,FALSE),VLOOKUP(F$20,West_Snapshot[],5,FALSE))^$J$18+IFERROR(VLOOKUP(F$20,East_Snapshot[],8,FALSE),VLOOKUP(F$20,West_Snapshot[],8,FALSE))^$J$18))+$D$19*(VLOOKUP($C48,Tracker!$A$46:$T$75,2023-$A$2,FALSE)-VLOOKUP(F$20,Tracker!$A$46:$T$75,2023-$A$2,FALSE))</f>
        <v>0.59676487747202378</v>
      </c>
      <c r="G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G$20,East_Snapshot[],5,FALSE),VLOOKUP(G$20,West_Snapshot[],5,FALSE))^$J$18+IFERROR(VLOOKUP(G$20,East_Snapshot[],8,FALSE),VLOOKUP(G$20,West_Snapshot[],8,FALSE))^$J$18))+$D$19*(VLOOKUP($C48,Tracker!$A$46:$T$75,2023-$A$2,FALSE)-VLOOKUP(G$20,Tracker!$A$46:$T$75,2023-$A$2,FALSE))</f>
        <v>0.57948986348011478</v>
      </c>
      <c r="H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H$20,East_Snapshot[],5,FALSE),VLOOKUP(H$20,West_Snapshot[],5,FALSE))^$J$18+IFERROR(VLOOKUP(H$20,East_Snapshot[],8,FALSE),VLOOKUP(H$20,West_Snapshot[],8,FALSE))^$J$18))+$D$19*(VLOOKUP($C48,Tracker!$A$46:$T$75,2023-$A$2,FALSE)-VLOOKUP(H$20,Tracker!$A$46:$T$75,2023-$A$2,FALSE))</f>
        <v>0.5241229288883803</v>
      </c>
      <c r="I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I$20,East_Snapshot[],5,FALSE),VLOOKUP(I$20,West_Snapshot[],5,FALSE))^$J$18+IFERROR(VLOOKUP(I$20,East_Snapshot[],8,FALSE),VLOOKUP(I$20,West_Snapshot[],8,FALSE))^$J$18))+$D$19*(VLOOKUP($C48,Tracker!$A$46:$T$75,2023-$A$2,FALSE)-VLOOKUP(I$20,Tracker!$A$46:$T$75,2023-$A$2,FALSE))</f>
        <v>0.65662997449468197</v>
      </c>
      <c r="J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J$20,East_Snapshot[],5,FALSE),VLOOKUP(J$20,West_Snapshot[],5,FALSE))^$J$18+IFERROR(VLOOKUP(J$20,East_Snapshot[],8,FALSE),VLOOKUP(J$20,West_Snapshot[],8,FALSE))^$J$18))+$D$19*(VLOOKUP($C48,Tracker!$A$46:$T$75,2023-$A$2,FALSE)-VLOOKUP(J$20,Tracker!$A$46:$T$75,2023-$A$2,FALSE))</f>
        <v>0.50310345046472116</v>
      </c>
      <c r="K48" s="4" t="e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K$20,East_Snapshot[],5,FALSE),VLOOKUP(K$20,West_Snapshot[],5,FALSE))^$J$18+IFERROR(VLOOKUP(K$20,East_Snapshot[],8,FALSE),VLOOKUP(K$20,West_Snapshot[],8,FALSE))^$J$18))+$D$19*(VLOOKUP($C48,Tracker!$A$46:$T$75,2023-$A$2,FALSE)-VLOOKUP(K$20,Tracker!$A$46:$T$75,2023-$A$2,FALSE))</f>
        <v>#N/A</v>
      </c>
      <c r="L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L$20,East_Snapshot[],5,FALSE),VLOOKUP(L$20,West_Snapshot[],5,FALSE))^$J$18+IFERROR(VLOOKUP(L$20,East_Snapshot[],8,FALSE),VLOOKUP(L$20,West_Snapshot[],8,FALSE))^$J$18))+$D$19*(VLOOKUP($C48,Tracker!$A$46:$T$75,2023-$A$2,FALSE)-VLOOKUP(L$20,Tracker!$A$46:$T$75,2023-$A$2,FALSE))</f>
        <v>0.6037914143899874</v>
      </c>
      <c r="M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M$20,East_Snapshot[],5,FALSE),VLOOKUP(M$20,West_Snapshot[],5,FALSE))^$J$18+IFERROR(VLOOKUP(M$20,East_Snapshot[],8,FALSE),VLOOKUP(M$20,West_Snapshot[],8,FALSE))^$J$18))+$D$19*(VLOOKUP($C48,Tracker!$A$46:$T$75,2023-$A$2,FALSE)-VLOOKUP(M$20,Tracker!$A$46:$T$75,2023-$A$2,FALSE))</f>
        <v>0.6646058541551082</v>
      </c>
      <c r="N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N$20,East_Snapshot[],5,FALSE),VLOOKUP(N$20,West_Snapshot[],5,FALSE))^$J$18+IFERROR(VLOOKUP(N$20,East_Snapshot[],8,FALSE),VLOOKUP(N$20,West_Snapshot[],8,FALSE))^$J$18))+$D$19*(VLOOKUP($C48,Tracker!$A$46:$T$75,2023-$A$2,FALSE)-VLOOKUP(N$20,Tracker!$A$46:$T$75,2023-$A$2,FALSE))</f>
        <v>0.46563957886349455</v>
      </c>
      <c r="O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O$20,East_Snapshot[],5,FALSE),VLOOKUP(O$20,West_Snapshot[],5,FALSE))^$J$18+IFERROR(VLOOKUP(O$20,East_Snapshot[],8,FALSE),VLOOKUP(O$20,West_Snapshot[],8,FALSE))^$J$18))+$D$19*(VLOOKUP($C48,Tracker!$A$46:$T$75,2023-$A$2,FALSE)-VLOOKUP(O$20,Tracker!$A$46:$T$75,2023-$A$2,FALSE))</f>
        <v>0.46844116057885715</v>
      </c>
      <c r="P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P$20,East_Snapshot[],5,FALSE),VLOOKUP(P$20,West_Snapshot[],5,FALSE))^$J$18+IFERROR(VLOOKUP(P$20,East_Snapshot[],8,FALSE),VLOOKUP(P$20,West_Snapshot[],8,FALSE))^$J$18))+$D$19*(VLOOKUP($C48,Tracker!$A$46:$T$75,2023-$A$2,FALSE)-VLOOKUP(P$20,Tracker!$A$46:$T$75,2023-$A$2,FALSE))</f>
        <v>0.48041304877687491</v>
      </c>
      <c r="Q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Q$20,East_Snapshot[],5,FALSE),VLOOKUP(Q$20,West_Snapshot[],5,FALSE))^$J$18+IFERROR(VLOOKUP(Q$20,East_Snapshot[],8,FALSE),VLOOKUP(Q$20,West_Snapshot[],8,FALSE))^$J$18))+$D$19*(VLOOKUP($C48,Tracker!$A$46:$T$75,2023-$A$2,FALSE)-VLOOKUP(Q$20,Tracker!$A$46:$T$75,2023-$A$2,FALSE))</f>
        <v>0.42768504399091811</v>
      </c>
      <c r="R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R$20,East_Snapshot[],5,FALSE),VLOOKUP(R$20,West_Snapshot[],5,FALSE))^$J$18+IFERROR(VLOOKUP(R$20,East_Snapshot[],8,FALSE),VLOOKUP(R$20,West_Snapshot[],8,FALSE))^$J$18))+$D$19*(VLOOKUP($C48,Tracker!$A$46:$T$75,2023-$A$2,FALSE)-VLOOKUP(R$20,Tracker!$A$46:$T$75,2023-$A$2,FALSE))</f>
        <v>0.71294760592698714</v>
      </c>
      <c r="S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S$20,East_Snapshot[],5,FALSE),VLOOKUP(S$20,West_Snapshot[],5,FALSE))^$J$18+IFERROR(VLOOKUP(S$20,East_Snapshot[],8,FALSE),VLOOKUP(S$20,West_Snapshot[],8,FALSE))^$J$18))+$D$19*(VLOOKUP($C48,Tracker!$A$46:$T$75,2023-$A$2,FALSE)-VLOOKUP(S$20,Tracker!$A$46:$T$75,2023-$A$2,FALSE))</f>
        <v>0.51658587806948797</v>
      </c>
      <c r="T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T$20,East_Snapshot[],5,FALSE),VLOOKUP(T$20,West_Snapshot[],5,FALSE))^$J$18+IFERROR(VLOOKUP(T$20,East_Snapshot[],8,FALSE),VLOOKUP(T$20,West_Snapshot[],8,FALSE))^$J$18))+$D$19*(VLOOKUP($C48,Tracker!$A$46:$T$75,2023-$A$2,FALSE)-VLOOKUP(T$20,Tracker!$A$46:$T$75,2023-$A$2,FALSE))</f>
        <v>0.47447763403722421</v>
      </c>
      <c r="U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U$20,East_Snapshot[],5,FALSE),VLOOKUP(U$20,West_Snapshot[],5,FALSE))^$J$18+IFERROR(VLOOKUP(U$20,East_Snapshot[],8,FALSE),VLOOKUP(U$20,West_Snapshot[],8,FALSE))^$J$18))+$D$19*(VLOOKUP($C48,Tracker!$A$46:$T$75,2023-$A$2,FALSE)-VLOOKUP(U$20,Tracker!$A$46:$T$75,2023-$A$2,FALSE))</f>
        <v>0.81118238166102263</v>
      </c>
      <c r="V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V$20,East_Snapshot[],5,FALSE),VLOOKUP(V$20,West_Snapshot[],5,FALSE))^$J$18+IFERROR(VLOOKUP(V$20,East_Snapshot[],8,FALSE),VLOOKUP(V$20,West_Snapshot[],8,FALSE))^$J$18))+$D$19*(VLOOKUP($C48,Tracker!$A$46:$T$75,2023-$A$2,FALSE)-VLOOKUP(V$20,Tracker!$A$46:$T$75,2023-$A$2,FALSE))</f>
        <v>0.50005391997067394</v>
      </c>
      <c r="W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W$20,East_Snapshot[],5,FALSE),VLOOKUP(W$20,West_Snapshot[],5,FALSE))^$J$18+IFERROR(VLOOKUP(W$20,East_Snapshot[],8,FALSE),VLOOKUP(W$20,West_Snapshot[],8,FALSE))^$J$18))+$D$19*(VLOOKUP($C48,Tracker!$A$46:$T$75,2023-$A$2,FALSE)-VLOOKUP(W$20,Tracker!$A$46:$T$75,2023-$A$2,FALSE))</f>
        <v>0.60931129495570591</v>
      </c>
      <c r="X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X$20,East_Snapshot[],5,FALSE),VLOOKUP(X$20,West_Snapshot[],5,FALSE))^$J$18+IFERROR(VLOOKUP(X$20,East_Snapshot[],8,FALSE),VLOOKUP(X$20,West_Snapshot[],8,FALSE))^$J$18))+$D$19*(VLOOKUP($C48,Tracker!$A$46:$T$75,2023-$A$2,FALSE)-VLOOKUP(X$20,Tracker!$A$46:$T$75,2023-$A$2,FALSE))</f>
        <v>0.58224204334362462</v>
      </c>
      <c r="Y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Y$20,East_Snapshot[],5,FALSE),VLOOKUP(Y$20,West_Snapshot[],5,FALSE))^$J$18+IFERROR(VLOOKUP(Y$20,East_Snapshot[],8,FALSE),VLOOKUP(Y$20,West_Snapshot[],8,FALSE))^$J$18))+$D$19*(VLOOKUP($C48,Tracker!$A$46:$T$75,2023-$A$2,FALSE)-VLOOKUP(Y$20,Tracker!$A$46:$T$75,2023-$A$2,FALSE))</f>
        <v>0.44456281473161663</v>
      </c>
      <c r="Z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Z$20,East_Snapshot[],5,FALSE),VLOOKUP(Z$20,West_Snapshot[],5,FALSE))^$J$18+IFERROR(VLOOKUP(Z$20,East_Snapshot[],8,FALSE),VLOOKUP(Z$20,West_Snapshot[],8,FALSE))^$J$18))+$D$19*(VLOOKUP($C48,Tracker!$A$46:$T$75,2023-$A$2,FALSE)-VLOOKUP(Z$20,Tracker!$A$46:$T$75,2023-$A$2,FALSE))</f>
        <v>0.72050978829088419</v>
      </c>
      <c r="AA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A$20,East_Snapshot[],5,FALSE),VLOOKUP(AA$20,West_Snapshot[],5,FALSE))^$J$18+IFERROR(VLOOKUP(AA$20,East_Snapshot[],8,FALSE),VLOOKUP(AA$20,West_Snapshot[],8,FALSE))^$J$18))+$D$19*(VLOOKUP($C48,Tracker!$A$46:$T$75,2023-$A$2,FALSE)-VLOOKUP(AA$20,Tracker!$A$46:$T$75,2023-$A$2,FALSE))</f>
        <v>0.89250673181199081</v>
      </c>
      <c r="AB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B$20,East_Snapshot[],5,FALSE),VLOOKUP(AB$20,West_Snapshot[],5,FALSE))^$J$18+IFERROR(VLOOKUP(AB$20,East_Snapshot[],8,FALSE),VLOOKUP(AB$20,West_Snapshot[],8,FALSE))^$J$18))+$D$19*(VLOOKUP($C48,Tracker!$A$46:$T$75,2023-$A$2,FALSE)-VLOOKUP(AB$20,Tracker!$A$46:$T$75,2023-$A$2,FALSE))</f>
        <v>0.50062012358528651</v>
      </c>
      <c r="AC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C$20,East_Snapshot[],5,FALSE),VLOOKUP(AC$20,West_Snapshot[],5,FALSE))^$J$18+IFERROR(VLOOKUP(AC$20,East_Snapshot[],8,FALSE),VLOOKUP(AC$20,West_Snapshot[],8,FALSE))^$J$18))+$D$19*(VLOOKUP($C48,Tracker!$A$46:$T$75,2023-$A$2,FALSE)-VLOOKUP(AC$20,Tracker!$A$46:$T$75,2023-$A$2,FALSE))</f>
        <v>0.46817001822604343</v>
      </c>
      <c r="AD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D$20,East_Snapshot[],5,FALSE),VLOOKUP(AD$20,West_Snapshot[],5,FALSE))^$J$18+IFERROR(VLOOKUP(AD$20,East_Snapshot[],8,FALSE),VLOOKUP(AD$20,West_Snapshot[],8,FALSE))^$J$18))+$D$19*(VLOOKUP($C48,Tracker!$A$46:$T$75,2023-$A$2,FALSE)-VLOOKUP(AD$20,Tracker!$A$46:$T$75,2023-$A$2,FALSE))</f>
        <v>0.61261581156405509</v>
      </c>
      <c r="AE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E$20,East_Snapshot[],5,FALSE),VLOOKUP(AE$20,West_Snapshot[],5,FALSE))^$J$18+IFERROR(VLOOKUP(AE$20,East_Snapshot[],8,FALSE),VLOOKUP(AE$20,West_Snapshot[],8,FALSE))^$J$18))+$D$19*(VLOOKUP($C48,Tracker!$A$46:$T$75,2023-$A$2,FALSE)-VLOOKUP(AE$20,Tracker!$A$46:$T$75,2023-$A$2,FALSE))</f>
        <v>0.42731294941682374</v>
      </c>
      <c r="AF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F$20,East_Snapshot[],5,FALSE),VLOOKUP(AF$20,West_Snapshot[],5,FALSE))^$J$18+IFERROR(VLOOKUP(AF$20,East_Snapshot[],8,FALSE),VLOOKUP(AF$20,West_Snapshot[],8,FALSE))^$J$18))+$D$19*(VLOOKUP($C48,Tracker!$A$46:$T$75,2023-$A$2,FALSE)-VLOOKUP(AF$20,Tracker!$A$46:$T$75,2023-$A$2,FALSE))</f>
        <v>0.5</v>
      </c>
      <c r="AG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G$20,East_Snapshot[],5,FALSE),VLOOKUP(AG$20,West_Snapshot[],5,FALSE))^$J$18+IFERROR(VLOOKUP(AG$20,East_Snapshot[],8,FALSE),VLOOKUP(AG$20,West_Snapshot[],8,FALSE))^$J$18))+$D$19*(VLOOKUP($C48,Tracker!$A$46:$T$75,2023-$A$2,FALSE)-VLOOKUP(AG$20,Tracker!$A$46:$T$75,2023-$A$2,FALSE))</f>
        <v>0.74959551151782644</v>
      </c>
      <c r="AH48" s="4">
        <f>($H$18*IFERROR(VLOOKUP($C48,East_Snapshot[],5,FALSE),VLOOKUP($C48,West_Snapshot[],5,FALSE))^$J$18+IFERROR(VLOOKUP($C48,East_Snapshot[],8,FALSE),VLOOKUP($C48,West_Snapshot[],8,FALSE))^$J$18)/(($H$18*IFERROR(VLOOKUP($C48,East_Snapshot[],5,FALSE),VLOOKUP($C48,West_Snapshot[],5,FALSE))^$J$18+IFERROR(VLOOKUP($C48,East_Snapshot[],8,FALSE),VLOOKUP($C48,West_Snapshot[],8,FALSE))^$J$18)+($H$18*IFERROR(VLOOKUP(AH$20,East_Snapshot[],5,FALSE),VLOOKUP(AH$20,West_Snapshot[],5,FALSE))^$J$18+IFERROR(VLOOKUP(AH$20,East_Snapshot[],8,FALSE),VLOOKUP(AH$20,West_Snapshot[],8,FALSE))^$J$18))+$D$19*(VLOOKUP($C48,Tracker!$A$46:$T$75,2023-$A$2,FALSE)-VLOOKUP(AH$20,Tracker!$A$46:$T$75,2023-$A$2,FALSE))</f>
        <v>0.53866962310148081</v>
      </c>
    </row>
    <row r="49" spans="3:34" x14ac:dyDescent="0.25">
      <c r="C49" t="s">
        <v>158</v>
      </c>
      <c r="D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D$20,East_Snapshot[],5,FALSE),VLOOKUP(D$20,West_Snapshot[],5,FALSE))^$J$18+IFERROR(VLOOKUP(D$20,East_Snapshot[],8,FALSE),VLOOKUP(D$20,West_Snapshot[],8,FALSE))^$J$18))+$D$19*(VLOOKUP($C49,Tracker!$A$46:$T$75,2023-$A$2,FALSE)-VLOOKUP(D$20,Tracker!$A$46:$T$75,2023-$A$2,FALSE))</f>
        <v>0.32001559668336627</v>
      </c>
      <c r="E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E$20,East_Snapshot[],5,FALSE),VLOOKUP(E$20,West_Snapshot[],5,FALSE))^$J$18+IFERROR(VLOOKUP(E$20,East_Snapshot[],8,FALSE),VLOOKUP(E$20,West_Snapshot[],8,FALSE))^$J$18))+$D$19*(VLOOKUP($C49,Tracker!$A$46:$T$75,2023-$A$2,FALSE)-VLOOKUP(E$20,Tracker!$A$46:$T$75,2023-$A$2,FALSE))</f>
        <v>0.42923383591213571</v>
      </c>
      <c r="F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F$20,East_Snapshot[],5,FALSE),VLOOKUP(F$20,West_Snapshot[],5,FALSE))^$J$18+IFERROR(VLOOKUP(F$20,East_Snapshot[],8,FALSE),VLOOKUP(F$20,West_Snapshot[],8,FALSE))^$J$18))+$D$19*(VLOOKUP($C49,Tracker!$A$46:$T$75,2023-$A$2,FALSE)-VLOOKUP(F$20,Tracker!$A$46:$T$75,2023-$A$2,FALSE))</f>
        <v>0.33330830094718178</v>
      </c>
      <c r="G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G$20,East_Snapshot[],5,FALSE),VLOOKUP(G$20,West_Snapshot[],5,FALSE))^$J$18+IFERROR(VLOOKUP(G$20,East_Snapshot[],8,FALSE),VLOOKUP(G$20,West_Snapshot[],8,FALSE))^$J$18))+$D$19*(VLOOKUP($C49,Tracker!$A$46:$T$75,2023-$A$2,FALSE)-VLOOKUP(G$20,Tracker!$A$46:$T$75,2023-$A$2,FALSE))</f>
        <v>0.31775738810161519</v>
      </c>
      <c r="H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H$20,East_Snapshot[],5,FALSE),VLOOKUP(H$20,West_Snapshot[],5,FALSE))^$J$18+IFERROR(VLOOKUP(H$20,East_Snapshot[],8,FALSE),VLOOKUP(H$20,West_Snapshot[],8,FALSE))^$J$18))+$D$19*(VLOOKUP($C49,Tracker!$A$46:$T$75,2023-$A$2,FALSE)-VLOOKUP(H$20,Tracker!$A$46:$T$75,2023-$A$2,FALSE))</f>
        <v>0.26942801769398683</v>
      </c>
      <c r="I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I$20,East_Snapshot[],5,FALSE),VLOOKUP(I$20,West_Snapshot[],5,FALSE))^$J$18+IFERROR(VLOOKUP(I$20,East_Snapshot[],8,FALSE),VLOOKUP(I$20,West_Snapshot[],8,FALSE))^$J$18))+$D$19*(VLOOKUP($C49,Tracker!$A$46:$T$75,2023-$A$2,FALSE)-VLOOKUP(I$20,Tracker!$A$46:$T$75,2023-$A$2,FALSE))</f>
        <v>0.39183418805619075</v>
      </c>
      <c r="J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J$20,East_Snapshot[],5,FALSE),VLOOKUP(J$20,West_Snapshot[],5,FALSE))^$J$18+IFERROR(VLOOKUP(J$20,East_Snapshot[],8,FALSE),VLOOKUP(J$20,West_Snapshot[],8,FALSE))^$J$18))+$D$19*(VLOOKUP($C49,Tracker!$A$46:$T$75,2023-$A$2,FALSE)-VLOOKUP(J$20,Tracker!$A$46:$T$75,2023-$A$2,FALSE))</f>
        <v>0.25280244434295746</v>
      </c>
      <c r="K49" s="4" t="e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K$20,East_Snapshot[],5,FALSE),VLOOKUP(K$20,West_Snapshot[],5,FALSE))^$J$18+IFERROR(VLOOKUP(K$20,East_Snapshot[],8,FALSE),VLOOKUP(K$20,West_Snapshot[],8,FALSE))^$J$18))+$D$19*(VLOOKUP($C49,Tracker!$A$46:$T$75,2023-$A$2,FALSE)-VLOOKUP(K$20,Tracker!$A$46:$T$75,2023-$A$2,FALSE))</f>
        <v>#N/A</v>
      </c>
      <c r="L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L$20,East_Snapshot[],5,FALSE),VLOOKUP(L$20,West_Snapshot[],5,FALSE))^$J$18+IFERROR(VLOOKUP(L$20,East_Snapshot[],8,FALSE),VLOOKUP(L$20,West_Snapshot[],8,FALSE))^$J$18))+$D$19*(VLOOKUP($C49,Tracker!$A$46:$T$75,2023-$A$2,FALSE)-VLOOKUP(L$20,Tracker!$A$46:$T$75,2023-$A$2,FALSE))</f>
        <v>0.3397954335843073</v>
      </c>
      <c r="M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M$20,East_Snapshot[],5,FALSE),VLOOKUP(M$20,West_Snapshot[],5,FALSE))^$J$18+IFERROR(VLOOKUP(M$20,East_Snapshot[],8,FALSE),VLOOKUP(M$20,West_Snapshot[],8,FALSE))^$J$18))+$D$19*(VLOOKUP($C49,Tracker!$A$46:$T$75,2023-$A$2,FALSE)-VLOOKUP(M$20,Tracker!$A$46:$T$75,2023-$A$2,FALSE))</f>
        <v>0.40022680052099441</v>
      </c>
      <c r="N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N$20,East_Snapshot[],5,FALSE),VLOOKUP(N$20,West_Snapshot[],5,FALSE))^$J$18+IFERROR(VLOOKUP(N$20,East_Snapshot[],8,FALSE),VLOOKUP(N$20,West_Snapshot[],8,FALSE))^$J$18))+$D$19*(VLOOKUP($C49,Tracker!$A$46:$T$75,2023-$A$2,FALSE)-VLOOKUP(N$20,Tracker!$A$46:$T$75,2023-$A$2,FALSE))</f>
        <v>0.22477793875260721</v>
      </c>
      <c r="O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O$20,East_Snapshot[],5,FALSE),VLOOKUP(O$20,West_Snapshot[],5,FALSE))^$J$18+IFERROR(VLOOKUP(O$20,East_Snapshot[],8,FALSE),VLOOKUP(O$20,West_Snapshot[],8,FALSE))^$J$18))+$D$19*(VLOOKUP($C49,Tracker!$A$46:$T$75,2023-$A$2,FALSE)-VLOOKUP(O$20,Tracker!$A$46:$T$75,2023-$A$2,FALSE))</f>
        <v>0.22680606161033515</v>
      </c>
      <c r="P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P$20,East_Snapshot[],5,FALSE),VLOOKUP(P$20,West_Snapshot[],5,FALSE))^$J$18+IFERROR(VLOOKUP(P$20,East_Snapshot[],8,FALSE),VLOOKUP(P$20,West_Snapshot[],8,FALSE))^$J$18))+$D$19*(VLOOKUP($C49,Tracker!$A$46:$T$75,2023-$A$2,FALSE)-VLOOKUP(P$20,Tracker!$A$46:$T$75,2023-$A$2,FALSE))</f>
        <v>0.23559320623011162</v>
      </c>
      <c r="Q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Q$20,East_Snapshot[],5,FALSE),VLOOKUP(Q$20,West_Snapshot[],5,FALSE))^$J$18+IFERROR(VLOOKUP(Q$20,East_Snapshot[],8,FALSE),VLOOKUP(Q$20,West_Snapshot[],8,FALSE))^$J$18))+$D$19*(VLOOKUP($C49,Tracker!$A$46:$T$75,2023-$A$2,FALSE)-VLOOKUP(Q$20,Tracker!$A$46:$T$75,2023-$A$2,FALSE))</f>
        <v>0.1951039612351779</v>
      </c>
      <c r="R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R$20,East_Snapshot[],5,FALSE),VLOOKUP(R$20,West_Snapshot[],5,FALSE))^$J$18+IFERROR(VLOOKUP(R$20,East_Snapshot[],8,FALSE),VLOOKUP(R$20,West_Snapshot[],8,FALSE))^$J$18))+$D$19*(VLOOKUP($C49,Tracker!$A$46:$T$75,2023-$A$2,FALSE)-VLOOKUP(R$20,Tracker!$A$46:$T$75,2023-$A$2,FALSE))</f>
        <v>0.45450283471191366</v>
      </c>
      <c r="S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S$20,East_Snapshot[],5,FALSE),VLOOKUP(S$20,West_Snapshot[],5,FALSE))^$J$18+IFERROR(VLOOKUP(S$20,East_Snapshot[],8,FALSE),VLOOKUP(S$20,West_Snapshot[],8,FALSE))^$J$18))+$D$19*(VLOOKUP($C49,Tracker!$A$46:$T$75,2023-$A$2,FALSE)-VLOOKUP(S$20,Tracker!$A$46:$T$75,2023-$A$2,FALSE))</f>
        <v>0.26338823481850687</v>
      </c>
      <c r="T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T$20,East_Snapshot[],5,FALSE),VLOOKUP(T$20,West_Snapshot[],5,FALSE))^$J$18+IFERROR(VLOOKUP(T$20,East_Snapshot[],8,FALSE),VLOOKUP(T$20,West_Snapshot[],8,FALSE))^$J$18))+$D$19*(VLOOKUP($C49,Tracker!$A$46:$T$75,2023-$A$2,FALSE)-VLOOKUP(T$20,Tracker!$A$46:$T$75,2023-$A$2,FALSE))</f>
        <v>0.23121211995157512</v>
      </c>
      <c r="U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U$20,East_Snapshot[],5,FALSE),VLOOKUP(U$20,West_Snapshot[],5,FALSE))^$J$18+IFERROR(VLOOKUP(U$20,East_Snapshot[],8,FALSE),VLOOKUP(U$20,West_Snapshot[],8,FALSE))^$J$18))+$D$19*(VLOOKUP($C49,Tracker!$A$46:$T$75,2023-$A$2,FALSE)-VLOOKUP(U$20,Tracker!$A$46:$T$75,2023-$A$2,FALSE))</f>
        <v>0.58657718220736499</v>
      </c>
      <c r="V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V$20,East_Snapshot[],5,FALSE),VLOOKUP(V$20,West_Snapshot[],5,FALSE))^$J$18+IFERROR(VLOOKUP(V$20,East_Snapshot[],8,FALSE),VLOOKUP(V$20,West_Snapshot[],8,FALSE))^$J$18))+$D$19*(VLOOKUP($C49,Tracker!$A$46:$T$75,2023-$A$2,FALSE)-VLOOKUP(V$20,Tracker!$A$46:$T$75,2023-$A$2,FALSE))</f>
        <v>0.2504460292781896</v>
      </c>
      <c r="W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W$20,East_Snapshot[],5,FALSE),VLOOKUP(W$20,West_Snapshot[],5,FALSE))^$J$18+IFERROR(VLOOKUP(W$20,East_Snapshot[],8,FALSE),VLOOKUP(W$20,West_Snapshot[],8,FALSE))^$J$18))+$D$19*(VLOOKUP($C49,Tracker!$A$46:$T$75,2023-$A$2,FALSE)-VLOOKUP(W$20,Tracker!$A$46:$T$75,2023-$A$2,FALSE))</f>
        <v>0.34446974545538495</v>
      </c>
      <c r="X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X$20,East_Snapshot[],5,FALSE),VLOOKUP(X$20,West_Snapshot[],5,FALSE))^$J$18+IFERROR(VLOOKUP(X$20,East_Snapshot[],8,FALSE),VLOOKUP(X$20,West_Snapshot[],8,FALSE))^$J$18))+$D$19*(VLOOKUP($C49,Tracker!$A$46:$T$75,2023-$A$2,FALSE)-VLOOKUP(X$20,Tracker!$A$46:$T$75,2023-$A$2,FALSE))</f>
        <v>0.31918284350318132</v>
      </c>
      <c r="Y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Y$20,East_Snapshot[],5,FALSE),VLOOKUP(Y$20,West_Snapshot[],5,FALSE))^$J$18+IFERROR(VLOOKUP(Y$20,East_Snapshot[],8,FALSE),VLOOKUP(Y$20,West_Snapshot[],8,FALSE))^$J$18))+$D$19*(VLOOKUP($C49,Tracker!$A$46:$T$75,2023-$A$2,FALSE)-VLOOKUP(Y$20,Tracker!$A$46:$T$75,2023-$A$2,FALSE))</f>
        <v>0.20985158913629606</v>
      </c>
      <c r="Z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Z$20,East_Snapshot[],5,FALSE),VLOOKUP(Z$20,West_Snapshot[],5,FALSE))^$J$18+IFERROR(VLOOKUP(Z$20,East_Snapshot[],8,FALSE),VLOOKUP(Z$20,West_Snapshot[],8,FALSE))^$J$18))+$D$19*(VLOOKUP($C49,Tracker!$A$46:$T$75,2023-$A$2,FALSE)-VLOOKUP(Z$20,Tracker!$A$46:$T$75,2023-$A$2,FALSE))</f>
        <v>0.46356319503687665</v>
      </c>
      <c r="AA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A$20,East_Snapshot[],5,FALSE),VLOOKUP(AA$20,West_Snapshot[],5,FALSE))^$J$18+IFERROR(VLOOKUP(AA$20,East_Snapshot[],8,FALSE),VLOOKUP(AA$20,West_Snapshot[],8,FALSE))^$J$18))+$D$19*(VLOOKUP($C49,Tracker!$A$46:$T$75,2023-$A$2,FALSE)-VLOOKUP(AA$20,Tracker!$A$46:$T$75,2023-$A$2,FALSE))</f>
        <v>0.72562112258166966</v>
      </c>
      <c r="AB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B$20,East_Snapshot[],5,FALSE),VLOOKUP(AB$20,West_Snapshot[],5,FALSE))^$J$18+IFERROR(VLOOKUP(AB$20,East_Snapshot[],8,FALSE),VLOOKUP(AB$20,West_Snapshot[],8,FALSE))^$J$18))+$D$19*(VLOOKUP($C49,Tracker!$A$46:$T$75,2023-$A$2,FALSE)-VLOOKUP(AB$20,Tracker!$A$46:$T$75,2023-$A$2,FALSE))</f>
        <v>0.25088250087672648</v>
      </c>
      <c r="AC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C$20,East_Snapshot[],5,FALSE),VLOOKUP(AC$20,West_Snapshot[],5,FALSE))^$J$18+IFERROR(VLOOKUP(AC$20,East_Snapshot[],8,FALSE),VLOOKUP(AC$20,West_Snapshot[],8,FALSE))^$J$18))+$D$19*(VLOOKUP($C49,Tracker!$A$46:$T$75,2023-$A$2,FALSE)-VLOOKUP(AC$20,Tracker!$A$46:$T$75,2023-$A$2,FALSE))</f>
        <v>0.22393182740378423</v>
      </c>
      <c r="AD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D$20,East_Snapshot[],5,FALSE),VLOOKUP(AD$20,West_Snapshot[],5,FALSE))^$J$18+IFERROR(VLOOKUP(AD$20,East_Snapshot[],8,FALSE),VLOOKUP(AD$20,West_Snapshot[],8,FALSE))^$J$18))+$D$19*(VLOOKUP($C49,Tracker!$A$46:$T$75,2023-$A$2,FALSE)-VLOOKUP(AD$20,Tracker!$A$46:$T$75,2023-$A$2,FALSE))</f>
        <v>0.34765741072750495</v>
      </c>
      <c r="AE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E$20,East_Snapshot[],5,FALSE),VLOOKUP(AE$20,West_Snapshot[],5,FALSE))^$J$18+IFERROR(VLOOKUP(AE$20,East_Snapshot[],8,FALSE),VLOOKUP(AE$20,West_Snapshot[],8,FALSE))^$J$18))+$D$19*(VLOOKUP($C49,Tracker!$A$46:$T$75,2023-$A$2,FALSE)-VLOOKUP(AE$20,Tracker!$A$46:$T$75,2023-$A$2,FALSE))</f>
        <v>0.19805490656404653</v>
      </c>
      <c r="AF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F$20,East_Snapshot[],5,FALSE),VLOOKUP(AF$20,West_Snapshot[],5,FALSE))^$J$18+IFERROR(VLOOKUP(AF$20,East_Snapshot[],8,FALSE),VLOOKUP(AF$20,West_Snapshot[],8,FALSE))^$J$18))+$D$19*(VLOOKUP($C49,Tracker!$A$46:$T$75,2023-$A$2,FALSE)-VLOOKUP(AF$20,Tracker!$A$46:$T$75,2023-$A$2,FALSE))</f>
        <v>0.25040448848217356</v>
      </c>
      <c r="AG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G$20,East_Snapshot[],5,FALSE),VLOOKUP(AG$20,West_Snapshot[],5,FALSE))^$J$18+IFERROR(VLOOKUP(AG$20,East_Snapshot[],8,FALSE),VLOOKUP(AG$20,West_Snapshot[],8,FALSE))^$J$18))+$D$19*(VLOOKUP($C49,Tracker!$A$46:$T$75,2023-$A$2,FALSE)-VLOOKUP(AG$20,Tracker!$A$46:$T$75,2023-$A$2,FALSE))</f>
        <v>0.5</v>
      </c>
      <c r="AH49" s="4">
        <f>($H$18*IFERROR(VLOOKUP($C49,East_Snapshot[],5,FALSE),VLOOKUP($C49,West_Snapshot[],5,FALSE))^$J$18+IFERROR(VLOOKUP($C49,East_Snapshot[],8,FALSE),VLOOKUP($C49,West_Snapshot[],8,FALSE))^$J$18)/(($H$18*IFERROR(VLOOKUP($C49,East_Snapshot[],5,FALSE),VLOOKUP($C49,West_Snapshot[],5,FALSE))^$J$18+IFERROR(VLOOKUP($C49,East_Snapshot[],8,FALSE),VLOOKUP($C49,West_Snapshot[],8,FALSE))^$J$18)+($H$18*IFERROR(VLOOKUP(AH$20,East_Snapshot[],5,FALSE),VLOOKUP(AH$20,West_Snapshot[],5,FALSE))^$J$18+IFERROR(VLOOKUP(AH$20,East_Snapshot[],8,FALSE),VLOOKUP(AH$20,West_Snapshot[],8,FALSE))^$J$18))+$D$19*(VLOOKUP($C49,Tracker!$A$46:$T$75,2023-$A$2,FALSE)-VLOOKUP(AH$20,Tracker!$A$46:$T$75,2023-$A$2,FALSE))</f>
        <v>0.28134115803921633</v>
      </c>
    </row>
    <row r="50" spans="3:34" x14ac:dyDescent="0.25">
      <c r="C50" t="s">
        <v>142</v>
      </c>
      <c r="D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D$20,East_Snapshot[],5,FALSE),VLOOKUP(D$20,West_Snapshot[],5,FALSE))^$J$18+IFERROR(VLOOKUP(D$20,East_Snapshot[],8,FALSE),VLOOKUP(D$20,West_Snapshot[],8,FALSE))^$J$18))+$D$19*(VLOOKUP($C50,Tracker!$A$46:$T$75,2023-$A$2,FALSE)-VLOOKUP(D$20,Tracker!$A$46:$T$75,2023-$A$2,FALSE))</f>
        <v>0.54374342082989569</v>
      </c>
      <c r="E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E$20,East_Snapshot[],5,FALSE),VLOOKUP(E$20,West_Snapshot[],5,FALSE))^$J$18+IFERROR(VLOOKUP(E$20,East_Snapshot[],8,FALSE),VLOOKUP(E$20,West_Snapshot[],8,FALSE))^$J$18))+$D$19*(VLOOKUP($C50,Tracker!$A$46:$T$75,2023-$A$2,FALSE)-VLOOKUP(E$20,Tracker!$A$46:$T$75,2023-$A$2,FALSE))</f>
        <v>0.65654840454339891</v>
      </c>
      <c r="F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F$20,East_Snapshot[],5,FALSE),VLOOKUP(F$20,West_Snapshot[],5,FALSE))^$J$18+IFERROR(VLOOKUP(F$20,East_Snapshot[],8,FALSE),VLOOKUP(F$20,West_Snapshot[],8,FALSE))^$J$18))+$D$19*(VLOOKUP($C50,Tracker!$A$46:$T$75,2023-$A$2,FALSE)-VLOOKUP(F$20,Tracker!$A$46:$T$75,2023-$A$2,FALSE))</f>
        <v>0.5587495049227863</v>
      </c>
      <c r="G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G$20,East_Snapshot[],5,FALSE),VLOOKUP(G$20,West_Snapshot[],5,FALSE))^$J$18+IFERROR(VLOOKUP(G$20,East_Snapshot[],8,FALSE),VLOOKUP(G$20,West_Snapshot[],8,FALSE))^$J$18))+$D$19*(VLOOKUP($C50,Tracker!$A$46:$T$75,2023-$A$2,FALSE)-VLOOKUP(G$20,Tracker!$A$46:$T$75,2023-$A$2,FALSE))</f>
        <v>0.54115511384022885</v>
      </c>
      <c r="H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H$20,East_Snapshot[],5,FALSE),VLOOKUP(H$20,West_Snapshot[],5,FALSE))^$J$18+IFERROR(VLOOKUP(H$20,East_Snapshot[],8,FALSE),VLOOKUP(H$20,West_Snapshot[],8,FALSE))^$J$18))+$D$19*(VLOOKUP($C50,Tracker!$A$46:$T$75,2023-$A$2,FALSE)-VLOOKUP(H$20,Tracker!$A$46:$T$75,2023-$A$2,FALSE))</f>
        <v>0.48539882444577215</v>
      </c>
      <c r="I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I$20,East_Snapshot[],5,FALSE),VLOOKUP(I$20,West_Snapshot[],5,FALSE))^$J$18+IFERROR(VLOOKUP(I$20,East_Snapshot[],8,FALSE),VLOOKUP(I$20,West_Snapshot[],8,FALSE))^$J$18))+$D$19*(VLOOKUP($C50,Tracker!$A$46:$T$75,2023-$A$2,FALSE)-VLOOKUP(I$20,Tracker!$A$46:$T$75,2023-$A$2,FALSE))</f>
        <v>0.62046577068029685</v>
      </c>
      <c r="J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J$20,East_Snapshot[],5,FALSE),VLOOKUP(J$20,West_Snapshot[],5,FALSE))^$J$18+IFERROR(VLOOKUP(J$20,East_Snapshot[],8,FALSE),VLOOKUP(J$20,West_Snapshot[],8,FALSE))^$J$18))+$D$19*(VLOOKUP($C50,Tracker!$A$46:$T$75,2023-$A$2,FALSE)-VLOOKUP(J$20,Tracker!$A$46:$T$75,2023-$A$2,FALSE))</f>
        <v>0.46441674608338729</v>
      </c>
      <c r="K50" s="4" t="e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K$20,East_Snapshot[],5,FALSE),VLOOKUP(K$20,West_Snapshot[],5,FALSE))^$J$18+IFERROR(VLOOKUP(K$20,East_Snapshot[],8,FALSE),VLOOKUP(K$20,West_Snapshot[],8,FALSE))^$J$18))+$D$19*(VLOOKUP($C50,Tracker!$A$46:$T$75,2023-$A$2,FALSE)-VLOOKUP(K$20,Tracker!$A$46:$T$75,2023-$A$2,FALSE))</f>
        <v>#N/A</v>
      </c>
      <c r="L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L$20,East_Snapshot[],5,FALSE),VLOOKUP(L$20,West_Snapshot[],5,FALSE))^$J$18+IFERROR(VLOOKUP(L$20,East_Snapshot[],8,FALSE),VLOOKUP(L$20,West_Snapshot[],8,FALSE))^$J$18))+$D$19*(VLOOKUP($C50,Tracker!$A$46:$T$75,2023-$A$2,FALSE)-VLOOKUP(L$20,Tracker!$A$46:$T$75,2023-$A$2,FALSE))</f>
        <v>0.5659332436359763</v>
      </c>
      <c r="M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M$20,East_Snapshot[],5,FALSE),VLOOKUP(M$20,West_Snapshot[],5,FALSE))^$J$18+IFERROR(VLOOKUP(M$20,East_Snapshot[],8,FALSE),VLOOKUP(M$20,West_Snapshot[],8,FALSE))^$J$18))+$D$19*(VLOOKUP($C50,Tracker!$A$46:$T$75,2023-$A$2,FALSE)-VLOOKUP(M$20,Tracker!$A$46:$T$75,2023-$A$2,FALSE))</f>
        <v>0.62877668039595791</v>
      </c>
      <c r="N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N$20,East_Snapshot[],5,FALSE),VLOOKUP(N$20,West_Snapshot[],5,FALSE))^$J$18+IFERROR(VLOOKUP(N$20,East_Snapshot[],8,FALSE),VLOOKUP(N$20,West_Snapshot[],8,FALSE))^$J$18))+$D$19*(VLOOKUP($C50,Tracker!$A$46:$T$75,2023-$A$2,FALSE)-VLOOKUP(N$20,Tracker!$A$46:$T$75,2023-$A$2,FALSE))</f>
        <v>0.42735604517088838</v>
      </c>
      <c r="O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O$20,East_Snapshot[],5,FALSE),VLOOKUP(O$20,West_Snapshot[],5,FALSE))^$J$18+IFERROR(VLOOKUP(O$20,East_Snapshot[],8,FALSE),VLOOKUP(O$20,West_Snapshot[],8,FALSE))^$J$18))+$D$19*(VLOOKUP($C50,Tracker!$A$46:$T$75,2023-$A$2,FALSE)-VLOOKUP(O$20,Tracker!$A$46:$T$75,2023-$A$2,FALSE))</f>
        <v>0.4301126905407272</v>
      </c>
      <c r="P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P$20,East_Snapshot[],5,FALSE),VLOOKUP(P$20,West_Snapshot[],5,FALSE))^$J$18+IFERROR(VLOOKUP(P$20,East_Snapshot[],8,FALSE),VLOOKUP(P$20,West_Snapshot[],8,FALSE))^$J$18))+$D$19*(VLOOKUP($C50,Tracker!$A$46:$T$75,2023-$A$2,FALSE)-VLOOKUP(P$20,Tracker!$A$46:$T$75,2023-$A$2,FALSE))</f>
        <v>0.44191939133883884</v>
      </c>
      <c r="Q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Q$20,East_Snapshot[],5,FALSE),VLOOKUP(Q$20,West_Snapshot[],5,FALSE))^$J$18+IFERROR(VLOOKUP(Q$20,East_Snapshot[],8,FALSE),VLOOKUP(Q$20,West_Snapshot[],8,FALSE))^$J$18))+$D$19*(VLOOKUP($C50,Tracker!$A$46:$T$75,2023-$A$2,FALSE)-VLOOKUP(Q$20,Tracker!$A$46:$T$75,2023-$A$2,FALSE))</f>
        <v>0.38997949685974886</v>
      </c>
      <c r="R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R$20,East_Snapshot[],5,FALSE),VLOOKUP(R$20,West_Snapshot[],5,FALSE))^$J$18+IFERROR(VLOOKUP(R$20,East_Snapshot[],8,FALSE),VLOOKUP(R$20,West_Snapshot[],8,FALSE))^$J$18))+$D$19*(VLOOKUP($C50,Tracker!$A$46:$T$75,2023-$A$2,FALSE)-VLOOKUP(R$20,Tracker!$A$46:$T$75,2023-$A$2,FALSE))</f>
        <v>0.67960206814895385</v>
      </c>
      <c r="S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S$20,East_Snapshot[],5,FALSE),VLOOKUP(S$20,West_Snapshot[],5,FALSE))^$J$18+IFERROR(VLOOKUP(S$20,East_Snapshot[],8,FALSE),VLOOKUP(S$20,West_Snapshot[],8,FALSE))^$J$18))+$D$19*(VLOOKUP($C50,Tracker!$A$46:$T$75,2023-$A$2,FALSE)-VLOOKUP(S$20,Tracker!$A$46:$T$75,2023-$A$2,FALSE))</f>
        <v>0.47785945387038686</v>
      </c>
      <c r="T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T$20,East_Snapshot[],5,FALSE),VLOOKUP(T$20,West_Snapshot[],5,FALSE))^$J$18+IFERROR(VLOOKUP(T$20,East_Snapshot[],8,FALSE),VLOOKUP(T$20,West_Snapshot[],8,FALSE))^$J$18))+$D$19*(VLOOKUP($C50,Tracker!$A$46:$T$75,2023-$A$2,FALSE)-VLOOKUP(T$20,Tracker!$A$46:$T$75,2023-$A$2,FALSE))</f>
        <v>0.43606042908589376</v>
      </c>
      <c r="U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U$20,East_Snapshot[],5,FALSE),VLOOKUP(U$20,West_Snapshot[],5,FALSE))^$J$18+IFERROR(VLOOKUP(U$20,East_Snapshot[],8,FALSE),VLOOKUP(U$20,West_Snapshot[],8,FALSE))^$J$18))+$D$19*(VLOOKUP($C50,Tracker!$A$46:$T$75,2023-$A$2,FALSE)-VLOOKUP(U$20,Tracker!$A$46:$T$75,2023-$A$2,FALSE))</f>
        <v>0.78533986160259139</v>
      </c>
      <c r="V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V$20,East_Snapshot[],5,FALSE),VLOOKUP(V$20,West_Snapshot[],5,FALSE))^$J$18+IFERROR(VLOOKUP(V$20,East_Snapshot[],8,FALSE),VLOOKUP(V$20,West_Snapshot[],8,FALSE))^$J$18))+$D$19*(VLOOKUP($C50,Tracker!$A$46:$T$75,2023-$A$2,FALSE)-VLOOKUP(V$20,Tracker!$A$46:$T$75,2023-$A$2,FALSE))</f>
        <v>0.46138397480151161</v>
      </c>
      <c r="W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W$20,East_Snapshot[],5,FALSE),VLOOKUP(W$20,West_Snapshot[],5,FALSE))^$J$18+IFERROR(VLOOKUP(W$20,East_Snapshot[],8,FALSE),VLOOKUP(W$20,West_Snapshot[],8,FALSE))^$J$18))+$D$19*(VLOOKUP($C50,Tracker!$A$46:$T$75,2023-$A$2,FALSE)-VLOOKUP(W$20,Tracker!$A$46:$T$75,2023-$A$2,FALSE))</f>
        <v>0.57185663141706544</v>
      </c>
      <c r="X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X$20,East_Snapshot[],5,FALSE),VLOOKUP(X$20,West_Snapshot[],5,FALSE))^$J$18+IFERROR(VLOOKUP(X$20,East_Snapshot[],8,FALSE),VLOOKUP(X$20,West_Snapshot[],8,FALSE))^$J$18))+$D$19*(VLOOKUP($C50,Tracker!$A$46:$T$75,2023-$A$2,FALSE)-VLOOKUP(X$20,Tracker!$A$46:$T$75,2023-$A$2,FALSE))</f>
        <v>0.54413385027372985</v>
      </c>
      <c r="Y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Y$20,East_Snapshot[],5,FALSE),VLOOKUP(Y$20,West_Snapshot[],5,FALSE))^$J$18+IFERROR(VLOOKUP(Y$20,East_Snapshot[],8,FALSE),VLOOKUP(Y$20,West_Snapshot[],8,FALSE))^$J$18))+$D$19*(VLOOKUP($C50,Tracker!$A$46:$T$75,2023-$A$2,FALSE)-VLOOKUP(Y$20,Tracker!$A$46:$T$75,2023-$A$2,FALSE))</f>
        <v>0.40669329108313956</v>
      </c>
      <c r="Z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Z$20,East_Snapshot[],5,FALSE),VLOOKUP(Z$20,West_Snapshot[],5,FALSE))^$J$18+IFERROR(VLOOKUP(Z$20,East_Snapshot[],8,FALSE),VLOOKUP(Z$20,West_Snapshot[],8,FALSE))^$J$18))+$D$19*(VLOOKUP($C50,Tracker!$A$46:$T$75,2023-$A$2,FALSE)-VLOOKUP(Z$20,Tracker!$A$46:$T$75,2023-$A$2,FALSE))</f>
        <v>0.68762383467431831</v>
      </c>
      <c r="AA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A$20,East_Snapshot[],5,FALSE),VLOOKUP(AA$20,West_Snapshot[],5,FALSE))^$J$18+IFERROR(VLOOKUP(AA$20,East_Snapshot[],8,FALSE),VLOOKUP(AA$20,West_Snapshot[],8,FALSE))^$J$18))+$D$19*(VLOOKUP($C50,Tracker!$A$46:$T$75,2023-$A$2,FALSE)-VLOOKUP(AA$20,Tracker!$A$46:$T$75,2023-$A$2,FALSE))</f>
        <v>0.875459740606366</v>
      </c>
      <c r="AB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B$20,East_Snapshot[],5,FALSE),VLOOKUP(AB$20,West_Snapshot[],5,FALSE))^$J$18+IFERROR(VLOOKUP(AB$20,East_Snapshot[],8,FALSE),VLOOKUP(AB$20,West_Snapshot[],8,FALSE))^$J$18))+$D$19*(VLOOKUP($C50,Tracker!$A$46:$T$75,2023-$A$2,FALSE)-VLOOKUP(AB$20,Tracker!$A$46:$T$75,2023-$A$2,FALSE))</f>
        <v>0.46194685043402245</v>
      </c>
      <c r="AC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C$20,East_Snapshot[],5,FALSE),VLOOKUP(AC$20,West_Snapshot[],5,FALSE))^$J$18+IFERROR(VLOOKUP(AC$20,East_Snapshot[],8,FALSE),VLOOKUP(AC$20,West_Snapshot[],8,FALSE))^$J$18))+$D$19*(VLOOKUP($C50,Tracker!$A$46:$T$75,2023-$A$2,FALSE)-VLOOKUP(AC$20,Tracker!$A$46:$T$75,2023-$A$2,FALSE))</f>
        <v>0.42970399235267387</v>
      </c>
      <c r="AD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D$20,East_Snapshot[],5,FALSE),VLOOKUP(AD$20,West_Snapshot[],5,FALSE))^$J$18+IFERROR(VLOOKUP(AD$20,East_Snapshot[],8,FALSE),VLOOKUP(AD$20,West_Snapshot[],8,FALSE))^$J$18))+$D$19*(VLOOKUP($C50,Tracker!$A$46:$T$75,2023-$A$2,FALSE)-VLOOKUP(AD$20,Tracker!$A$46:$T$75,2023-$A$2,FALSE))</f>
        <v>0.57525711042838434</v>
      </c>
      <c r="AE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E$20,East_Snapshot[],5,FALSE),VLOOKUP(AE$20,West_Snapshot[],5,FALSE))^$J$18+IFERROR(VLOOKUP(AE$20,East_Snapshot[],8,FALSE),VLOOKUP(AE$20,West_Snapshot[],8,FALSE))^$J$18))+$D$19*(VLOOKUP($C50,Tracker!$A$46:$T$75,2023-$A$2,FALSE)-VLOOKUP(AE$20,Tracker!$A$46:$T$75,2023-$A$2,FALSE))</f>
        <v>0.38988140328700249</v>
      </c>
      <c r="AF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F$20,East_Snapshot[],5,FALSE),VLOOKUP(AF$20,West_Snapshot[],5,FALSE))^$J$18+IFERROR(VLOOKUP(AF$20,East_Snapshot[],8,FALSE),VLOOKUP(AF$20,West_Snapshot[],8,FALSE))^$J$18))+$D$19*(VLOOKUP($C50,Tracker!$A$46:$T$75,2023-$A$2,FALSE)-VLOOKUP(AF$20,Tracker!$A$46:$T$75,2023-$A$2,FALSE))</f>
        <v>0.46133037689851925</v>
      </c>
      <c r="AG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G$20,East_Snapshot[],5,FALSE),VLOOKUP(AG$20,West_Snapshot[],5,FALSE))^$J$18+IFERROR(VLOOKUP(AG$20,East_Snapshot[],8,FALSE),VLOOKUP(AG$20,West_Snapshot[],8,FALSE))^$J$18))+$D$19*(VLOOKUP($C50,Tracker!$A$46:$T$75,2023-$A$2,FALSE)-VLOOKUP(AG$20,Tracker!$A$46:$T$75,2023-$A$2,FALSE))</f>
        <v>0.71865884196078367</v>
      </c>
      <c r="AH50" s="4">
        <f>($H$18*IFERROR(VLOOKUP($C50,East_Snapshot[],5,FALSE),VLOOKUP($C50,West_Snapshot[],5,FALSE))^$J$18+IFERROR(VLOOKUP($C50,East_Snapshot[],8,FALSE),VLOOKUP($C50,West_Snapshot[],8,FALSE))^$J$18)/(($H$18*IFERROR(VLOOKUP($C50,East_Snapshot[],5,FALSE),VLOOKUP($C50,West_Snapshot[],5,FALSE))^$J$18+IFERROR(VLOOKUP($C50,East_Snapshot[],8,FALSE),VLOOKUP($C50,West_Snapshot[],8,FALSE))^$J$18)+($H$18*IFERROR(VLOOKUP(AH$20,East_Snapshot[],5,FALSE),VLOOKUP(AH$20,West_Snapshot[],5,FALSE))^$J$18+IFERROR(VLOOKUP(AH$20,East_Snapshot[],8,FALSE),VLOOKUP(AH$20,West_Snapshot[],8,FALSE))^$J$18))+$D$19*(VLOOKUP($C50,Tracker!$A$46:$T$75,2023-$A$2,FALSE)-VLOOKUP(AH$20,Tracker!$A$46:$T$75,2023-$A$2,FALSE))</f>
        <v>0.5</v>
      </c>
    </row>
    <row r="54" spans="3:34" x14ac:dyDescent="0.25">
      <c r="C54" t="s">
        <v>230</v>
      </c>
      <c r="D54" t="s">
        <v>150</v>
      </c>
      <c r="E54" t="s">
        <v>130</v>
      </c>
      <c r="F54" t="s">
        <v>136</v>
      </c>
      <c r="G54" t="s">
        <v>186</v>
      </c>
      <c r="H54" t="s">
        <v>144</v>
      </c>
      <c r="I54" t="s">
        <v>152</v>
      </c>
      <c r="J54" t="s">
        <v>159</v>
      </c>
      <c r="L54" t="s">
        <v>155</v>
      </c>
      <c r="M54" t="s">
        <v>148</v>
      </c>
      <c r="N54" t="s">
        <v>173</v>
      </c>
      <c r="O54" t="s">
        <v>156</v>
      </c>
      <c r="P54" t="s">
        <v>131</v>
      </c>
      <c r="Q54" t="s">
        <v>154</v>
      </c>
      <c r="R54" t="s">
        <v>153</v>
      </c>
      <c r="S54" t="s">
        <v>162</v>
      </c>
      <c r="T54" t="s">
        <v>132</v>
      </c>
      <c r="U54" t="s">
        <v>128</v>
      </c>
      <c r="V54" t="s">
        <v>171</v>
      </c>
      <c r="W54" t="s">
        <v>169</v>
      </c>
      <c r="X54" t="s">
        <v>146</v>
      </c>
      <c r="Y54" t="s">
        <v>157</v>
      </c>
      <c r="Z54" t="s">
        <v>138</v>
      </c>
      <c r="AA54" t="s">
        <v>134</v>
      </c>
      <c r="AB54" t="s">
        <v>164</v>
      </c>
      <c r="AC54" t="s">
        <v>160</v>
      </c>
      <c r="AD54" t="s">
        <v>167</v>
      </c>
      <c r="AE54" t="s">
        <v>165</v>
      </c>
      <c r="AF54" t="s">
        <v>129</v>
      </c>
      <c r="AG54" t="s">
        <v>158</v>
      </c>
      <c r="AH54" t="s">
        <v>142</v>
      </c>
    </row>
    <row r="55" spans="3:34" x14ac:dyDescent="0.25">
      <c r="C55" t="s">
        <v>150</v>
      </c>
      <c r="D55" s="4">
        <f t="shared" ref="D55:AH55" si="2">COMBIN(6,3)*D21^4*(1-D21)^3+COMBIN(3,3)*D21^4+COMBIN(4,3)*D21^4*(1-D21)^1+COMBIN(5,3)*D21^4*(1-D21)^2</f>
        <v>0.5</v>
      </c>
      <c r="E55" s="4">
        <f t="shared" si="2"/>
        <v>0.73882300080207686</v>
      </c>
      <c r="F55" s="4">
        <f t="shared" si="2"/>
        <v>0.53301308801065628</v>
      </c>
      <c r="G55" s="4">
        <f t="shared" si="2"/>
        <v>0.49431432250734297</v>
      </c>
      <c r="H55" s="4">
        <f t="shared" si="2"/>
        <v>0.37429452302688293</v>
      </c>
      <c r="I55" s="4">
        <f t="shared" si="2"/>
        <v>0.66629642267779587</v>
      </c>
      <c r="J55" s="4">
        <f t="shared" si="2"/>
        <v>0.33144687959838248</v>
      </c>
      <c r="K55" s="4" t="e">
        <f t="shared" si="2"/>
        <v>#N/A</v>
      </c>
      <c r="L55" s="4">
        <f t="shared" si="2"/>
        <v>0.54881179663550395</v>
      </c>
      <c r="M55" s="4">
        <f t="shared" si="2"/>
        <v>0.68349423045250157</v>
      </c>
      <c r="N55" s="4">
        <f t="shared" si="2"/>
        <v>0.26066986903080691</v>
      </c>
      <c r="O55" s="4">
        <f t="shared" si="2"/>
        <v>0.2656871151365795</v>
      </c>
      <c r="P55" s="4">
        <f t="shared" si="2"/>
        <v>0.2876471501154611</v>
      </c>
      <c r="Q55" s="4">
        <f t="shared" si="2"/>
        <v>0.19659113533261663</v>
      </c>
      <c r="R55" s="4">
        <f t="shared" si="2"/>
        <v>0.78170436647761476</v>
      </c>
      <c r="S55" s="4">
        <f t="shared" si="2"/>
        <v>0.35870083943203096</v>
      </c>
      <c r="T55" s="4">
        <f t="shared" si="2"/>
        <v>0.27665578896461374</v>
      </c>
      <c r="U55" s="4">
        <f t="shared" si="2"/>
        <v>0.93029072500675336</v>
      </c>
      <c r="V55" s="4">
        <f t="shared" si="2"/>
        <v>0.32540385391237803</v>
      </c>
      <c r="W55" s="4">
        <f t="shared" si="2"/>
        <v>0.56211230518248056</v>
      </c>
      <c r="X55" s="4">
        <f t="shared" si="2"/>
        <v>0.50099026991832285</v>
      </c>
      <c r="Y55" s="4">
        <f t="shared" si="2"/>
        <v>0.2244719415534468</v>
      </c>
      <c r="Z55" s="4">
        <f t="shared" si="2"/>
        <v>0.79587069860900383</v>
      </c>
      <c r="AA55" s="4">
        <f t="shared" si="2"/>
        <v>0.98758302209382565</v>
      </c>
      <c r="AB55" s="4">
        <f t="shared" si="2"/>
        <v>0.32652233826401483</v>
      </c>
      <c r="AC55" s="4">
        <f t="shared" si="2"/>
        <v>0.26453197184588828</v>
      </c>
      <c r="AD55" s="4">
        <f t="shared" si="2"/>
        <v>0.56958369267112263</v>
      </c>
      <c r="AE55" s="4">
        <f t="shared" si="2"/>
        <v>0.19696263813236614</v>
      </c>
      <c r="AF55" s="4">
        <f t="shared" si="2"/>
        <v>0.32529742412580903</v>
      </c>
      <c r="AG55" s="4">
        <f t="shared" si="2"/>
        <v>0.84654315028277805</v>
      </c>
      <c r="AH55" s="4">
        <f t="shared" si="2"/>
        <v>0.40504030616499798</v>
      </c>
    </row>
    <row r="56" spans="3:34" x14ac:dyDescent="0.25">
      <c r="C56" t="s">
        <v>130</v>
      </c>
      <c r="D56" s="4">
        <f t="shared" ref="D56:AH56" si="3">COMBIN(6,3)*D22^4*(1-D22)^3+COMBIN(3,3)*D22^4+COMBIN(4,3)*D22^4*(1-D22)^1+COMBIN(5,3)*D22^4*(1-D22)^2</f>
        <v>0.26117699919792353</v>
      </c>
      <c r="E56" s="4">
        <f t="shared" si="3"/>
        <v>0.5</v>
      </c>
      <c r="F56" s="4">
        <f t="shared" si="3"/>
        <v>0.28848503832054839</v>
      </c>
      <c r="G56" s="4">
        <f t="shared" si="3"/>
        <v>0.25662552284862372</v>
      </c>
      <c r="H56" s="4">
        <f t="shared" si="3"/>
        <v>0.16854417877565556</v>
      </c>
      <c r="I56" s="4">
        <f t="shared" si="3"/>
        <v>0.41610494346638605</v>
      </c>
      <c r="J56" s="4">
        <f t="shared" si="3"/>
        <v>0.1415575834648731</v>
      </c>
      <c r="K56" s="4" t="e">
        <f t="shared" si="3"/>
        <v>#N/A</v>
      </c>
      <c r="L56" s="4">
        <f t="shared" si="3"/>
        <v>0.30210475179389995</v>
      </c>
      <c r="M56" s="4">
        <f t="shared" si="3"/>
        <v>0.43493520237919692</v>
      </c>
      <c r="N56" s="4">
        <f t="shared" si="3"/>
        <v>0.10132157454185811</v>
      </c>
      <c r="O56" s="4">
        <f t="shared" si="3"/>
        <v>0.10400095856499658</v>
      </c>
      <c r="P56" s="4">
        <f t="shared" si="3"/>
        <v>0.11603570701334032</v>
      </c>
      <c r="Q56" s="4">
        <f t="shared" si="3"/>
        <v>6.7899743813388203E-2</v>
      </c>
      <c r="R56" s="4">
        <f t="shared" si="3"/>
        <v>0.55585055420182705</v>
      </c>
      <c r="S56" s="4">
        <f t="shared" si="3"/>
        <v>0.1584861382139256</v>
      </c>
      <c r="T56" s="4">
        <f t="shared" si="3"/>
        <v>0.10994938038016727</v>
      </c>
      <c r="U56" s="4">
        <f t="shared" si="3"/>
        <v>0.80601299870163756</v>
      </c>
      <c r="V56" s="4">
        <f t="shared" si="3"/>
        <v>0.13791416686611538</v>
      </c>
      <c r="W56" s="4">
        <f t="shared" si="3"/>
        <v>0.31340008402511182</v>
      </c>
      <c r="X56" s="4">
        <f t="shared" si="3"/>
        <v>0.26107821243173651</v>
      </c>
      <c r="Y56" s="4">
        <f t="shared" si="3"/>
        <v>8.2756849791236833E-2</v>
      </c>
      <c r="Z56" s="4">
        <f t="shared" si="3"/>
        <v>0.5755139458427736</v>
      </c>
      <c r="AA56" s="4">
        <f t="shared" si="3"/>
        <v>0.95286221885070943</v>
      </c>
      <c r="AB56" s="4">
        <f t="shared" si="3"/>
        <v>0.13858553185738415</v>
      </c>
      <c r="AC56" s="4">
        <f t="shared" si="3"/>
        <v>0.10184527981709542</v>
      </c>
      <c r="AD56" s="4">
        <f t="shared" si="3"/>
        <v>0.32018234713019933</v>
      </c>
      <c r="AE56" s="4">
        <f t="shared" si="3"/>
        <v>6.9542704082397308E-2</v>
      </c>
      <c r="AF56" s="4">
        <f t="shared" si="3"/>
        <v>0.13785035336114584</v>
      </c>
      <c r="AG56" s="4">
        <f t="shared" si="3"/>
        <v>0.65173719476048009</v>
      </c>
      <c r="AH56" s="4">
        <f t="shared" si="3"/>
        <v>0.18919213152772413</v>
      </c>
    </row>
    <row r="57" spans="3:34" x14ac:dyDescent="0.25">
      <c r="C57" t="s">
        <v>136</v>
      </c>
      <c r="D57" s="4">
        <f t="shared" ref="D57:AH57" si="4">COMBIN(6,3)*D23^4*(1-D23)^3+COMBIN(3,3)*D23^4+COMBIN(4,3)*D23^4*(1-D23)^1+COMBIN(5,3)*D23^4*(1-D23)^2</f>
        <v>0.46698691198934356</v>
      </c>
      <c r="E57" s="4">
        <f t="shared" si="4"/>
        <v>0.7115149616794515</v>
      </c>
      <c r="F57" s="4">
        <f t="shared" si="4"/>
        <v>0.5</v>
      </c>
      <c r="G57" s="4">
        <f t="shared" si="4"/>
        <v>0.46132552042218722</v>
      </c>
      <c r="H57" s="4">
        <f t="shared" si="4"/>
        <v>0.34332285865570544</v>
      </c>
      <c r="I57" s="4">
        <f t="shared" si="4"/>
        <v>0.63580158518249597</v>
      </c>
      <c r="J57" s="4">
        <f t="shared" si="4"/>
        <v>0.30197763334402378</v>
      </c>
      <c r="K57" s="4" t="e">
        <f t="shared" si="4"/>
        <v>#N/A</v>
      </c>
      <c r="L57" s="4">
        <f t="shared" si="4"/>
        <v>0.51588436177483854</v>
      </c>
      <c r="M57" s="4">
        <f t="shared" si="4"/>
        <v>0.65363248665382456</v>
      </c>
      <c r="N57" s="4">
        <f t="shared" si="4"/>
        <v>0.23461755646452068</v>
      </c>
      <c r="O57" s="4">
        <f t="shared" si="4"/>
        <v>0.23935288279380945</v>
      </c>
      <c r="P57" s="4">
        <f t="shared" si="4"/>
        <v>0.26015143363249832</v>
      </c>
      <c r="Q57" s="4">
        <f t="shared" si="4"/>
        <v>0.17443975298230815</v>
      </c>
      <c r="R57" s="4">
        <f t="shared" si="4"/>
        <v>0.75695395639388496</v>
      </c>
      <c r="S57" s="4">
        <f t="shared" si="4"/>
        <v>0.32822776450000468</v>
      </c>
      <c r="T57" s="4">
        <f t="shared" si="4"/>
        <v>0.24972676781428299</v>
      </c>
      <c r="U57" s="4">
        <f t="shared" si="4"/>
        <v>0.91929108069191734</v>
      </c>
      <c r="V57" s="4">
        <f t="shared" si="4"/>
        <v>0.29618024552289529</v>
      </c>
      <c r="W57" s="4">
        <f t="shared" si="4"/>
        <v>0.52936894956544389</v>
      </c>
      <c r="X57" s="4">
        <f t="shared" si="4"/>
        <v>0.46796813841925305</v>
      </c>
      <c r="Y57" s="4">
        <f t="shared" si="4"/>
        <v>0.20064146546846678</v>
      </c>
      <c r="Z57" s="4">
        <f t="shared" si="4"/>
        <v>0.77208487196595843</v>
      </c>
      <c r="AA57" s="4">
        <f t="shared" si="4"/>
        <v>0.98509107605089197</v>
      </c>
      <c r="AB57" s="4">
        <f t="shared" si="4"/>
        <v>0.29725262938236974</v>
      </c>
      <c r="AC57" s="4">
        <f t="shared" si="4"/>
        <v>0.23803566409461047</v>
      </c>
      <c r="AD57" s="4">
        <f t="shared" si="4"/>
        <v>0.53693177171846385</v>
      </c>
      <c r="AE57" s="4">
        <f t="shared" si="4"/>
        <v>0.17504992204581993</v>
      </c>
      <c r="AF57" s="4">
        <f t="shared" si="4"/>
        <v>0.29607821752696611</v>
      </c>
      <c r="AG57" s="4">
        <f t="shared" si="4"/>
        <v>0.8267417028258347</v>
      </c>
      <c r="AH57" s="4">
        <f t="shared" si="4"/>
        <v>0.37324508289172381</v>
      </c>
    </row>
    <row r="58" spans="3:34" x14ac:dyDescent="0.25">
      <c r="C58" t="s">
        <v>186</v>
      </c>
      <c r="D58" s="4">
        <f t="shared" ref="D58:AH58" si="5">COMBIN(6,3)*D24^4*(1-D24)^3+COMBIN(3,3)*D24^4+COMBIN(4,3)*D24^4*(1-D24)^1+COMBIN(5,3)*D24^4*(1-D24)^2</f>
        <v>0.50568567749265725</v>
      </c>
      <c r="E58" s="4">
        <f t="shared" si="5"/>
        <v>0.74337447715137639</v>
      </c>
      <c r="F58" s="4">
        <f t="shared" si="5"/>
        <v>0.53867447957781267</v>
      </c>
      <c r="G58" s="4">
        <f t="shared" si="5"/>
        <v>0.5</v>
      </c>
      <c r="H58" s="4">
        <f t="shared" si="5"/>
        <v>0.37971360827437367</v>
      </c>
      <c r="I58" s="4">
        <f t="shared" si="5"/>
        <v>0.67143339293661519</v>
      </c>
      <c r="J58" s="4">
        <f t="shared" si="5"/>
        <v>0.33663353976207999</v>
      </c>
      <c r="K58" s="4" t="e">
        <f t="shared" si="5"/>
        <v>#N/A</v>
      </c>
      <c r="L58" s="4">
        <f t="shared" si="5"/>
        <v>0.55444689239736267</v>
      </c>
      <c r="M58" s="4">
        <f t="shared" si="5"/>
        <v>0.68851231055735962</v>
      </c>
      <c r="N58" s="4">
        <f t="shared" si="5"/>
        <v>0.26530276311500867</v>
      </c>
      <c r="O58" s="4">
        <f t="shared" si="5"/>
        <v>0.27036655869655646</v>
      </c>
      <c r="P58" s="4">
        <f t="shared" si="5"/>
        <v>0.2925169614139822</v>
      </c>
      <c r="Q58" s="4">
        <f t="shared" si="5"/>
        <v>0.20057053025343624</v>
      </c>
      <c r="R58" s="4">
        <f t="shared" si="5"/>
        <v>0.78580130817693983</v>
      </c>
      <c r="S58" s="4">
        <f t="shared" si="5"/>
        <v>0.36404399828985995</v>
      </c>
      <c r="T58" s="4">
        <f t="shared" si="5"/>
        <v>0.28143301701769985</v>
      </c>
      <c r="U58" s="4">
        <f t="shared" si="5"/>
        <v>0.93205361300603418</v>
      </c>
      <c r="V58" s="4">
        <f t="shared" si="5"/>
        <v>0.33055164849090241</v>
      </c>
      <c r="W58" s="4">
        <f t="shared" si="5"/>
        <v>0.56770224551430593</v>
      </c>
      <c r="X58" s="4">
        <f t="shared" si="5"/>
        <v>0.50667275100828957</v>
      </c>
      <c r="Y58" s="4">
        <f t="shared" si="5"/>
        <v>0.22873406041353314</v>
      </c>
      <c r="Z58" s="4">
        <f t="shared" si="5"/>
        <v>0.79979851357791554</v>
      </c>
      <c r="AA58" s="4">
        <f t="shared" si="5"/>
        <v>0.98797113834791161</v>
      </c>
      <c r="AB58" s="4">
        <f t="shared" si="5"/>
        <v>0.33167744164499696</v>
      </c>
      <c r="AC58" s="4">
        <f t="shared" si="5"/>
        <v>0.26923878871598061</v>
      </c>
      <c r="AD58" s="4">
        <f t="shared" si="5"/>
        <v>0.57515257481732773</v>
      </c>
      <c r="AE58" s="4">
        <f t="shared" si="5"/>
        <v>0.20089999919721974</v>
      </c>
      <c r="AF58" s="4">
        <f t="shared" si="5"/>
        <v>0.33044452049750261</v>
      </c>
      <c r="AG58" s="4">
        <f t="shared" si="5"/>
        <v>0.84978250069596806</v>
      </c>
      <c r="AH58" s="4">
        <f t="shared" si="5"/>
        <v>0.41058064239075293</v>
      </c>
    </row>
    <row r="59" spans="3:34" x14ac:dyDescent="0.25">
      <c r="C59" t="s">
        <v>144</v>
      </c>
      <c r="D59" s="4">
        <f t="shared" ref="D59:AH59" si="6">COMBIN(6,3)*D25^4*(1-D25)^3+COMBIN(3,3)*D25^4+COMBIN(4,3)*D25^4*(1-D25)^1+COMBIN(5,3)*D25^4*(1-D25)^2</f>
        <v>0.62570547697311696</v>
      </c>
      <c r="E59" s="4">
        <f t="shared" si="6"/>
        <v>0.83145582122434458</v>
      </c>
      <c r="F59" s="4">
        <f t="shared" si="6"/>
        <v>0.65667714134429478</v>
      </c>
      <c r="G59" s="4">
        <f t="shared" si="6"/>
        <v>0.6202863917256265</v>
      </c>
      <c r="H59" s="4">
        <f t="shared" si="6"/>
        <v>0.5</v>
      </c>
      <c r="I59" s="4">
        <f t="shared" si="6"/>
        <v>0.77342707086683082</v>
      </c>
      <c r="J59" s="4">
        <f t="shared" si="6"/>
        <v>0.45408736398015015</v>
      </c>
      <c r="K59" s="4" t="e">
        <f t="shared" si="6"/>
        <v>#N/A</v>
      </c>
      <c r="L59" s="4">
        <f t="shared" si="6"/>
        <v>0.6712049503623374</v>
      </c>
      <c r="M59" s="4">
        <f t="shared" si="6"/>
        <v>0.78753985805774984</v>
      </c>
      <c r="N59" s="4">
        <f t="shared" si="6"/>
        <v>0.37420931805339852</v>
      </c>
      <c r="O59" s="4">
        <f t="shared" si="6"/>
        <v>0.3800517558087651</v>
      </c>
      <c r="P59" s="4">
        <f t="shared" si="6"/>
        <v>0.40528827990799415</v>
      </c>
      <c r="Q59" s="4">
        <f t="shared" si="6"/>
        <v>0.29772563529953489</v>
      </c>
      <c r="R59" s="4">
        <f t="shared" si="6"/>
        <v>0.86389229847586435</v>
      </c>
      <c r="S59" s="4">
        <f t="shared" si="6"/>
        <v>0.48349003668226098</v>
      </c>
      <c r="T59" s="4">
        <f t="shared" si="6"/>
        <v>0.39272423218138497</v>
      </c>
      <c r="U59" s="4">
        <f t="shared" si="6"/>
        <v>0.96392067048614083</v>
      </c>
      <c r="V59" s="4">
        <f t="shared" si="6"/>
        <v>0.44747060783554704</v>
      </c>
      <c r="W59" s="4">
        <f t="shared" si="6"/>
        <v>0.68285045211444584</v>
      </c>
      <c r="X59" s="4">
        <f t="shared" si="6"/>
        <v>0.62640766131380343</v>
      </c>
      <c r="Y59" s="4">
        <f t="shared" si="6"/>
        <v>0.33116001421121011</v>
      </c>
      <c r="Z59" s="4">
        <f t="shared" si="6"/>
        <v>0.87428962557445444</v>
      </c>
      <c r="AA59" s="4">
        <f t="shared" si="6"/>
        <v>0.99497202951866559</v>
      </c>
      <c r="AB59" s="4">
        <f t="shared" si="6"/>
        <v>0.44869800377261276</v>
      </c>
      <c r="AC59" s="4">
        <f t="shared" si="6"/>
        <v>0.37932776223596476</v>
      </c>
      <c r="AD59" s="4">
        <f t="shared" si="6"/>
        <v>0.6895585675640088</v>
      </c>
      <c r="AE59" s="4">
        <f t="shared" si="6"/>
        <v>0.29730652255527468</v>
      </c>
      <c r="AF59" s="4">
        <f t="shared" si="6"/>
        <v>0.44735374983142828</v>
      </c>
      <c r="AG59" s="4">
        <f t="shared" si="6"/>
        <v>0.91011103284421235</v>
      </c>
      <c r="AH59" s="4">
        <f t="shared" si="6"/>
        <v>0.53191284769040981</v>
      </c>
    </row>
    <row r="60" spans="3:34" x14ac:dyDescent="0.25">
      <c r="C60" t="s">
        <v>152</v>
      </c>
      <c r="D60" s="4">
        <f t="shared" ref="D60:AH60" si="7">COMBIN(6,3)*D26^4*(1-D26)^3+COMBIN(3,3)*D26^4+COMBIN(4,3)*D26^4*(1-D26)^1+COMBIN(5,3)*D26^4*(1-D26)^2</f>
        <v>0.33370357732220424</v>
      </c>
      <c r="E60" s="4">
        <f t="shared" si="7"/>
        <v>0.58389505653361384</v>
      </c>
      <c r="F60" s="4">
        <f t="shared" si="7"/>
        <v>0.36419841481750403</v>
      </c>
      <c r="G60" s="4">
        <f t="shared" si="7"/>
        <v>0.3285666070633847</v>
      </c>
      <c r="H60" s="4">
        <f t="shared" si="7"/>
        <v>0.22657292913316898</v>
      </c>
      <c r="I60" s="4">
        <f t="shared" si="7"/>
        <v>0.5</v>
      </c>
      <c r="J60" s="4">
        <f t="shared" si="7"/>
        <v>0.1936480687881908</v>
      </c>
      <c r="K60" s="4" t="e">
        <f t="shared" si="7"/>
        <v>#N/A</v>
      </c>
      <c r="L60" s="4">
        <f t="shared" si="7"/>
        <v>0.37920531987138972</v>
      </c>
      <c r="M60" s="4">
        <f t="shared" si="7"/>
        <v>0.519181209283198</v>
      </c>
      <c r="N60" s="4">
        <f t="shared" si="7"/>
        <v>0.14293643568613215</v>
      </c>
      <c r="O60" s="4">
        <f t="shared" si="7"/>
        <v>0.14638148207257751</v>
      </c>
      <c r="P60" s="4">
        <f t="shared" si="7"/>
        <v>0.16172904286645184</v>
      </c>
      <c r="Q60" s="4">
        <f t="shared" si="7"/>
        <v>9.9796066612293677E-2</v>
      </c>
      <c r="R60" s="4">
        <f t="shared" si="7"/>
        <v>0.63757682435853924</v>
      </c>
      <c r="S60" s="4">
        <f t="shared" si="7"/>
        <v>0.21439418663150092</v>
      </c>
      <c r="T60" s="4">
        <f t="shared" si="7"/>
        <v>0.15399263657559037</v>
      </c>
      <c r="U60" s="4">
        <f t="shared" si="7"/>
        <v>0.85747522585914571</v>
      </c>
      <c r="V60" s="4">
        <f t="shared" si="7"/>
        <v>0.18914031065091227</v>
      </c>
      <c r="W60" s="4">
        <f t="shared" si="7"/>
        <v>0.39197709619869586</v>
      </c>
      <c r="X60" s="4">
        <f t="shared" si="7"/>
        <v>0.33417593836281057</v>
      </c>
      <c r="Y60" s="4">
        <f t="shared" si="7"/>
        <v>0.11876150940770928</v>
      </c>
      <c r="Z60" s="4">
        <f t="shared" si="7"/>
        <v>0.6560765484501131</v>
      </c>
      <c r="AA60" s="4">
        <f t="shared" si="7"/>
        <v>0.96895384734805445</v>
      </c>
      <c r="AB60" s="4">
        <f t="shared" si="7"/>
        <v>0.18997212084662818</v>
      </c>
      <c r="AC60" s="4">
        <f t="shared" si="7"/>
        <v>0.14444721555591597</v>
      </c>
      <c r="AD60" s="4">
        <f t="shared" si="7"/>
        <v>0.39932752364931323</v>
      </c>
      <c r="AE60" s="4">
        <f t="shared" si="7"/>
        <v>0.10119598995882328</v>
      </c>
      <c r="AF60" s="4">
        <f t="shared" si="7"/>
        <v>0.18906121896993985</v>
      </c>
      <c r="AG60" s="4">
        <f t="shared" si="7"/>
        <v>0.72584685751235578</v>
      </c>
      <c r="AH60" s="4">
        <f t="shared" si="7"/>
        <v>0.25125246819773256</v>
      </c>
    </row>
    <row r="61" spans="3:34" x14ac:dyDescent="0.25">
      <c r="C61" t="s">
        <v>159</v>
      </c>
      <c r="D61" s="4">
        <f t="shared" ref="D61:AH61" si="8">COMBIN(6,3)*D27^4*(1-D27)^3+COMBIN(3,3)*D27^4+COMBIN(4,3)*D27^4*(1-D27)^1+COMBIN(5,3)*D27^4*(1-D27)^2</f>
        <v>0.66855312040161741</v>
      </c>
      <c r="E61" s="4">
        <f t="shared" si="8"/>
        <v>0.85844241653512698</v>
      </c>
      <c r="F61" s="4">
        <f t="shared" si="8"/>
        <v>0.69802236665597606</v>
      </c>
      <c r="G61" s="4">
        <f t="shared" si="8"/>
        <v>0.66336646023792012</v>
      </c>
      <c r="H61" s="4">
        <f t="shared" si="8"/>
        <v>0.54591263601984974</v>
      </c>
      <c r="I61" s="4">
        <f t="shared" si="8"/>
        <v>0.80635193121180926</v>
      </c>
      <c r="J61" s="4">
        <f t="shared" si="8"/>
        <v>0.5</v>
      </c>
      <c r="K61" s="4" t="e">
        <f t="shared" si="8"/>
        <v>#N/A</v>
      </c>
      <c r="L61" s="4">
        <f t="shared" si="8"/>
        <v>0.71174252100241442</v>
      </c>
      <c r="M61" s="4">
        <f t="shared" si="8"/>
        <v>0.81913503441402258</v>
      </c>
      <c r="N61" s="4">
        <f t="shared" si="8"/>
        <v>0.41854068286544399</v>
      </c>
      <c r="O61" s="4">
        <f t="shared" si="8"/>
        <v>0.42456886010052775</v>
      </c>
      <c r="P61" s="4">
        <f t="shared" si="8"/>
        <v>0.45047883119398457</v>
      </c>
      <c r="Q61" s="4">
        <f t="shared" si="8"/>
        <v>0.33882804478066875</v>
      </c>
      <c r="R61" s="4">
        <f t="shared" si="8"/>
        <v>0.88698357616516399</v>
      </c>
      <c r="S61" s="4">
        <f t="shared" si="8"/>
        <v>0.52947743581182394</v>
      </c>
      <c r="T61" s="4">
        <f t="shared" si="8"/>
        <v>0.43760551146773413</v>
      </c>
      <c r="U61" s="4">
        <f t="shared" si="8"/>
        <v>0.97166096216109854</v>
      </c>
      <c r="V61" s="4">
        <f t="shared" si="8"/>
        <v>0.49332939571992207</v>
      </c>
      <c r="W61" s="4">
        <f t="shared" si="8"/>
        <v>0.7224023975413848</v>
      </c>
      <c r="X61" s="4">
        <f t="shared" si="8"/>
        <v>0.66900757547418155</v>
      </c>
      <c r="Y61" s="4">
        <f t="shared" si="8"/>
        <v>0.37376788277461387</v>
      </c>
      <c r="Z61" s="4">
        <f t="shared" si="8"/>
        <v>0.89603614821922395</v>
      </c>
      <c r="AA61" s="4">
        <f t="shared" si="8"/>
        <v>0.99626546725807663</v>
      </c>
      <c r="AB61" s="4">
        <f t="shared" si="8"/>
        <v>0.49456781463537658</v>
      </c>
      <c r="AC61" s="4">
        <f t="shared" si="8"/>
        <v>0.42396960666159911</v>
      </c>
      <c r="AD61" s="4">
        <f t="shared" si="8"/>
        <v>0.72868256057998992</v>
      </c>
      <c r="AE61" s="4">
        <f t="shared" si="8"/>
        <v>0.33810481731999686</v>
      </c>
      <c r="AF61" s="4">
        <f t="shared" si="8"/>
        <v>0.49321146364501911</v>
      </c>
      <c r="AG61" s="4">
        <f t="shared" si="8"/>
        <v>0.92682809289404466</v>
      </c>
      <c r="AH61" s="4">
        <f t="shared" si="8"/>
        <v>0.57744533868256664</v>
      </c>
    </row>
    <row r="62" spans="3:34" x14ac:dyDescent="0.25">
      <c r="C62" t="s">
        <v>155</v>
      </c>
      <c r="D62" s="4">
        <f t="shared" ref="D62:AH62" si="9">COMBIN(6,3)*D28^4*(1-D28)^3+COMBIN(3,3)*D28^4+COMBIN(4,3)*D28^4*(1-D28)^1+COMBIN(5,3)*D28^4*(1-D28)^2</f>
        <v>0.451188203364496</v>
      </c>
      <c r="E62" s="4">
        <f t="shared" si="9"/>
        <v>0.69789524820610005</v>
      </c>
      <c r="F62" s="4">
        <f t="shared" si="9"/>
        <v>0.48411563822516157</v>
      </c>
      <c r="G62" s="4">
        <f t="shared" si="9"/>
        <v>0.44555310760263733</v>
      </c>
      <c r="H62" s="4">
        <f t="shared" si="9"/>
        <v>0.32879504963766232</v>
      </c>
      <c r="I62" s="4">
        <f t="shared" si="9"/>
        <v>0.62079468012861028</v>
      </c>
      <c r="J62" s="4">
        <f t="shared" si="9"/>
        <v>0.28825747899758569</v>
      </c>
      <c r="K62" s="4" t="e">
        <f t="shared" si="9"/>
        <v>#N/A</v>
      </c>
      <c r="L62" s="4">
        <f t="shared" si="9"/>
        <v>0.5</v>
      </c>
      <c r="M62" s="4">
        <f t="shared" si="9"/>
        <v>0.63889197440637557</v>
      </c>
      <c r="N62" s="4">
        <f t="shared" si="9"/>
        <v>0.22264647303399998</v>
      </c>
      <c r="O62" s="4">
        <f t="shared" si="9"/>
        <v>0.22724046607559492</v>
      </c>
      <c r="P62" s="4">
        <f t="shared" si="9"/>
        <v>0.24745186779258879</v>
      </c>
      <c r="Q62" s="4">
        <f t="shared" si="9"/>
        <v>0.16439285195289358</v>
      </c>
      <c r="R62" s="4">
        <f t="shared" si="9"/>
        <v>0.7445027699831599</v>
      </c>
      <c r="S62" s="4">
        <f t="shared" si="9"/>
        <v>0.31397220917477953</v>
      </c>
      <c r="T62" s="4">
        <f t="shared" si="9"/>
        <v>0.23731470592162998</v>
      </c>
      <c r="U62" s="4">
        <f t="shared" si="9"/>
        <v>0.91352882532635182</v>
      </c>
      <c r="V62" s="4">
        <f t="shared" si="9"/>
        <v>0.28258911010442933</v>
      </c>
      <c r="W62" s="4">
        <f t="shared" si="9"/>
        <v>0.51352448216680258</v>
      </c>
      <c r="X62" s="4">
        <f t="shared" si="9"/>
        <v>0.45214843483970824</v>
      </c>
      <c r="Y62" s="4">
        <f t="shared" si="9"/>
        <v>0.18977082474262985</v>
      </c>
      <c r="Z62" s="4">
        <f t="shared" si="9"/>
        <v>0.76008273411547533</v>
      </c>
      <c r="AA62" s="4">
        <f t="shared" si="9"/>
        <v>0.98373820817677771</v>
      </c>
      <c r="AB62" s="4">
        <f t="shared" si="9"/>
        <v>0.28363733123163853</v>
      </c>
      <c r="AC62" s="4">
        <f t="shared" si="9"/>
        <v>0.22584481066165135</v>
      </c>
      <c r="AD62" s="4">
        <f t="shared" si="9"/>
        <v>0.52111201184079903</v>
      </c>
      <c r="AE62" s="4">
        <f t="shared" si="9"/>
        <v>0.16511303607235964</v>
      </c>
      <c r="AF62" s="4">
        <f t="shared" si="9"/>
        <v>0.28248938802615503</v>
      </c>
      <c r="AG62" s="4">
        <f t="shared" si="9"/>
        <v>0.81663179757250359</v>
      </c>
      <c r="AH62" s="4">
        <f t="shared" si="9"/>
        <v>0.35825293609005193</v>
      </c>
    </row>
    <row r="63" spans="3:34" x14ac:dyDescent="0.25">
      <c r="C63" t="s">
        <v>148</v>
      </c>
      <c r="D63" s="4">
        <f t="shared" ref="D63:AH63" si="10">COMBIN(6,3)*D29^4*(1-D29)^3+COMBIN(3,3)*D29^4+COMBIN(4,3)*D29^4*(1-D29)^1+COMBIN(5,3)*D29^4*(1-D29)^2</f>
        <v>0.31650576954749843</v>
      </c>
      <c r="E63" s="4">
        <f t="shared" si="10"/>
        <v>0.56506479762080342</v>
      </c>
      <c r="F63" s="4">
        <f t="shared" si="10"/>
        <v>0.34636751334617549</v>
      </c>
      <c r="G63" s="4">
        <f t="shared" si="10"/>
        <v>0.31148768944264049</v>
      </c>
      <c r="H63" s="4">
        <f t="shared" si="10"/>
        <v>0.21246014194225032</v>
      </c>
      <c r="I63" s="4">
        <f t="shared" si="10"/>
        <v>0.480818790716802</v>
      </c>
      <c r="J63" s="4">
        <f t="shared" si="10"/>
        <v>0.18086496558597764</v>
      </c>
      <c r="K63" s="4" t="e">
        <f t="shared" si="10"/>
        <v>#N/A</v>
      </c>
      <c r="L63" s="4">
        <f t="shared" si="10"/>
        <v>0.3611080255936247</v>
      </c>
      <c r="M63" s="4">
        <f t="shared" si="10"/>
        <v>0.5</v>
      </c>
      <c r="N63" s="4">
        <f t="shared" si="10"/>
        <v>0.13256521602163784</v>
      </c>
      <c r="O63" s="4">
        <f t="shared" si="10"/>
        <v>0.135831362079992</v>
      </c>
      <c r="P63" s="4">
        <f t="shared" si="10"/>
        <v>0.15040949139987636</v>
      </c>
      <c r="Q63" s="4">
        <f t="shared" si="10"/>
        <v>9.1715383103473422E-2</v>
      </c>
      <c r="R63" s="4">
        <f t="shared" si="10"/>
        <v>0.6194572209251421</v>
      </c>
      <c r="S63" s="4">
        <f t="shared" si="10"/>
        <v>0.20075281256028565</v>
      </c>
      <c r="T63" s="4">
        <f t="shared" si="10"/>
        <v>0.14305538482246855</v>
      </c>
      <c r="U63" s="4">
        <f t="shared" si="10"/>
        <v>0.84674819049694339</v>
      </c>
      <c r="V63" s="4">
        <f t="shared" si="10"/>
        <v>0.1765531583626565</v>
      </c>
      <c r="W63" s="4">
        <f t="shared" si="10"/>
        <v>0.37360392383412461</v>
      </c>
      <c r="X63" s="4">
        <f t="shared" si="10"/>
        <v>0.31685978445441498</v>
      </c>
      <c r="Y63" s="4">
        <f t="shared" si="10"/>
        <v>0.10971303765287536</v>
      </c>
      <c r="Z63" s="4">
        <f t="shared" si="10"/>
        <v>0.63829273459543989</v>
      </c>
      <c r="AA63" s="4">
        <f t="shared" si="10"/>
        <v>0.96579726435457425</v>
      </c>
      <c r="AB63" s="4">
        <f t="shared" si="10"/>
        <v>0.17734855084834233</v>
      </c>
      <c r="AC63" s="4">
        <f t="shared" si="10"/>
        <v>0.13383344697690461</v>
      </c>
      <c r="AD63" s="4">
        <f t="shared" si="10"/>
        <v>0.38085159133723728</v>
      </c>
      <c r="AE63" s="4">
        <f t="shared" si="10"/>
        <v>9.318763227524432E-2</v>
      </c>
      <c r="AF63" s="4">
        <f t="shared" si="10"/>
        <v>0.17647753554605392</v>
      </c>
      <c r="AG63" s="4">
        <f t="shared" si="10"/>
        <v>0.70976893498214955</v>
      </c>
      <c r="AH63" s="4">
        <f t="shared" si="10"/>
        <v>0.23625519022895963</v>
      </c>
    </row>
    <row r="64" spans="3:34" x14ac:dyDescent="0.25">
      <c r="C64" t="s">
        <v>173</v>
      </c>
      <c r="D64" s="4">
        <f t="shared" ref="D64:AH64" si="11">COMBIN(6,3)*D30^4*(1-D30)^3+COMBIN(3,3)*D30^4+COMBIN(4,3)*D30^4*(1-D30)^1+COMBIN(5,3)*D30^4*(1-D30)^2</f>
        <v>0.73933013096919287</v>
      </c>
      <c r="E64" s="4">
        <f t="shared" si="11"/>
        <v>0.89867842545814203</v>
      </c>
      <c r="F64" s="4">
        <f t="shared" si="11"/>
        <v>0.76538244353547924</v>
      </c>
      <c r="G64" s="4">
        <f t="shared" si="11"/>
        <v>0.73469723688499144</v>
      </c>
      <c r="H64" s="4">
        <f t="shared" si="11"/>
        <v>0.62579068194660148</v>
      </c>
      <c r="I64" s="4">
        <f t="shared" si="11"/>
        <v>0.85706356431386788</v>
      </c>
      <c r="J64" s="4">
        <f t="shared" si="11"/>
        <v>0.58145931713455612</v>
      </c>
      <c r="K64" s="4" t="e">
        <f t="shared" si="11"/>
        <v>#N/A</v>
      </c>
      <c r="L64" s="4">
        <f t="shared" si="11"/>
        <v>0.77735352696600013</v>
      </c>
      <c r="M64" s="4">
        <f t="shared" si="11"/>
        <v>0.86743478397836227</v>
      </c>
      <c r="N64" s="4">
        <f t="shared" si="11"/>
        <v>0.5</v>
      </c>
      <c r="O64" s="4">
        <f t="shared" si="11"/>
        <v>0.50615496307295127</v>
      </c>
      <c r="P64" s="4">
        <f t="shared" si="11"/>
        <v>0.53237577207697029</v>
      </c>
      <c r="Q64" s="4">
        <f t="shared" si="11"/>
        <v>0.41693208998866937</v>
      </c>
      <c r="R64" s="4">
        <f t="shared" si="11"/>
        <v>0.92070720525194738</v>
      </c>
      <c r="S64" s="4">
        <f t="shared" si="11"/>
        <v>0.61004950970461069</v>
      </c>
      <c r="T64" s="4">
        <f t="shared" si="11"/>
        <v>0.51939519886021546</v>
      </c>
      <c r="U64" s="4">
        <f t="shared" si="11"/>
        <v>0.98194077453754647</v>
      </c>
      <c r="V64" s="4">
        <f t="shared" si="11"/>
        <v>0.57492519671518028</v>
      </c>
      <c r="W64" s="4">
        <f t="shared" si="11"/>
        <v>0.78598661420852789</v>
      </c>
      <c r="X64" s="4">
        <f t="shared" si="11"/>
        <v>0.73922766119995398</v>
      </c>
      <c r="Y64" s="4">
        <f t="shared" si="11"/>
        <v>0.45362432303313915</v>
      </c>
      <c r="Z64" s="4">
        <f t="shared" si="11"/>
        <v>0.92756847723374203</v>
      </c>
      <c r="AA64" s="4">
        <f t="shared" si="11"/>
        <v>0.99784084563229436</v>
      </c>
      <c r="AB64" s="4">
        <f t="shared" si="11"/>
        <v>0.57614008318379795</v>
      </c>
      <c r="AC64" s="4">
        <f t="shared" si="11"/>
        <v>0.50561767598150165</v>
      </c>
      <c r="AD64" s="4">
        <f t="shared" si="11"/>
        <v>0.79138718224908944</v>
      </c>
      <c r="AE64" s="4">
        <f t="shared" si="11"/>
        <v>0.41582032829599785</v>
      </c>
      <c r="AF64" s="4">
        <f t="shared" si="11"/>
        <v>0.5748094625774488</v>
      </c>
      <c r="AG64" s="4">
        <f t="shared" si="11"/>
        <v>0.95040373919408505</v>
      </c>
      <c r="AH64" s="4">
        <f t="shared" si="11"/>
        <v>0.65559658537217846</v>
      </c>
    </row>
    <row r="65" spans="3:34" x14ac:dyDescent="0.25">
      <c r="C65" t="s">
        <v>156</v>
      </c>
      <c r="D65" s="4">
        <f t="shared" ref="D65:AH65" si="12">COMBIN(6,3)*D31^4*(1-D31)^3+COMBIN(3,3)*D31^4+COMBIN(4,3)*D31^4*(1-D31)^1+COMBIN(5,3)*D31^4*(1-D31)^2</f>
        <v>0.73431288486342061</v>
      </c>
      <c r="E65" s="4">
        <f t="shared" si="12"/>
        <v>0.89599904143500331</v>
      </c>
      <c r="F65" s="4">
        <f t="shared" si="12"/>
        <v>0.7606471172061906</v>
      </c>
      <c r="G65" s="4">
        <f t="shared" si="12"/>
        <v>0.72963344130344354</v>
      </c>
      <c r="H65" s="4">
        <f t="shared" si="12"/>
        <v>0.61994824419123495</v>
      </c>
      <c r="I65" s="4">
        <f t="shared" si="12"/>
        <v>0.85361851792742249</v>
      </c>
      <c r="J65" s="4">
        <f t="shared" si="12"/>
        <v>0.57543113989947237</v>
      </c>
      <c r="K65" s="4" t="e">
        <f t="shared" si="12"/>
        <v>#N/A</v>
      </c>
      <c r="L65" s="4">
        <f t="shared" si="12"/>
        <v>0.77275953392440511</v>
      </c>
      <c r="M65" s="4">
        <f t="shared" si="12"/>
        <v>0.86416863792000809</v>
      </c>
      <c r="N65" s="4">
        <f t="shared" si="12"/>
        <v>0.4938450369270484</v>
      </c>
      <c r="O65" s="4">
        <f t="shared" si="12"/>
        <v>0.5</v>
      </c>
      <c r="P65" s="4">
        <f t="shared" si="12"/>
        <v>0.52623829805811051</v>
      </c>
      <c r="Q65" s="4">
        <f t="shared" si="12"/>
        <v>0.41091318700565066</v>
      </c>
      <c r="R65" s="4">
        <f t="shared" si="12"/>
        <v>0.91848996248244097</v>
      </c>
      <c r="S65" s="4">
        <f t="shared" si="12"/>
        <v>0.6041315388565327</v>
      </c>
      <c r="T65" s="4">
        <f t="shared" si="12"/>
        <v>0.51324552347980656</v>
      </c>
      <c r="U65" s="4">
        <f t="shared" si="12"/>
        <v>0.98130384673570403</v>
      </c>
      <c r="V65" s="4">
        <f t="shared" si="12"/>
        <v>0.5688766720676206</v>
      </c>
      <c r="W65" s="4">
        <f t="shared" si="12"/>
        <v>0.78155171197930318</v>
      </c>
      <c r="X65" s="4">
        <f t="shared" si="12"/>
        <v>0.7342553253858779</v>
      </c>
      <c r="Y65" s="4">
        <f t="shared" si="12"/>
        <v>0.44751950031378818</v>
      </c>
      <c r="Z65" s="4">
        <f t="shared" si="12"/>
        <v>0.92550450130857809</v>
      </c>
      <c r="AA65" s="4">
        <f t="shared" si="12"/>
        <v>0.99774852056469909</v>
      </c>
      <c r="AB65" s="4">
        <f t="shared" si="12"/>
        <v>0.57009520620733922</v>
      </c>
      <c r="AC65" s="4">
        <f t="shared" si="12"/>
        <v>0.49946568508828726</v>
      </c>
      <c r="AD65" s="4">
        <f t="shared" si="12"/>
        <v>0.78702169830032975</v>
      </c>
      <c r="AE65" s="4">
        <f t="shared" si="12"/>
        <v>0.40982209567707018</v>
      </c>
      <c r="AF65" s="4">
        <f t="shared" si="12"/>
        <v>0.56876059366679055</v>
      </c>
      <c r="AG65" s="4">
        <f t="shared" si="12"/>
        <v>0.94888695864030104</v>
      </c>
      <c r="AH65" s="4">
        <f t="shared" si="12"/>
        <v>0.64992655959411061</v>
      </c>
    </row>
    <row r="66" spans="3:34" x14ac:dyDescent="0.25">
      <c r="C66" t="s">
        <v>131</v>
      </c>
      <c r="D66" s="4">
        <f t="shared" ref="D66:AH66" si="13">COMBIN(6,3)*D32^4*(1-D32)^3+COMBIN(3,3)*D32^4+COMBIN(4,3)*D32^4*(1-D32)^1+COMBIN(5,3)*D32^4*(1-D32)^2</f>
        <v>0.71235284988453873</v>
      </c>
      <c r="E66" s="4">
        <f t="shared" si="13"/>
        <v>0.88396429298666002</v>
      </c>
      <c r="F66" s="4">
        <f t="shared" si="13"/>
        <v>0.73984856636750163</v>
      </c>
      <c r="G66" s="4">
        <f t="shared" si="13"/>
        <v>0.70748303858601802</v>
      </c>
      <c r="H66" s="4">
        <f t="shared" si="13"/>
        <v>0.59471172009200579</v>
      </c>
      <c r="I66" s="4">
        <f t="shared" si="13"/>
        <v>0.83827095713354804</v>
      </c>
      <c r="J66" s="4">
        <f t="shared" si="13"/>
        <v>0.54952116880601554</v>
      </c>
      <c r="K66" s="4" t="e">
        <f t="shared" si="13"/>
        <v>#N/A</v>
      </c>
      <c r="L66" s="4">
        <f t="shared" si="13"/>
        <v>0.75254813220741101</v>
      </c>
      <c r="M66" s="4">
        <f t="shared" si="13"/>
        <v>0.84959050860012375</v>
      </c>
      <c r="N66" s="4">
        <f t="shared" si="13"/>
        <v>0.46762422792302949</v>
      </c>
      <c r="O66" s="4">
        <f t="shared" si="13"/>
        <v>0.47376170194188982</v>
      </c>
      <c r="P66" s="4">
        <f t="shared" si="13"/>
        <v>0.5</v>
      </c>
      <c r="Q66" s="4">
        <f t="shared" si="13"/>
        <v>0.38548829332441209</v>
      </c>
      <c r="R66" s="4">
        <f t="shared" si="13"/>
        <v>0.90847898350289769</v>
      </c>
      <c r="S66" s="4">
        <f t="shared" si="13"/>
        <v>0.57861412614553076</v>
      </c>
      <c r="T66" s="4">
        <f t="shared" si="13"/>
        <v>0.48699210619958555</v>
      </c>
      <c r="U66" s="4">
        <f t="shared" si="13"/>
        <v>0.97835842214527891</v>
      </c>
      <c r="V66" s="4">
        <f t="shared" si="13"/>
        <v>0.54289798997605687</v>
      </c>
      <c r="W66" s="4">
        <f t="shared" si="13"/>
        <v>0.76200970355095821</v>
      </c>
      <c r="X66" s="4">
        <f t="shared" si="13"/>
        <v>0.71248267570630119</v>
      </c>
      <c r="Y66" s="4">
        <f t="shared" si="13"/>
        <v>0.42164270479020793</v>
      </c>
      <c r="Z66" s="4">
        <f t="shared" si="13"/>
        <v>0.91616866288174004</v>
      </c>
      <c r="AA66" s="4">
        <f t="shared" si="13"/>
        <v>0.99731201414705084</v>
      </c>
      <c r="AB66" s="4">
        <f t="shared" si="13"/>
        <v>0.54412871298581122</v>
      </c>
      <c r="AC66" s="4">
        <f t="shared" si="13"/>
        <v>0.47322603105813654</v>
      </c>
      <c r="AD66" s="4">
        <f t="shared" si="13"/>
        <v>0.76777082486436399</v>
      </c>
      <c r="AE66" s="4">
        <f t="shared" si="13"/>
        <v>0.38450185850979979</v>
      </c>
      <c r="AF66" s="4">
        <f t="shared" si="13"/>
        <v>0.54278076437890233</v>
      </c>
      <c r="AG66" s="4">
        <f t="shared" si="13"/>
        <v>0.94197808097912428</v>
      </c>
      <c r="AH66" s="4">
        <f t="shared" si="13"/>
        <v>0.62535080835048884</v>
      </c>
    </row>
    <row r="67" spans="3:34" x14ac:dyDescent="0.25">
      <c r="C67" t="s">
        <v>154</v>
      </c>
      <c r="D67" s="4">
        <f t="shared" ref="D67:AH67" si="14">COMBIN(6,3)*D33^4*(1-D33)^3+COMBIN(3,3)*D33^4+COMBIN(4,3)*D33^4*(1-D33)^1+COMBIN(5,3)*D33^4*(1-D33)^2</f>
        <v>0.80340886466738326</v>
      </c>
      <c r="E67" s="4">
        <f t="shared" si="14"/>
        <v>0.93210025618661208</v>
      </c>
      <c r="F67" s="4">
        <f t="shared" si="14"/>
        <v>0.82556024701769193</v>
      </c>
      <c r="G67" s="4">
        <f t="shared" si="14"/>
        <v>0.79942946974656381</v>
      </c>
      <c r="H67" s="4">
        <f t="shared" si="14"/>
        <v>0.70227436470046523</v>
      </c>
      <c r="I67" s="4">
        <f t="shared" si="14"/>
        <v>0.90020393338770632</v>
      </c>
      <c r="J67" s="4">
        <f t="shared" si="14"/>
        <v>0.66117195521933114</v>
      </c>
      <c r="K67" s="4" t="e">
        <f t="shared" si="14"/>
        <v>#N/A</v>
      </c>
      <c r="L67" s="4">
        <f t="shared" si="14"/>
        <v>0.83560714804710656</v>
      </c>
      <c r="M67" s="4">
        <f t="shared" si="14"/>
        <v>0.90828461689652684</v>
      </c>
      <c r="N67" s="4">
        <f t="shared" si="14"/>
        <v>0.58306791001133074</v>
      </c>
      <c r="O67" s="4">
        <f t="shared" si="14"/>
        <v>0.5890868129943494</v>
      </c>
      <c r="P67" s="4">
        <f t="shared" si="14"/>
        <v>0.61451170667558808</v>
      </c>
      <c r="Q67" s="4">
        <f t="shared" si="14"/>
        <v>0.5</v>
      </c>
      <c r="R67" s="4">
        <f t="shared" si="14"/>
        <v>0.94835367219393052</v>
      </c>
      <c r="S67" s="4">
        <f t="shared" si="14"/>
        <v>0.68779287729312499</v>
      </c>
      <c r="T67" s="4">
        <f t="shared" si="14"/>
        <v>0.60196881847792882</v>
      </c>
      <c r="U67" s="4">
        <f t="shared" si="14"/>
        <v>0.99009750778039884</v>
      </c>
      <c r="V67" s="4">
        <f t="shared" si="14"/>
        <v>0.65503029810982794</v>
      </c>
      <c r="W67" s="4">
        <f t="shared" si="14"/>
        <v>0.84231442306396476</v>
      </c>
      <c r="X67" s="4">
        <f t="shared" si="14"/>
        <v>0.80287046572553045</v>
      </c>
      <c r="Y67" s="4">
        <f t="shared" si="14"/>
        <v>0.53708817070976911</v>
      </c>
      <c r="Z67" s="4">
        <f t="shared" si="14"/>
        <v>0.95331135192788297</v>
      </c>
      <c r="AA67" s="4">
        <f t="shared" si="14"/>
        <v>0.99913022047289568</v>
      </c>
      <c r="AB67" s="4">
        <f t="shared" si="14"/>
        <v>0.65617383556745912</v>
      </c>
      <c r="AC67" s="4">
        <f t="shared" si="14"/>
        <v>0.58845755170652536</v>
      </c>
      <c r="AD67" s="4">
        <f t="shared" si="14"/>
        <v>0.84678832449918173</v>
      </c>
      <c r="AE67" s="4">
        <f t="shared" si="14"/>
        <v>0.49876738171936297</v>
      </c>
      <c r="AF67" s="4">
        <f t="shared" si="14"/>
        <v>0.65492132227184974</v>
      </c>
      <c r="AG67" s="4">
        <f t="shared" si="14"/>
        <v>0.96938679596344546</v>
      </c>
      <c r="AH67" s="4">
        <f t="shared" si="14"/>
        <v>0.72935170698657692</v>
      </c>
    </row>
    <row r="68" spans="3:34" x14ac:dyDescent="0.25">
      <c r="C68" t="s">
        <v>153</v>
      </c>
      <c r="D68" s="4">
        <f t="shared" ref="D68:AH68" si="15">COMBIN(6,3)*D34^4*(1-D34)^3+COMBIN(3,3)*D34^4+COMBIN(4,3)*D34^4*(1-D34)^1+COMBIN(5,3)*D34^4*(1-D34)^2</f>
        <v>0.21829563352238524</v>
      </c>
      <c r="E68" s="4">
        <f t="shared" si="15"/>
        <v>0.44414944579817323</v>
      </c>
      <c r="F68" s="4">
        <f t="shared" si="15"/>
        <v>0.24304604360611515</v>
      </c>
      <c r="G68" s="4">
        <f t="shared" si="15"/>
        <v>0.21419869182306026</v>
      </c>
      <c r="H68" s="4">
        <f t="shared" si="15"/>
        <v>0.1361077015241354</v>
      </c>
      <c r="I68" s="4">
        <f t="shared" si="15"/>
        <v>0.36242317564146087</v>
      </c>
      <c r="J68" s="4">
        <f t="shared" si="15"/>
        <v>0.1130164238348359</v>
      </c>
      <c r="K68" s="4" t="e">
        <f t="shared" si="15"/>
        <v>#N/A</v>
      </c>
      <c r="L68" s="4">
        <f t="shared" si="15"/>
        <v>0.25549723001684038</v>
      </c>
      <c r="M68" s="4">
        <f t="shared" si="15"/>
        <v>0.38054277907485784</v>
      </c>
      <c r="N68" s="4">
        <f t="shared" si="15"/>
        <v>7.9292794748052592E-2</v>
      </c>
      <c r="O68" s="4">
        <f t="shared" si="15"/>
        <v>8.1510037517558948E-2</v>
      </c>
      <c r="P68" s="4">
        <f t="shared" si="15"/>
        <v>9.1521016497102259E-2</v>
      </c>
      <c r="Q68" s="4">
        <f t="shared" si="15"/>
        <v>5.1646327806069342E-2</v>
      </c>
      <c r="R68" s="4">
        <f t="shared" si="15"/>
        <v>0.5</v>
      </c>
      <c r="S68" s="4">
        <f t="shared" si="15"/>
        <v>0.1274598953551237</v>
      </c>
      <c r="T68" s="4">
        <f t="shared" si="15"/>
        <v>8.6447687887227329E-2</v>
      </c>
      <c r="U68" s="4">
        <f t="shared" si="15"/>
        <v>0.76596390437362638</v>
      </c>
      <c r="V68" s="4">
        <f t="shared" si="15"/>
        <v>0.10992672927230485</v>
      </c>
      <c r="W68" s="4">
        <f t="shared" si="15"/>
        <v>0.26551462521877761</v>
      </c>
      <c r="X68" s="4">
        <f t="shared" si="15"/>
        <v>0.21778177777496657</v>
      </c>
      <c r="Y68" s="4">
        <f t="shared" si="15"/>
        <v>6.4052916148997094E-2</v>
      </c>
      <c r="Z68" s="4">
        <f t="shared" si="15"/>
        <v>0.5199452027396847</v>
      </c>
      <c r="AA68" s="4">
        <f t="shared" si="15"/>
        <v>0.93866503165689497</v>
      </c>
      <c r="AB68" s="4">
        <f t="shared" si="15"/>
        <v>0.1104955476174975</v>
      </c>
      <c r="AC68" s="4">
        <f t="shared" si="15"/>
        <v>7.9297479011285019E-2</v>
      </c>
      <c r="AD68" s="4">
        <f t="shared" si="15"/>
        <v>0.27177942671959771</v>
      </c>
      <c r="AE68" s="4">
        <f t="shared" si="15"/>
        <v>5.33457859433141E-2</v>
      </c>
      <c r="AF68" s="4">
        <f t="shared" si="15"/>
        <v>0.10987267498868727</v>
      </c>
      <c r="AG68" s="4">
        <f t="shared" si="15"/>
        <v>0.59870507069115786</v>
      </c>
      <c r="AH68" s="4">
        <f t="shared" si="15"/>
        <v>0.154008919879453</v>
      </c>
    </row>
    <row r="69" spans="3:34" x14ac:dyDescent="0.25">
      <c r="C69" t="s">
        <v>162</v>
      </c>
      <c r="D69" s="4">
        <f t="shared" ref="D69:AH69" si="16">COMBIN(6,3)*D35^4*(1-D35)^3+COMBIN(3,3)*D35^4+COMBIN(4,3)*D35^4*(1-D35)^1+COMBIN(5,3)*D35^4*(1-D35)^2</f>
        <v>0.64129916056796887</v>
      </c>
      <c r="E69" s="4">
        <f t="shared" si="16"/>
        <v>0.84151386178607457</v>
      </c>
      <c r="F69" s="4">
        <f t="shared" si="16"/>
        <v>0.67177223549999532</v>
      </c>
      <c r="G69" s="4">
        <f t="shared" si="16"/>
        <v>0.63595600171014</v>
      </c>
      <c r="H69" s="4">
        <f t="shared" si="16"/>
        <v>0.5165099633177388</v>
      </c>
      <c r="I69" s="4">
        <f t="shared" si="16"/>
        <v>0.78560581336849922</v>
      </c>
      <c r="J69" s="4">
        <f t="shared" si="16"/>
        <v>0.4705225641881764</v>
      </c>
      <c r="K69" s="4" t="e">
        <f t="shared" si="16"/>
        <v>#N/A</v>
      </c>
      <c r="L69" s="4">
        <f t="shared" si="16"/>
        <v>0.68602779082522047</v>
      </c>
      <c r="M69" s="4">
        <f t="shared" si="16"/>
        <v>0.79924718743971457</v>
      </c>
      <c r="N69" s="4">
        <f t="shared" si="16"/>
        <v>0.3899504902953892</v>
      </c>
      <c r="O69" s="4">
        <f t="shared" si="16"/>
        <v>0.3958684611434673</v>
      </c>
      <c r="P69" s="4">
        <f t="shared" si="16"/>
        <v>0.42138587385446902</v>
      </c>
      <c r="Q69" s="4">
        <f t="shared" si="16"/>
        <v>0.31220712270687517</v>
      </c>
      <c r="R69" s="4">
        <f t="shared" si="16"/>
        <v>0.8725401046448763</v>
      </c>
      <c r="S69" s="4">
        <f t="shared" si="16"/>
        <v>0.5</v>
      </c>
      <c r="T69" s="4">
        <f t="shared" si="16"/>
        <v>0.40869115600866746</v>
      </c>
      <c r="U69" s="4">
        <f t="shared" si="16"/>
        <v>0.9668843536053342</v>
      </c>
      <c r="V69" s="4">
        <f t="shared" si="16"/>
        <v>0.46387572171751601</v>
      </c>
      <c r="W69" s="4">
        <f t="shared" si="16"/>
        <v>0.69733666602270095</v>
      </c>
      <c r="X69" s="4">
        <f t="shared" si="16"/>
        <v>0.64191956003572148</v>
      </c>
      <c r="Y69" s="4">
        <f t="shared" si="16"/>
        <v>0.34622037118355609</v>
      </c>
      <c r="Z69" s="4">
        <f t="shared" si="16"/>
        <v>0.88244746429227294</v>
      </c>
      <c r="AA69" s="4">
        <f t="shared" si="16"/>
        <v>0.99547728847068995</v>
      </c>
      <c r="AB69" s="4">
        <f t="shared" si="16"/>
        <v>0.4651090681206958</v>
      </c>
      <c r="AC69" s="4">
        <f t="shared" si="16"/>
        <v>0.39519592891220634</v>
      </c>
      <c r="AD69" s="4">
        <f t="shared" si="16"/>
        <v>0.70389823209256941</v>
      </c>
      <c r="AE69" s="4">
        <f t="shared" si="16"/>
        <v>0.31167350311126696</v>
      </c>
      <c r="AF69" s="4">
        <f t="shared" si="16"/>
        <v>0.46375828839854843</v>
      </c>
      <c r="AG69" s="4">
        <f t="shared" si="16"/>
        <v>0.91642289736549176</v>
      </c>
      <c r="AH69" s="4">
        <f t="shared" si="16"/>
        <v>0.54833758926373843</v>
      </c>
    </row>
    <row r="70" spans="3:34" x14ac:dyDescent="0.25">
      <c r="C70" t="s">
        <v>132</v>
      </c>
      <c r="D70" s="4">
        <f t="shared" ref="D70:AH70" si="17">COMBIN(6,3)*D36^4*(1-D36)^3+COMBIN(3,3)*D36^4+COMBIN(4,3)*D36^4*(1-D36)^1+COMBIN(5,3)*D36^4*(1-D36)^2</f>
        <v>0.72334421103538626</v>
      </c>
      <c r="E70" s="4">
        <f t="shared" si="17"/>
        <v>0.89005061961983301</v>
      </c>
      <c r="F70" s="4">
        <f t="shared" si="17"/>
        <v>0.75027323218571729</v>
      </c>
      <c r="G70" s="4">
        <f t="shared" si="17"/>
        <v>0.71856698298230026</v>
      </c>
      <c r="H70" s="4">
        <f t="shared" si="17"/>
        <v>0.60727576781861503</v>
      </c>
      <c r="I70" s="4">
        <f t="shared" si="17"/>
        <v>0.84600736342440952</v>
      </c>
      <c r="J70" s="4">
        <f t="shared" si="17"/>
        <v>0.56239448853226603</v>
      </c>
      <c r="K70" s="4" t="e">
        <f t="shared" si="17"/>
        <v>#N/A</v>
      </c>
      <c r="L70" s="4">
        <f t="shared" si="17"/>
        <v>0.76268529407836982</v>
      </c>
      <c r="M70" s="4">
        <f t="shared" si="17"/>
        <v>0.85694461517753151</v>
      </c>
      <c r="N70" s="4">
        <f t="shared" si="17"/>
        <v>0.48060480113978438</v>
      </c>
      <c r="O70" s="4">
        <f t="shared" si="17"/>
        <v>0.48675447652019377</v>
      </c>
      <c r="P70" s="4">
        <f t="shared" si="17"/>
        <v>0.51300789380041434</v>
      </c>
      <c r="Q70" s="4">
        <f t="shared" si="17"/>
        <v>0.3980311815220714</v>
      </c>
      <c r="R70" s="4">
        <f t="shared" si="17"/>
        <v>0.91355231211277244</v>
      </c>
      <c r="S70" s="4">
        <f t="shared" si="17"/>
        <v>0.59130884399133243</v>
      </c>
      <c r="T70" s="4">
        <f t="shared" si="17"/>
        <v>0.5</v>
      </c>
      <c r="U70" s="4">
        <f t="shared" si="17"/>
        <v>0.97986523553455473</v>
      </c>
      <c r="V70" s="4">
        <f t="shared" si="17"/>
        <v>0.55580165654368729</v>
      </c>
      <c r="W70" s="4">
        <f t="shared" si="17"/>
        <v>0.77181736355855501</v>
      </c>
      <c r="X70" s="4">
        <f t="shared" si="17"/>
        <v>0.72338216507398034</v>
      </c>
      <c r="Y70" s="4">
        <f t="shared" si="17"/>
        <v>0.43442661999502746</v>
      </c>
      <c r="Z70" s="4">
        <f t="shared" si="17"/>
        <v>0.92090323945752706</v>
      </c>
      <c r="AA70" s="4">
        <f t="shared" si="17"/>
        <v>0.99753724837724278</v>
      </c>
      <c r="AB70" s="4">
        <f t="shared" si="17"/>
        <v>0.55702702923689462</v>
      </c>
      <c r="AC70" s="4">
        <f t="shared" si="17"/>
        <v>0.48622231835795154</v>
      </c>
      <c r="AD70" s="4">
        <f t="shared" si="17"/>
        <v>0.77743534927621705</v>
      </c>
      <c r="AE70" s="4">
        <f t="shared" si="17"/>
        <v>0.3969896289657443</v>
      </c>
      <c r="AF70" s="4">
        <f t="shared" si="17"/>
        <v>0.55568493368781624</v>
      </c>
      <c r="AG70" s="4">
        <f t="shared" si="17"/>
        <v>0.94549154928409063</v>
      </c>
      <c r="AH70" s="4">
        <f t="shared" si="17"/>
        <v>0.63760289752263599</v>
      </c>
    </row>
    <row r="71" spans="3:34" x14ac:dyDescent="0.25">
      <c r="C71" t="s">
        <v>128</v>
      </c>
      <c r="D71" s="4">
        <f t="shared" ref="D71:AH71" si="18">COMBIN(6,3)*D37^4*(1-D37)^3+COMBIN(3,3)*D37^4+COMBIN(4,3)*D37^4*(1-D37)^1+COMBIN(5,3)*D37^4*(1-D37)^2</f>
        <v>6.9709274993246501E-2</v>
      </c>
      <c r="E71" s="4">
        <f t="shared" si="18"/>
        <v>0.19398700129836227</v>
      </c>
      <c r="F71" s="4">
        <f t="shared" si="18"/>
        <v>8.0708919308082827E-2</v>
      </c>
      <c r="G71" s="4">
        <f t="shared" si="18"/>
        <v>6.7946386993965852E-2</v>
      </c>
      <c r="H71" s="4">
        <f t="shared" si="18"/>
        <v>3.6079329513859219E-2</v>
      </c>
      <c r="I71" s="4">
        <f t="shared" si="18"/>
        <v>0.14252477414085443</v>
      </c>
      <c r="J71" s="4">
        <f t="shared" si="18"/>
        <v>2.8339037838901425E-2</v>
      </c>
      <c r="K71" s="4" t="e">
        <f t="shared" si="18"/>
        <v>#N/A</v>
      </c>
      <c r="L71" s="4">
        <f t="shared" si="18"/>
        <v>8.647117467364826E-2</v>
      </c>
      <c r="M71" s="4">
        <f t="shared" si="18"/>
        <v>0.15325180950305661</v>
      </c>
      <c r="N71" s="4">
        <f t="shared" si="18"/>
        <v>1.8059225462453261E-2</v>
      </c>
      <c r="O71" s="4">
        <f t="shared" si="18"/>
        <v>1.8696153264295953E-2</v>
      </c>
      <c r="P71" s="4">
        <f t="shared" si="18"/>
        <v>2.1641577854721115E-2</v>
      </c>
      <c r="Q71" s="4">
        <f t="shared" si="18"/>
        <v>9.9024922196013568E-3</v>
      </c>
      <c r="R71" s="4">
        <f t="shared" si="18"/>
        <v>0.23403609562637354</v>
      </c>
      <c r="S71" s="4">
        <f t="shared" si="18"/>
        <v>3.3115646394666097E-2</v>
      </c>
      <c r="T71" s="4">
        <f t="shared" si="18"/>
        <v>2.0134764465445466E-2</v>
      </c>
      <c r="U71" s="4">
        <f t="shared" si="18"/>
        <v>0.5</v>
      </c>
      <c r="V71" s="4">
        <f t="shared" si="18"/>
        <v>2.7345751179884657E-2</v>
      </c>
      <c r="W71" s="4">
        <f t="shared" si="18"/>
        <v>8.9463686684901525E-2</v>
      </c>
      <c r="X71" s="4">
        <f t="shared" si="18"/>
        <v>6.7804630599854809E-2</v>
      </c>
      <c r="Y71" s="4">
        <f t="shared" si="18"/>
        <v>1.3838161418648992E-2</v>
      </c>
      <c r="Z71" s="4">
        <f t="shared" si="18"/>
        <v>0.24939911041516366</v>
      </c>
      <c r="AA71" s="4">
        <f t="shared" si="18"/>
        <v>0.80151839538939829</v>
      </c>
      <c r="AB71" s="4">
        <f t="shared" si="18"/>
        <v>2.7527855248190885E-2</v>
      </c>
      <c r="AC71" s="4">
        <f t="shared" si="18"/>
        <v>1.7112118310397096E-2</v>
      </c>
      <c r="AD71" s="4">
        <f t="shared" si="18"/>
        <v>9.2480165986632792E-2</v>
      </c>
      <c r="AE71" s="4">
        <f t="shared" si="18"/>
        <v>1.1043808767243627E-2</v>
      </c>
      <c r="AF71" s="4">
        <f t="shared" si="18"/>
        <v>2.7328463920031631E-2</v>
      </c>
      <c r="AG71" s="4">
        <f t="shared" si="18"/>
        <v>0.3161892943512013</v>
      </c>
      <c r="AH71" s="4">
        <f t="shared" si="18"/>
        <v>4.2457477017530866E-2</v>
      </c>
    </row>
    <row r="72" spans="3:34" x14ac:dyDescent="0.25">
      <c r="C72" t="s">
        <v>171</v>
      </c>
      <c r="D72" s="4">
        <f t="shared" ref="D72:AH72" si="19">COMBIN(6,3)*D38^4*(1-D38)^3+COMBIN(3,3)*D38^4+COMBIN(4,3)*D38^4*(1-D38)^1+COMBIN(5,3)*D38^4*(1-D38)^2</f>
        <v>0.67459614608762231</v>
      </c>
      <c r="E72" s="4">
        <f t="shared" si="19"/>
        <v>0.86208583313388476</v>
      </c>
      <c r="F72" s="4">
        <f t="shared" si="19"/>
        <v>0.70381975447710465</v>
      </c>
      <c r="G72" s="4">
        <f t="shared" si="19"/>
        <v>0.66944835150909765</v>
      </c>
      <c r="H72" s="4">
        <f t="shared" si="19"/>
        <v>0.55252939216445307</v>
      </c>
      <c r="I72" s="4">
        <f t="shared" si="19"/>
        <v>0.81085968934908781</v>
      </c>
      <c r="J72" s="4">
        <f t="shared" si="19"/>
        <v>0.50667060428007793</v>
      </c>
      <c r="K72" s="4" t="e">
        <f t="shared" si="19"/>
        <v>#N/A</v>
      </c>
      <c r="L72" s="4">
        <f t="shared" si="19"/>
        <v>0.71741088989557056</v>
      </c>
      <c r="M72" s="4">
        <f t="shared" si="19"/>
        <v>0.82344684163734361</v>
      </c>
      <c r="N72" s="4">
        <f t="shared" si="19"/>
        <v>0.42507480328481972</v>
      </c>
      <c r="O72" s="4">
        <f t="shared" si="19"/>
        <v>0.43112332793237973</v>
      </c>
      <c r="P72" s="4">
        <f t="shared" si="19"/>
        <v>0.45710201002394335</v>
      </c>
      <c r="Q72" s="4">
        <f t="shared" si="19"/>
        <v>0.34496970189017206</v>
      </c>
      <c r="R72" s="4">
        <f t="shared" si="19"/>
        <v>0.89007327072769526</v>
      </c>
      <c r="S72" s="4">
        <f t="shared" si="19"/>
        <v>0.53612427828248366</v>
      </c>
      <c r="T72" s="4">
        <f t="shared" si="19"/>
        <v>0.44419834345631276</v>
      </c>
      <c r="U72" s="4">
        <f t="shared" si="19"/>
        <v>0.97265424882011553</v>
      </c>
      <c r="V72" s="4">
        <f t="shared" si="19"/>
        <v>0.5</v>
      </c>
      <c r="W72" s="4">
        <f t="shared" si="19"/>
        <v>0.7279166376674554</v>
      </c>
      <c r="X72" s="4">
        <f t="shared" si="19"/>
        <v>0.67500995235638217</v>
      </c>
      <c r="Y72" s="4">
        <f t="shared" si="19"/>
        <v>0.38009871607435636</v>
      </c>
      <c r="Z72" s="4">
        <f t="shared" si="19"/>
        <v>0.89893682797000829</v>
      </c>
      <c r="AA72" s="4">
        <f t="shared" si="19"/>
        <v>0.99642514024171747</v>
      </c>
      <c r="AB72" s="4">
        <f t="shared" si="19"/>
        <v>0.50123856898434604</v>
      </c>
      <c r="AC72" s="4">
        <f t="shared" si="19"/>
        <v>0.43053710688913893</v>
      </c>
      <c r="AD72" s="4">
        <f t="shared" si="19"/>
        <v>0.73413007509936401</v>
      </c>
      <c r="AE72" s="4">
        <f t="shared" si="19"/>
        <v>0.34420670681909865</v>
      </c>
      <c r="AF72" s="4">
        <f t="shared" si="19"/>
        <v>0.49988205006552222</v>
      </c>
      <c r="AG72" s="4">
        <f t="shared" si="19"/>
        <v>0.92903100603755484</v>
      </c>
      <c r="AH72" s="4">
        <f t="shared" si="19"/>
        <v>0.58397049479671925</v>
      </c>
    </row>
    <row r="73" spans="3:34" x14ac:dyDescent="0.25">
      <c r="C73" t="s">
        <v>169</v>
      </c>
      <c r="D73" s="4">
        <f t="shared" ref="D73:AH73" si="20">COMBIN(6,3)*D39^4*(1-D39)^3+COMBIN(3,3)*D39^4+COMBIN(4,3)*D39^4*(1-D39)^1+COMBIN(5,3)*D39^4*(1-D39)^2</f>
        <v>0.43788769481751921</v>
      </c>
      <c r="E73" s="4">
        <f t="shared" si="20"/>
        <v>0.68659991597488823</v>
      </c>
      <c r="F73" s="4">
        <f t="shared" si="20"/>
        <v>0.47063105043455611</v>
      </c>
      <c r="G73" s="4">
        <f t="shared" si="20"/>
        <v>0.43229775448569424</v>
      </c>
      <c r="H73" s="4">
        <f t="shared" si="20"/>
        <v>0.31714954788555422</v>
      </c>
      <c r="I73" s="4">
        <f t="shared" si="20"/>
        <v>0.6080229038013043</v>
      </c>
      <c r="J73" s="4">
        <f t="shared" si="20"/>
        <v>0.27759760245861514</v>
      </c>
      <c r="K73" s="4" t="e">
        <f t="shared" si="20"/>
        <v>#N/A</v>
      </c>
      <c r="L73" s="4">
        <f t="shared" si="20"/>
        <v>0.48647551783319731</v>
      </c>
      <c r="M73" s="4">
        <f t="shared" si="20"/>
        <v>0.62639607616587545</v>
      </c>
      <c r="N73" s="4">
        <f t="shared" si="20"/>
        <v>0.21401338579147228</v>
      </c>
      <c r="O73" s="4">
        <f t="shared" si="20"/>
        <v>0.21844828802069688</v>
      </c>
      <c r="P73" s="4">
        <f t="shared" si="20"/>
        <v>0.23799029644904154</v>
      </c>
      <c r="Q73" s="4">
        <f t="shared" si="20"/>
        <v>0.15768557693603516</v>
      </c>
      <c r="R73" s="4">
        <f t="shared" si="20"/>
        <v>0.73448537478122233</v>
      </c>
      <c r="S73" s="4">
        <f t="shared" si="20"/>
        <v>0.30266333397729905</v>
      </c>
      <c r="T73" s="4">
        <f t="shared" si="20"/>
        <v>0.22818263644144504</v>
      </c>
      <c r="U73" s="4">
        <f t="shared" si="20"/>
        <v>0.91053631331509854</v>
      </c>
      <c r="V73" s="4">
        <f t="shared" si="20"/>
        <v>0.27208336233254465</v>
      </c>
      <c r="W73" s="4">
        <f t="shared" si="20"/>
        <v>0.5</v>
      </c>
      <c r="X73" s="4">
        <f t="shared" si="20"/>
        <v>0.43877059753505609</v>
      </c>
      <c r="Y73" s="4">
        <f t="shared" si="20"/>
        <v>0.1823501727334452</v>
      </c>
      <c r="Z73" s="4">
        <f t="shared" si="20"/>
        <v>0.75055795278025828</v>
      </c>
      <c r="AA73" s="4">
        <f t="shared" si="20"/>
        <v>0.98408195196708426</v>
      </c>
      <c r="AB73" s="4">
        <f t="shared" si="20"/>
        <v>0.27310278051204939</v>
      </c>
      <c r="AC73" s="4">
        <f t="shared" si="20"/>
        <v>0.21682058020254957</v>
      </c>
      <c r="AD73" s="4">
        <f t="shared" si="20"/>
        <v>0.50760264028464686</v>
      </c>
      <c r="AE73" s="4">
        <f t="shared" si="20"/>
        <v>0.15868488102658773</v>
      </c>
      <c r="AF73" s="4">
        <f t="shared" si="20"/>
        <v>0.27198638751641058</v>
      </c>
      <c r="AG73" s="4">
        <f t="shared" si="20"/>
        <v>0.80917008868857054</v>
      </c>
      <c r="AH73" s="4">
        <f t="shared" si="20"/>
        <v>0.34602003550619442</v>
      </c>
    </row>
    <row r="74" spans="3:34" x14ac:dyDescent="0.25">
      <c r="C74" t="s">
        <v>146</v>
      </c>
      <c r="D74" s="4">
        <f t="shared" ref="D74:AH74" si="21">COMBIN(6,3)*D40^4*(1-D40)^3+COMBIN(3,3)*D40^4+COMBIN(4,3)*D40^4*(1-D40)^1+COMBIN(5,3)*D40^4*(1-D40)^2</f>
        <v>0.49900973008167715</v>
      </c>
      <c r="E74" s="4">
        <f t="shared" si="21"/>
        <v>0.73892178756826321</v>
      </c>
      <c r="F74" s="4">
        <f t="shared" si="21"/>
        <v>0.53203186158074689</v>
      </c>
      <c r="G74" s="4">
        <f t="shared" si="21"/>
        <v>0.49332724899171027</v>
      </c>
      <c r="H74" s="4">
        <f t="shared" si="21"/>
        <v>0.37359233868619662</v>
      </c>
      <c r="I74" s="4">
        <f t="shared" si="21"/>
        <v>0.66582406163718966</v>
      </c>
      <c r="J74" s="4">
        <f t="shared" si="21"/>
        <v>0.33099242452581862</v>
      </c>
      <c r="K74" s="4" t="e">
        <f t="shared" si="21"/>
        <v>#N/A</v>
      </c>
      <c r="L74" s="4">
        <f t="shared" si="21"/>
        <v>0.5478515651602921</v>
      </c>
      <c r="M74" s="4">
        <f t="shared" si="21"/>
        <v>0.68314021554558502</v>
      </c>
      <c r="N74" s="4">
        <f t="shared" si="21"/>
        <v>0.26077233880004613</v>
      </c>
      <c r="O74" s="4">
        <f t="shared" si="21"/>
        <v>0.2657446746141221</v>
      </c>
      <c r="P74" s="4">
        <f t="shared" si="21"/>
        <v>0.28751732429369864</v>
      </c>
      <c r="Q74" s="4">
        <f t="shared" si="21"/>
        <v>0.19712953427446922</v>
      </c>
      <c r="R74" s="4">
        <f t="shared" si="21"/>
        <v>0.78221822222503323</v>
      </c>
      <c r="S74" s="4">
        <f t="shared" si="21"/>
        <v>0.35808043996427857</v>
      </c>
      <c r="T74" s="4">
        <f t="shared" si="21"/>
        <v>0.27661783492601971</v>
      </c>
      <c r="U74" s="4">
        <f t="shared" si="21"/>
        <v>0.93219536940014536</v>
      </c>
      <c r="V74" s="4">
        <f t="shared" si="21"/>
        <v>0.32499004764361761</v>
      </c>
      <c r="W74" s="4">
        <f t="shared" si="21"/>
        <v>0.56122940246494402</v>
      </c>
      <c r="X74" s="4">
        <f t="shared" si="21"/>
        <v>0.5</v>
      </c>
      <c r="Y74" s="4">
        <f t="shared" si="21"/>
        <v>0.22491875062566385</v>
      </c>
      <c r="Z74" s="4">
        <f t="shared" si="21"/>
        <v>0.79653079128738402</v>
      </c>
      <c r="AA74" s="4">
        <f t="shared" si="21"/>
        <v>0.98887973697772058</v>
      </c>
      <c r="AB74" s="4">
        <f t="shared" si="21"/>
        <v>0.3261009051911512</v>
      </c>
      <c r="AC74" s="4">
        <f t="shared" si="21"/>
        <v>0.26443916449233029</v>
      </c>
      <c r="AD74" s="4">
        <f t="shared" si="21"/>
        <v>0.56872488089031126</v>
      </c>
      <c r="AE74" s="4">
        <f t="shared" si="21"/>
        <v>0.19769026928360869</v>
      </c>
      <c r="AF74" s="4">
        <f t="shared" si="21"/>
        <v>0.32488434602096206</v>
      </c>
      <c r="AG74" s="4">
        <f t="shared" si="21"/>
        <v>0.84774197513469018</v>
      </c>
      <c r="AH74" s="4">
        <f t="shared" si="21"/>
        <v>0.40420587579479172</v>
      </c>
    </row>
    <row r="75" spans="3:34" x14ac:dyDescent="0.25">
      <c r="C75" t="s">
        <v>157</v>
      </c>
      <c r="D75" s="4">
        <f t="shared" ref="D75:AH75" si="22">COMBIN(6,3)*D41^4*(1-D41)^3+COMBIN(3,3)*D41^4+COMBIN(4,3)*D41^4*(1-D41)^1+COMBIN(5,3)*D41^4*(1-D41)^2</f>
        <v>0.77552805844655315</v>
      </c>
      <c r="E75" s="4">
        <f t="shared" si="22"/>
        <v>0.91724315020876324</v>
      </c>
      <c r="F75" s="4">
        <f t="shared" si="22"/>
        <v>0.79935853453153327</v>
      </c>
      <c r="G75" s="4">
        <f t="shared" si="22"/>
        <v>0.77126593958646672</v>
      </c>
      <c r="H75" s="4">
        <f t="shared" si="22"/>
        <v>0.66883998578879</v>
      </c>
      <c r="I75" s="4">
        <f t="shared" si="22"/>
        <v>0.88123849059229087</v>
      </c>
      <c r="J75" s="4">
        <f t="shared" si="22"/>
        <v>0.6262321172253863</v>
      </c>
      <c r="K75" s="4" t="e">
        <f t="shared" si="22"/>
        <v>#N/A</v>
      </c>
      <c r="L75" s="4">
        <f t="shared" si="22"/>
        <v>0.81022917525737015</v>
      </c>
      <c r="M75" s="4">
        <f t="shared" si="22"/>
        <v>0.89028696234712479</v>
      </c>
      <c r="N75" s="4">
        <f t="shared" si="22"/>
        <v>0.54637567696686073</v>
      </c>
      <c r="O75" s="4">
        <f t="shared" si="22"/>
        <v>0.5524804996862116</v>
      </c>
      <c r="P75" s="4">
        <f t="shared" si="22"/>
        <v>0.57835729520979229</v>
      </c>
      <c r="Q75" s="4">
        <f t="shared" si="22"/>
        <v>0.46291182929023089</v>
      </c>
      <c r="R75" s="4">
        <f t="shared" si="22"/>
        <v>0.93594708385100289</v>
      </c>
      <c r="S75" s="4">
        <f t="shared" si="22"/>
        <v>0.65377962881644403</v>
      </c>
      <c r="T75" s="4">
        <f t="shared" si="22"/>
        <v>0.56557338000497281</v>
      </c>
      <c r="U75" s="4">
        <f t="shared" si="22"/>
        <v>0.98616183858135087</v>
      </c>
      <c r="V75" s="4">
        <f t="shared" si="22"/>
        <v>0.61990128392564348</v>
      </c>
      <c r="W75" s="4">
        <f t="shared" si="22"/>
        <v>0.81764982726655477</v>
      </c>
      <c r="X75" s="4">
        <f t="shared" si="22"/>
        <v>0.77508124937433598</v>
      </c>
      <c r="Y75" s="4">
        <f t="shared" si="22"/>
        <v>0.5</v>
      </c>
      <c r="Z75" s="4">
        <f t="shared" si="22"/>
        <v>0.9417155311050126</v>
      </c>
      <c r="AA75" s="4">
        <f t="shared" si="22"/>
        <v>0.99843263355050715</v>
      </c>
      <c r="AB75" s="4">
        <f t="shared" si="22"/>
        <v>0.62107935814048765</v>
      </c>
      <c r="AC75" s="4">
        <f t="shared" si="22"/>
        <v>0.55188099526028978</v>
      </c>
      <c r="AD75" s="4">
        <f t="shared" si="22"/>
        <v>0.82251735499871403</v>
      </c>
      <c r="AE75" s="4">
        <f t="shared" si="22"/>
        <v>0.46169486914890667</v>
      </c>
      <c r="AF75" s="4">
        <f t="shared" si="22"/>
        <v>0.61978903317901868</v>
      </c>
      <c r="AG75" s="4">
        <f t="shared" si="22"/>
        <v>0.96068948468526172</v>
      </c>
      <c r="AH75" s="4">
        <f t="shared" si="22"/>
        <v>0.69714772616145537</v>
      </c>
    </row>
    <row r="76" spans="3:34" x14ac:dyDescent="0.25">
      <c r="C76" t="s">
        <v>138</v>
      </c>
      <c r="D76" s="4">
        <f t="shared" ref="D76:AH76" si="23">COMBIN(6,3)*D42^4*(1-D42)^3+COMBIN(3,3)*D42^4+COMBIN(4,3)*D42^4*(1-D42)^1+COMBIN(5,3)*D42^4*(1-D42)^2</f>
        <v>0.20412930139099605</v>
      </c>
      <c r="E76" s="4">
        <f t="shared" si="23"/>
        <v>0.42448605415722618</v>
      </c>
      <c r="F76" s="4">
        <f t="shared" si="23"/>
        <v>0.22791512803404157</v>
      </c>
      <c r="G76" s="4">
        <f t="shared" si="23"/>
        <v>0.20020148642208446</v>
      </c>
      <c r="H76" s="4">
        <f t="shared" si="23"/>
        <v>0.12571037442554553</v>
      </c>
      <c r="I76" s="4">
        <f t="shared" si="23"/>
        <v>0.34392345154988679</v>
      </c>
      <c r="J76" s="4">
        <f t="shared" si="23"/>
        <v>0.10396385178077586</v>
      </c>
      <c r="K76" s="4" t="e">
        <f t="shared" si="23"/>
        <v>#N/A</v>
      </c>
      <c r="L76" s="4">
        <f t="shared" si="23"/>
        <v>0.23991726588452461</v>
      </c>
      <c r="M76" s="4">
        <f t="shared" si="23"/>
        <v>0.36170726540456</v>
      </c>
      <c r="N76" s="4">
        <f t="shared" si="23"/>
        <v>7.2431522766257792E-2</v>
      </c>
      <c r="O76" s="4">
        <f t="shared" si="23"/>
        <v>7.4495498691422218E-2</v>
      </c>
      <c r="P76" s="4">
        <f t="shared" si="23"/>
        <v>8.3831337118260046E-2</v>
      </c>
      <c r="Q76" s="4">
        <f t="shared" si="23"/>
        <v>4.6688648072116853E-2</v>
      </c>
      <c r="R76" s="4">
        <f t="shared" si="23"/>
        <v>0.48005479726031541</v>
      </c>
      <c r="S76" s="4">
        <f t="shared" si="23"/>
        <v>0.11755253570772686</v>
      </c>
      <c r="T76" s="4">
        <f t="shared" si="23"/>
        <v>7.9096760542473027E-2</v>
      </c>
      <c r="U76" s="4">
        <f t="shared" si="23"/>
        <v>0.75060088958483651</v>
      </c>
      <c r="V76" s="4">
        <f t="shared" si="23"/>
        <v>0.10106317202999202</v>
      </c>
      <c r="W76" s="4">
        <f t="shared" si="23"/>
        <v>0.24944204721974161</v>
      </c>
      <c r="X76" s="4">
        <f t="shared" si="23"/>
        <v>0.20346920871261603</v>
      </c>
      <c r="Y76" s="4">
        <f t="shared" si="23"/>
        <v>5.8284468894987569E-2</v>
      </c>
      <c r="Z76" s="4">
        <f t="shared" si="23"/>
        <v>0.5</v>
      </c>
      <c r="AA76" s="4">
        <f t="shared" si="23"/>
        <v>0.9328207656664913</v>
      </c>
      <c r="AB76" s="4">
        <f t="shared" si="23"/>
        <v>0.1015970247467911</v>
      </c>
      <c r="AC76" s="4">
        <f t="shared" si="23"/>
        <v>7.2280252075839935E-2</v>
      </c>
      <c r="AD76" s="4">
        <f t="shared" si="23"/>
        <v>0.25550223776633552</v>
      </c>
      <c r="AE76" s="4">
        <f t="shared" si="23"/>
        <v>4.8389910990444159E-2</v>
      </c>
      <c r="AF76" s="4">
        <f t="shared" si="23"/>
        <v>0.10101244445582069</v>
      </c>
      <c r="AG76" s="4">
        <f t="shared" si="23"/>
        <v>0.57928357672944664</v>
      </c>
      <c r="AH76" s="4">
        <f t="shared" si="23"/>
        <v>0.14264644778435032</v>
      </c>
    </row>
    <row r="77" spans="3:34" x14ac:dyDescent="0.25">
      <c r="C77" t="s">
        <v>134</v>
      </c>
      <c r="D77" s="4">
        <f t="shared" ref="D77:AH77" si="24">COMBIN(6,3)*D43^4*(1-D43)^3+COMBIN(3,3)*D43^4+COMBIN(4,3)*D43^4*(1-D43)^1+COMBIN(5,3)*D43^4*(1-D43)^2</f>
        <v>1.2416977906174343E-2</v>
      </c>
      <c r="E77" s="4">
        <f t="shared" si="24"/>
        <v>4.7137781149290472E-2</v>
      </c>
      <c r="F77" s="4">
        <f t="shared" si="24"/>
        <v>1.4908923949108126E-2</v>
      </c>
      <c r="G77" s="4">
        <f t="shared" si="24"/>
        <v>1.2028861652088481E-2</v>
      </c>
      <c r="H77" s="4">
        <f t="shared" si="24"/>
        <v>5.0279704813344416E-3</v>
      </c>
      <c r="I77" s="4">
        <f t="shared" si="24"/>
        <v>3.1046152651945588E-2</v>
      </c>
      <c r="J77" s="4">
        <f t="shared" si="24"/>
        <v>3.7345327419233353E-3</v>
      </c>
      <c r="K77" s="4" t="e">
        <f t="shared" si="24"/>
        <v>#N/A</v>
      </c>
      <c r="L77" s="4">
        <f t="shared" si="24"/>
        <v>1.626179182322228E-2</v>
      </c>
      <c r="M77" s="4">
        <f t="shared" si="24"/>
        <v>3.420273564542603E-2</v>
      </c>
      <c r="N77" s="4">
        <f t="shared" si="24"/>
        <v>2.1591543677055396E-3</v>
      </c>
      <c r="O77" s="4">
        <f t="shared" si="24"/>
        <v>2.251479435301058E-3</v>
      </c>
      <c r="P77" s="4">
        <f t="shared" si="24"/>
        <v>2.6879858529491821E-3</v>
      </c>
      <c r="Q77" s="4">
        <f t="shared" si="24"/>
        <v>8.697795271042114E-4</v>
      </c>
      <c r="R77" s="4">
        <f t="shared" si="24"/>
        <v>6.1334968343104992E-2</v>
      </c>
      <c r="S77" s="4">
        <f t="shared" si="24"/>
        <v>4.5227115293100164E-3</v>
      </c>
      <c r="T77" s="4">
        <f t="shared" si="24"/>
        <v>2.4627516227571701E-3</v>
      </c>
      <c r="U77" s="4">
        <f t="shared" si="24"/>
        <v>0.19848160461060171</v>
      </c>
      <c r="V77" s="4">
        <f t="shared" si="24"/>
        <v>3.5748597582824946E-3</v>
      </c>
      <c r="W77" s="4">
        <f t="shared" si="24"/>
        <v>1.5918048032915813E-2</v>
      </c>
      <c r="X77" s="4">
        <f t="shared" si="24"/>
        <v>1.1120263022279512E-2</v>
      </c>
      <c r="Y77" s="4">
        <f t="shared" si="24"/>
        <v>1.5673664494927604E-3</v>
      </c>
      <c r="Z77" s="4">
        <f t="shared" si="24"/>
        <v>6.7179234333508711E-2</v>
      </c>
      <c r="AA77" s="4">
        <f t="shared" si="24"/>
        <v>0.5</v>
      </c>
      <c r="AB77" s="4">
        <f t="shared" si="24"/>
        <v>3.6040211856624184E-3</v>
      </c>
      <c r="AC77" s="4">
        <f t="shared" si="24"/>
        <v>1.7408917479844676E-3</v>
      </c>
      <c r="AD77" s="4">
        <f t="shared" si="24"/>
        <v>1.6624267809416414E-2</v>
      </c>
      <c r="AE77" s="4">
        <f t="shared" si="24"/>
        <v>1.1966790402694327E-3</v>
      </c>
      <c r="AF77" s="4">
        <f t="shared" si="24"/>
        <v>3.5720940776307148E-3</v>
      </c>
      <c r="AG77" s="4">
        <f t="shared" si="24"/>
        <v>9.5266962378837888E-2</v>
      </c>
      <c r="AH77" s="4">
        <f t="shared" si="24"/>
        <v>6.1551188466858709E-3</v>
      </c>
    </row>
    <row r="78" spans="3:34" x14ac:dyDescent="0.25">
      <c r="C78" t="s">
        <v>164</v>
      </c>
      <c r="D78" s="4">
        <f t="shared" ref="D78:AH78" si="25">COMBIN(6,3)*D44^4*(1-D44)^3+COMBIN(3,3)*D44^4+COMBIN(4,3)*D44^4*(1-D44)^1+COMBIN(5,3)*D44^4*(1-D44)^2</f>
        <v>0.673477661735985</v>
      </c>
      <c r="E78" s="4">
        <f t="shared" si="25"/>
        <v>0.86141446814261602</v>
      </c>
      <c r="F78" s="4">
        <f t="shared" si="25"/>
        <v>0.70274737061763037</v>
      </c>
      <c r="G78" s="4">
        <f t="shared" si="25"/>
        <v>0.66832255835500298</v>
      </c>
      <c r="H78" s="4">
        <f t="shared" si="25"/>
        <v>0.55130199622738751</v>
      </c>
      <c r="I78" s="4">
        <f t="shared" si="25"/>
        <v>0.81002787915337204</v>
      </c>
      <c r="J78" s="4">
        <f t="shared" si="25"/>
        <v>0.50543218536462342</v>
      </c>
      <c r="K78" s="4" t="e">
        <f t="shared" si="25"/>
        <v>#N/A</v>
      </c>
      <c r="L78" s="4">
        <f t="shared" si="25"/>
        <v>0.71636266876836152</v>
      </c>
      <c r="M78" s="4">
        <f t="shared" si="25"/>
        <v>0.82265144915165767</v>
      </c>
      <c r="N78" s="4">
        <f t="shared" si="25"/>
        <v>0.42385991681620205</v>
      </c>
      <c r="O78" s="4">
        <f t="shared" si="25"/>
        <v>0.42990479379266072</v>
      </c>
      <c r="P78" s="4">
        <f t="shared" si="25"/>
        <v>0.45587128701418889</v>
      </c>
      <c r="Q78" s="4">
        <f t="shared" si="25"/>
        <v>0.34382616443254099</v>
      </c>
      <c r="R78" s="4">
        <f t="shared" si="25"/>
        <v>0.88950445238250253</v>
      </c>
      <c r="S78" s="4">
        <f t="shared" si="25"/>
        <v>0.53489093187930425</v>
      </c>
      <c r="T78" s="4">
        <f t="shared" si="25"/>
        <v>0.44297297076310543</v>
      </c>
      <c r="U78" s="4">
        <f t="shared" si="25"/>
        <v>0.9724721447518091</v>
      </c>
      <c r="V78" s="4">
        <f t="shared" si="25"/>
        <v>0.49876143101565396</v>
      </c>
      <c r="W78" s="4">
        <f t="shared" si="25"/>
        <v>0.72689721948795061</v>
      </c>
      <c r="X78" s="4">
        <f t="shared" si="25"/>
        <v>0.67389909480884858</v>
      </c>
      <c r="Y78" s="4">
        <f t="shared" si="25"/>
        <v>0.37892064185951235</v>
      </c>
      <c r="Z78" s="4">
        <f t="shared" si="25"/>
        <v>0.89840297525320911</v>
      </c>
      <c r="AA78" s="4">
        <f t="shared" si="25"/>
        <v>0.99639597881433761</v>
      </c>
      <c r="AB78" s="4">
        <f t="shared" si="25"/>
        <v>0.5</v>
      </c>
      <c r="AC78" s="4">
        <f t="shared" si="25"/>
        <v>0.42931625512143134</v>
      </c>
      <c r="AD78" s="4">
        <f t="shared" si="25"/>
        <v>0.73312312513884814</v>
      </c>
      <c r="AE78" s="4">
        <f t="shared" si="25"/>
        <v>0.34307045862195784</v>
      </c>
      <c r="AF78" s="4">
        <f t="shared" si="25"/>
        <v>0.49864348174380113</v>
      </c>
      <c r="AG78" s="4">
        <f t="shared" si="25"/>
        <v>0.92862606604772557</v>
      </c>
      <c r="AH78" s="4">
        <f t="shared" si="25"/>
        <v>0.58276079051899199</v>
      </c>
    </row>
    <row r="79" spans="3:34" x14ac:dyDescent="0.25">
      <c r="C79" t="s">
        <v>160</v>
      </c>
      <c r="D79" s="4">
        <f t="shared" ref="D79:AH79" si="26">COMBIN(6,3)*D45^4*(1-D45)^3+COMBIN(3,3)*D45^4+COMBIN(4,3)*D45^4*(1-D45)^1+COMBIN(5,3)*D45^4*(1-D45)^2</f>
        <v>0.73546802815411139</v>
      </c>
      <c r="E79" s="4">
        <f t="shared" si="26"/>
        <v>0.89815472018290465</v>
      </c>
      <c r="F79" s="4">
        <f t="shared" si="26"/>
        <v>0.76196433590538959</v>
      </c>
      <c r="G79" s="4">
        <f t="shared" si="26"/>
        <v>0.73076121128401916</v>
      </c>
      <c r="H79" s="4">
        <f t="shared" si="26"/>
        <v>0.62067223776403546</v>
      </c>
      <c r="I79" s="4">
        <f t="shared" si="26"/>
        <v>0.85555278444408411</v>
      </c>
      <c r="J79" s="4">
        <f t="shared" si="26"/>
        <v>0.576030393338401</v>
      </c>
      <c r="K79" s="4" t="e">
        <f t="shared" si="26"/>
        <v>#N/A</v>
      </c>
      <c r="L79" s="4">
        <f t="shared" si="26"/>
        <v>0.77415518933834859</v>
      </c>
      <c r="M79" s="4">
        <f t="shared" si="26"/>
        <v>0.86616655302309531</v>
      </c>
      <c r="N79" s="4">
        <f t="shared" si="26"/>
        <v>0.49438232401849846</v>
      </c>
      <c r="O79" s="4">
        <f t="shared" si="26"/>
        <v>0.50053431491171285</v>
      </c>
      <c r="P79" s="4">
        <f t="shared" si="26"/>
        <v>0.52677396894186335</v>
      </c>
      <c r="Q79" s="4">
        <f t="shared" si="26"/>
        <v>0.41154244829347464</v>
      </c>
      <c r="R79" s="4">
        <f t="shared" si="26"/>
        <v>0.9207025209887153</v>
      </c>
      <c r="S79" s="4">
        <f t="shared" si="26"/>
        <v>0.60480407108779344</v>
      </c>
      <c r="T79" s="4">
        <f t="shared" si="26"/>
        <v>0.51377768164204829</v>
      </c>
      <c r="U79" s="4">
        <f t="shared" si="26"/>
        <v>0.98288788168960317</v>
      </c>
      <c r="V79" s="4">
        <f t="shared" si="26"/>
        <v>0.56946289311086118</v>
      </c>
      <c r="W79" s="4">
        <f t="shared" si="26"/>
        <v>0.78317941979745065</v>
      </c>
      <c r="X79" s="4">
        <f t="shared" si="26"/>
        <v>0.73556083550766971</v>
      </c>
      <c r="Y79" s="4">
        <f t="shared" si="26"/>
        <v>0.44811900473971056</v>
      </c>
      <c r="Z79" s="4">
        <f t="shared" si="26"/>
        <v>0.92771974792416001</v>
      </c>
      <c r="AA79" s="4">
        <f t="shared" si="26"/>
        <v>0.99825910825201558</v>
      </c>
      <c r="AB79" s="4">
        <f t="shared" si="26"/>
        <v>0.57068374487856866</v>
      </c>
      <c r="AC79" s="4">
        <f t="shared" si="26"/>
        <v>0.5</v>
      </c>
      <c r="AD79" s="4">
        <f t="shared" si="26"/>
        <v>0.78868820242158055</v>
      </c>
      <c r="AE79" s="4">
        <f t="shared" si="26"/>
        <v>0.41052318437934332</v>
      </c>
      <c r="AF79" s="4">
        <f t="shared" si="26"/>
        <v>0.56934659644204344</v>
      </c>
      <c r="AG79" s="4">
        <f t="shared" si="26"/>
        <v>0.95102797928432081</v>
      </c>
      <c r="AH79" s="4">
        <f t="shared" si="26"/>
        <v>0.6507689091569685</v>
      </c>
    </row>
    <row r="80" spans="3:34" x14ac:dyDescent="0.25">
      <c r="C80" t="s">
        <v>167</v>
      </c>
      <c r="D80" s="4">
        <f t="shared" ref="D80:AH80" si="27">COMBIN(6,3)*D46^4*(1-D46)^3+COMBIN(3,3)*D46^4+COMBIN(4,3)*D46^4*(1-D46)^1+COMBIN(5,3)*D46^4*(1-D46)^2</f>
        <v>0.43041630732887726</v>
      </c>
      <c r="E80" s="4">
        <f t="shared" si="27"/>
        <v>0.67981765286980067</v>
      </c>
      <c r="F80" s="4">
        <f t="shared" si="27"/>
        <v>0.46306822828153615</v>
      </c>
      <c r="G80" s="4">
        <f t="shared" si="27"/>
        <v>0.42484742518267227</v>
      </c>
      <c r="H80" s="4">
        <f t="shared" si="27"/>
        <v>0.31044143243599109</v>
      </c>
      <c r="I80" s="4">
        <f t="shared" si="27"/>
        <v>0.60067247635068666</v>
      </c>
      <c r="J80" s="4">
        <f t="shared" si="27"/>
        <v>0.2713174394200103</v>
      </c>
      <c r="K80" s="4" t="e">
        <f t="shared" si="27"/>
        <v>#N/A</v>
      </c>
      <c r="L80" s="4">
        <f t="shared" si="27"/>
        <v>0.47888798815920097</v>
      </c>
      <c r="M80" s="4">
        <f t="shared" si="27"/>
        <v>0.61914840866276299</v>
      </c>
      <c r="N80" s="4">
        <f t="shared" si="27"/>
        <v>0.20861281775091045</v>
      </c>
      <c r="O80" s="4">
        <f t="shared" si="27"/>
        <v>0.2129783016996703</v>
      </c>
      <c r="P80" s="4">
        <f t="shared" si="27"/>
        <v>0.2322291751356359</v>
      </c>
      <c r="Q80" s="4">
        <f t="shared" si="27"/>
        <v>0.15321167550081818</v>
      </c>
      <c r="R80" s="4">
        <f t="shared" si="27"/>
        <v>0.72822057328040257</v>
      </c>
      <c r="S80" s="4">
        <f t="shared" si="27"/>
        <v>0.29610176790743054</v>
      </c>
      <c r="T80" s="4">
        <f t="shared" si="27"/>
        <v>0.22256465072378295</v>
      </c>
      <c r="U80" s="4">
        <f t="shared" si="27"/>
        <v>0.90751983401336711</v>
      </c>
      <c r="V80" s="4">
        <f t="shared" si="27"/>
        <v>0.26586992490063593</v>
      </c>
      <c r="W80" s="4">
        <f t="shared" si="27"/>
        <v>0.49239735971535326</v>
      </c>
      <c r="X80" s="4">
        <f t="shared" si="27"/>
        <v>0.43127511910968885</v>
      </c>
      <c r="Y80" s="4">
        <f t="shared" si="27"/>
        <v>0.17748264500128605</v>
      </c>
      <c r="Z80" s="4">
        <f t="shared" si="27"/>
        <v>0.74449776223366448</v>
      </c>
      <c r="AA80" s="4">
        <f t="shared" si="27"/>
        <v>0.98337573219058372</v>
      </c>
      <c r="AB80" s="4">
        <f t="shared" si="27"/>
        <v>0.26687687486115164</v>
      </c>
      <c r="AC80" s="4">
        <f t="shared" si="27"/>
        <v>0.21131179757841945</v>
      </c>
      <c r="AD80" s="4">
        <f t="shared" si="27"/>
        <v>0.5</v>
      </c>
      <c r="AE80" s="4">
        <f t="shared" si="27"/>
        <v>0.15426078028017443</v>
      </c>
      <c r="AF80" s="4">
        <f t="shared" si="27"/>
        <v>0.26577413929857241</v>
      </c>
      <c r="AG80" s="4">
        <f t="shared" si="27"/>
        <v>0.80399792602309972</v>
      </c>
      <c r="AH80" s="4">
        <f t="shared" si="27"/>
        <v>0.33905415083433232</v>
      </c>
    </row>
    <row r="81" spans="3:34" x14ac:dyDescent="0.25">
      <c r="C81" t="s">
        <v>165</v>
      </c>
      <c r="D81" s="4">
        <f t="shared" ref="D81:AH81" si="28">COMBIN(6,3)*D47^4*(1-D47)^3+COMBIN(3,3)*D47^4+COMBIN(4,3)*D47^4*(1-D47)^1+COMBIN(5,3)*D47^4*(1-D47)^2</f>
        <v>0.80303736186763408</v>
      </c>
      <c r="E81" s="4">
        <f t="shared" si="28"/>
        <v>0.93045729591760284</v>
      </c>
      <c r="F81" s="4">
        <f t="shared" si="28"/>
        <v>0.82495007795418018</v>
      </c>
      <c r="G81" s="4">
        <f t="shared" si="28"/>
        <v>0.79910000080278021</v>
      </c>
      <c r="H81" s="4">
        <f t="shared" si="28"/>
        <v>0.70269347744472543</v>
      </c>
      <c r="I81" s="4">
        <f t="shared" si="28"/>
        <v>0.89880401004117649</v>
      </c>
      <c r="J81" s="4">
        <f t="shared" si="28"/>
        <v>0.66189518268000291</v>
      </c>
      <c r="K81" s="4" t="e">
        <f t="shared" si="28"/>
        <v>#N/A</v>
      </c>
      <c r="L81" s="4">
        <f t="shared" si="28"/>
        <v>0.83488696392764039</v>
      </c>
      <c r="M81" s="4">
        <f t="shared" si="28"/>
        <v>0.90681236772475571</v>
      </c>
      <c r="N81" s="4">
        <f t="shared" si="28"/>
        <v>0.58417967170400187</v>
      </c>
      <c r="O81" s="4">
        <f t="shared" si="28"/>
        <v>0.59017790432292994</v>
      </c>
      <c r="P81" s="4">
        <f t="shared" si="28"/>
        <v>0.61549814149020043</v>
      </c>
      <c r="Q81" s="4">
        <f t="shared" si="28"/>
        <v>0.50123261828063703</v>
      </c>
      <c r="R81" s="4">
        <f t="shared" si="28"/>
        <v>0.94665421405668582</v>
      </c>
      <c r="S81" s="4">
        <f t="shared" si="28"/>
        <v>0.68832649688873337</v>
      </c>
      <c r="T81" s="4">
        <f t="shared" si="28"/>
        <v>0.6030103710342557</v>
      </c>
      <c r="U81" s="4">
        <f t="shared" si="28"/>
        <v>0.98895619123275613</v>
      </c>
      <c r="V81" s="4">
        <f t="shared" si="28"/>
        <v>0.65579329318090152</v>
      </c>
      <c r="W81" s="4">
        <f t="shared" si="28"/>
        <v>0.84131511897341238</v>
      </c>
      <c r="X81" s="4">
        <f t="shared" si="28"/>
        <v>0.80230973071639111</v>
      </c>
      <c r="Y81" s="4">
        <f t="shared" si="28"/>
        <v>0.53830513085109322</v>
      </c>
      <c r="Z81" s="4">
        <f t="shared" si="28"/>
        <v>0.95161008900955579</v>
      </c>
      <c r="AA81" s="4">
        <f t="shared" si="28"/>
        <v>0.99880332095973057</v>
      </c>
      <c r="AB81" s="4">
        <f t="shared" si="28"/>
        <v>0.65692954137804205</v>
      </c>
      <c r="AC81" s="4">
        <f t="shared" si="28"/>
        <v>0.58947681562065679</v>
      </c>
      <c r="AD81" s="4">
        <f t="shared" si="28"/>
        <v>0.84573921971982569</v>
      </c>
      <c r="AE81" s="4">
        <f t="shared" si="28"/>
        <v>0.5</v>
      </c>
      <c r="AF81" s="4">
        <f t="shared" si="28"/>
        <v>0.65568500922729112</v>
      </c>
      <c r="AG81" s="4">
        <f t="shared" si="28"/>
        <v>0.96775922383045387</v>
      </c>
      <c r="AH81" s="4">
        <f t="shared" si="28"/>
        <v>0.72953657768601687</v>
      </c>
    </row>
    <row r="82" spans="3:34" x14ac:dyDescent="0.25">
      <c r="C82" t="s">
        <v>129</v>
      </c>
      <c r="D82" s="4">
        <f t="shared" ref="D82:AH82" si="29">COMBIN(6,3)*D48^4*(1-D48)^3+COMBIN(3,3)*D48^4+COMBIN(4,3)*D48^4*(1-D48)^1+COMBIN(5,3)*D48^4*(1-D48)^2</f>
        <v>0.67470257587419102</v>
      </c>
      <c r="E82" s="4">
        <f t="shared" si="29"/>
        <v>0.86214964663885418</v>
      </c>
      <c r="F82" s="4">
        <f t="shared" si="29"/>
        <v>0.70392178247303383</v>
      </c>
      <c r="G82" s="4">
        <f t="shared" si="29"/>
        <v>0.66955547950249739</v>
      </c>
      <c r="H82" s="4">
        <f t="shared" si="29"/>
        <v>0.55264625016857205</v>
      </c>
      <c r="I82" s="4">
        <f t="shared" si="29"/>
        <v>0.81093878103006012</v>
      </c>
      <c r="J82" s="4">
        <f t="shared" si="29"/>
        <v>0.50678853635498111</v>
      </c>
      <c r="K82" s="4" t="e">
        <f t="shared" si="29"/>
        <v>#N/A</v>
      </c>
      <c r="L82" s="4">
        <f t="shared" si="29"/>
        <v>0.71751061197384502</v>
      </c>
      <c r="M82" s="4">
        <f t="shared" si="29"/>
        <v>0.82352246445394617</v>
      </c>
      <c r="N82" s="4">
        <f t="shared" si="29"/>
        <v>0.42519053742255097</v>
      </c>
      <c r="O82" s="4">
        <f t="shared" si="29"/>
        <v>0.43123940633320929</v>
      </c>
      <c r="P82" s="4">
        <f t="shared" si="29"/>
        <v>0.4572192356210979</v>
      </c>
      <c r="Q82" s="4">
        <f t="shared" si="29"/>
        <v>0.34507867772815026</v>
      </c>
      <c r="R82" s="4">
        <f t="shared" si="29"/>
        <v>0.89012732501131286</v>
      </c>
      <c r="S82" s="4">
        <f t="shared" si="29"/>
        <v>0.5362417116014514</v>
      </c>
      <c r="T82" s="4">
        <f t="shared" si="29"/>
        <v>0.44431506631218387</v>
      </c>
      <c r="U82" s="4">
        <f t="shared" si="29"/>
        <v>0.97267153607996848</v>
      </c>
      <c r="V82" s="4">
        <f t="shared" si="29"/>
        <v>0.50011794993447756</v>
      </c>
      <c r="W82" s="4">
        <f t="shared" si="29"/>
        <v>0.72801361248358953</v>
      </c>
      <c r="X82" s="4">
        <f t="shared" si="29"/>
        <v>0.67511565397903794</v>
      </c>
      <c r="Y82" s="4">
        <f t="shared" si="29"/>
        <v>0.38021096682098138</v>
      </c>
      <c r="Z82" s="4">
        <f t="shared" si="29"/>
        <v>0.89898755554417942</v>
      </c>
      <c r="AA82" s="4">
        <f t="shared" si="29"/>
        <v>0.99642790592236941</v>
      </c>
      <c r="AB82" s="4">
        <f t="shared" si="29"/>
        <v>0.50135651825619887</v>
      </c>
      <c r="AC82" s="4">
        <f t="shared" si="29"/>
        <v>0.43065340355795645</v>
      </c>
      <c r="AD82" s="4">
        <f t="shared" si="29"/>
        <v>0.73422586070142748</v>
      </c>
      <c r="AE82" s="4">
        <f t="shared" si="29"/>
        <v>0.344314990772709</v>
      </c>
      <c r="AF82" s="4">
        <f t="shared" si="29"/>
        <v>0.5</v>
      </c>
      <c r="AG82" s="4">
        <f t="shared" si="29"/>
        <v>0.92906947248463045</v>
      </c>
      <c r="AH82" s="4">
        <f t="shared" si="29"/>
        <v>0.58408565178762584</v>
      </c>
    </row>
    <row r="83" spans="3:34" x14ac:dyDescent="0.25">
      <c r="C83" t="s">
        <v>158</v>
      </c>
      <c r="D83" s="4">
        <f t="shared" ref="D83:AH83" si="30">COMBIN(6,3)*D49^4*(1-D49)^3+COMBIN(3,3)*D49^4+COMBIN(4,3)*D49^4*(1-D49)^1+COMBIN(5,3)*D49^4*(1-D49)^2</f>
        <v>0.15345684971722218</v>
      </c>
      <c r="E83" s="4">
        <f t="shared" si="30"/>
        <v>0.3482628052395198</v>
      </c>
      <c r="F83" s="4">
        <f t="shared" si="30"/>
        <v>0.17325829717416513</v>
      </c>
      <c r="G83" s="4">
        <f t="shared" si="30"/>
        <v>0.15021749930403189</v>
      </c>
      <c r="H83" s="4">
        <f t="shared" si="30"/>
        <v>8.9888967155787633E-2</v>
      </c>
      <c r="I83" s="4">
        <f t="shared" si="30"/>
        <v>0.27415314248764422</v>
      </c>
      <c r="J83" s="4">
        <f t="shared" si="30"/>
        <v>7.31719071059551E-2</v>
      </c>
      <c r="K83" s="4" t="e">
        <f t="shared" si="30"/>
        <v>#N/A</v>
      </c>
      <c r="L83" s="4">
        <f t="shared" si="30"/>
        <v>0.18336820242749635</v>
      </c>
      <c r="M83" s="4">
        <f t="shared" si="30"/>
        <v>0.29023106501785051</v>
      </c>
      <c r="N83" s="4">
        <f t="shared" si="30"/>
        <v>4.959626080591472E-2</v>
      </c>
      <c r="O83" s="4">
        <f t="shared" si="30"/>
        <v>5.1113041359699074E-2</v>
      </c>
      <c r="P83" s="4">
        <f t="shared" si="30"/>
        <v>5.8021919020875959E-2</v>
      </c>
      <c r="Q83" s="4">
        <f t="shared" si="30"/>
        <v>3.061320403655465E-2</v>
      </c>
      <c r="R83" s="4">
        <f t="shared" si="30"/>
        <v>0.40129492930884225</v>
      </c>
      <c r="S83" s="4">
        <f t="shared" si="30"/>
        <v>8.3577102634508182E-2</v>
      </c>
      <c r="T83" s="4">
        <f t="shared" si="30"/>
        <v>5.4508450715909457E-2</v>
      </c>
      <c r="U83" s="4">
        <f t="shared" si="30"/>
        <v>0.68381070564879864</v>
      </c>
      <c r="V83" s="4">
        <f t="shared" si="30"/>
        <v>7.0968993962445201E-2</v>
      </c>
      <c r="W83" s="4">
        <f t="shared" si="30"/>
        <v>0.19082991131142946</v>
      </c>
      <c r="X83" s="4">
        <f t="shared" si="30"/>
        <v>0.15225802486530979</v>
      </c>
      <c r="Y83" s="4">
        <f t="shared" si="30"/>
        <v>3.931051531473808E-2</v>
      </c>
      <c r="Z83" s="4">
        <f t="shared" si="30"/>
        <v>0.42071642327055336</v>
      </c>
      <c r="AA83" s="4">
        <f t="shared" si="30"/>
        <v>0.90473303762116208</v>
      </c>
      <c r="AB83" s="4">
        <f t="shared" si="30"/>
        <v>7.1373933952274343E-2</v>
      </c>
      <c r="AC83" s="4">
        <f t="shared" si="30"/>
        <v>4.8972020715678993E-2</v>
      </c>
      <c r="AD83" s="4">
        <f t="shared" si="30"/>
        <v>0.19600207397690028</v>
      </c>
      <c r="AE83" s="4">
        <f t="shared" si="30"/>
        <v>3.2240776169546237E-2</v>
      </c>
      <c r="AF83" s="4">
        <f t="shared" si="30"/>
        <v>7.0930527515369393E-2</v>
      </c>
      <c r="AG83" s="4">
        <f t="shared" si="30"/>
        <v>0.5</v>
      </c>
      <c r="AH83" s="4">
        <f t="shared" si="30"/>
        <v>0.10314143509295198</v>
      </c>
    </row>
    <row r="84" spans="3:34" x14ac:dyDescent="0.25">
      <c r="C84" t="s">
        <v>142</v>
      </c>
      <c r="D84" s="4">
        <f t="shared" ref="D84:AH84" si="31">COMBIN(6,3)*D50^4*(1-D50)^3+COMBIN(3,3)*D50^4+COMBIN(4,3)*D50^4*(1-D50)^1+COMBIN(5,3)*D50^4*(1-D50)^2</f>
        <v>0.59495969383500225</v>
      </c>
      <c r="E84" s="4">
        <f t="shared" si="31"/>
        <v>0.81080786847227571</v>
      </c>
      <c r="F84" s="4">
        <f t="shared" si="31"/>
        <v>0.62675491710827602</v>
      </c>
      <c r="G84" s="4">
        <f t="shared" si="31"/>
        <v>0.58941935760924702</v>
      </c>
      <c r="H84" s="4">
        <f t="shared" si="31"/>
        <v>0.46808715230959053</v>
      </c>
      <c r="I84" s="4">
        <f t="shared" si="31"/>
        <v>0.74874753180226739</v>
      </c>
      <c r="J84" s="4">
        <f t="shared" si="31"/>
        <v>0.42255466131743347</v>
      </c>
      <c r="K84" s="4" t="e">
        <f t="shared" si="31"/>
        <v>#N/A</v>
      </c>
      <c r="L84" s="4">
        <f t="shared" si="31"/>
        <v>0.64174706390994818</v>
      </c>
      <c r="M84" s="4">
        <f t="shared" si="31"/>
        <v>0.76374480977104064</v>
      </c>
      <c r="N84" s="4">
        <f t="shared" si="31"/>
        <v>0.34440341462782154</v>
      </c>
      <c r="O84" s="4">
        <f t="shared" si="31"/>
        <v>0.3500734404058895</v>
      </c>
      <c r="P84" s="4">
        <f t="shared" si="31"/>
        <v>0.37464919164951144</v>
      </c>
      <c r="Q84" s="4">
        <f t="shared" si="31"/>
        <v>0.27064829301342308</v>
      </c>
      <c r="R84" s="4">
        <f t="shared" si="31"/>
        <v>0.84599108012054702</v>
      </c>
      <c r="S84" s="4">
        <f t="shared" si="31"/>
        <v>0.45166241073626168</v>
      </c>
      <c r="T84" s="4">
        <f t="shared" si="31"/>
        <v>0.36239710247736412</v>
      </c>
      <c r="U84" s="4">
        <f t="shared" si="31"/>
        <v>0.95754252298246911</v>
      </c>
      <c r="V84" s="4">
        <f t="shared" si="31"/>
        <v>0.41602950520328075</v>
      </c>
      <c r="W84" s="4">
        <f t="shared" si="31"/>
        <v>0.6539799644938058</v>
      </c>
      <c r="X84" s="4">
        <f t="shared" si="31"/>
        <v>0.59579412420520805</v>
      </c>
      <c r="Y84" s="4">
        <f t="shared" si="31"/>
        <v>0.30285227383854457</v>
      </c>
      <c r="Z84" s="4">
        <f t="shared" si="31"/>
        <v>0.85735355221564979</v>
      </c>
      <c r="AA84" s="4">
        <f t="shared" si="31"/>
        <v>0.99384488115331415</v>
      </c>
      <c r="AB84" s="4">
        <f t="shared" si="31"/>
        <v>0.41723920948100768</v>
      </c>
      <c r="AC84" s="4">
        <f t="shared" si="31"/>
        <v>0.34923109084303156</v>
      </c>
      <c r="AD84" s="4">
        <f t="shared" si="31"/>
        <v>0.66094584916566801</v>
      </c>
      <c r="AE84" s="4">
        <f t="shared" si="31"/>
        <v>0.27046342231398313</v>
      </c>
      <c r="AF84" s="4">
        <f t="shared" si="31"/>
        <v>0.41591434821237405</v>
      </c>
      <c r="AG84" s="4">
        <f t="shared" si="31"/>
        <v>0.89685856490704807</v>
      </c>
      <c r="AH84" s="4">
        <f t="shared" si="31"/>
        <v>0.5</v>
      </c>
    </row>
  </sheetData>
  <mergeCells count="1">
    <mergeCell ref="Y1:Z1"/>
  </mergeCells>
  <dataValidations count="1">
    <dataValidation type="list" allowBlank="1" showInputMessage="1" showErrorMessage="1" sqref="A2" xr:uid="{D63532D1-4D2D-4BAB-957D-FE09F9BDA404}">
      <formula1>$A$4:$A$21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96CF-2BBF-405D-94D9-B105E12004FE}">
  <sheetPr codeName="Sheet15"/>
  <dimension ref="A1:CV200"/>
  <sheetViews>
    <sheetView topLeftCell="A34" zoomScale="30" zoomScaleNormal="30" workbookViewId="0">
      <selection activeCell="AA2" sqref="AA2"/>
    </sheetView>
  </sheetViews>
  <sheetFormatPr defaultColWidth="16.85546875" defaultRowHeight="39.75" customHeight="1" x14ac:dyDescent="0.2"/>
  <cols>
    <col min="1" max="1" width="7.140625" style="153" customWidth="1"/>
    <col min="2" max="2" width="49.42578125" style="153" customWidth="1"/>
    <col min="3" max="3" width="17.7109375" style="153" customWidth="1"/>
    <col min="4" max="4" width="53.42578125" style="153" bestFit="1" customWidth="1"/>
    <col min="5" max="5" width="17.7109375" style="153" customWidth="1"/>
    <col min="6" max="6" width="53.42578125" style="153" bestFit="1" customWidth="1"/>
    <col min="7" max="7" width="58.85546875" style="153" customWidth="1"/>
    <col min="8" max="8" width="50.7109375" style="153" customWidth="1"/>
    <col min="9" max="9" width="17.7109375" style="153" customWidth="1"/>
    <col min="10" max="10" width="50.28515625" style="153" customWidth="1"/>
    <col min="11" max="11" width="17.5703125" style="153" customWidth="1"/>
    <col min="12" max="12" width="46" style="153" customWidth="1"/>
    <col min="13" max="13" width="8.7109375" style="153" customWidth="1"/>
    <col min="14" max="16" width="16.85546875" style="153"/>
    <col min="17" max="17" width="47.7109375" style="153" customWidth="1"/>
    <col min="18" max="18" width="34.85546875" style="153" bestFit="1" customWidth="1"/>
    <col min="19" max="19" width="50.140625" style="153" customWidth="1"/>
    <col min="20" max="20" width="34.85546875" style="153" bestFit="1" customWidth="1"/>
    <col min="21" max="21" width="45.85546875" style="153" customWidth="1"/>
    <col min="22" max="22" width="48.5703125" style="153" customWidth="1"/>
    <col min="23" max="23" width="42.42578125" style="153" customWidth="1"/>
    <col min="24" max="24" width="9.28515625" style="153" customWidth="1"/>
    <col min="25" max="25" width="40.5703125" style="153" customWidth="1"/>
    <col min="26" max="26" width="16.85546875" style="153"/>
    <col min="27" max="27" width="60.5703125" style="153" customWidth="1"/>
    <col min="28" max="35" width="16.85546875" style="153"/>
    <col min="36" max="36" width="22.5703125" style="153" customWidth="1"/>
    <col min="37" max="37" width="21.140625" style="153" customWidth="1"/>
    <col min="38" max="38" width="24.42578125" style="153" customWidth="1"/>
    <col min="39" max="39" width="16.85546875" style="153" customWidth="1"/>
    <col min="40" max="42" width="16.85546875" style="153"/>
    <col min="43" max="43" width="3.140625" style="153" customWidth="1"/>
    <col min="44" max="44" width="16.85546875" style="153" hidden="1" customWidth="1"/>
    <col min="45" max="45" width="57.85546875" style="153" customWidth="1"/>
    <col min="46" max="46" width="54.42578125" style="153" customWidth="1"/>
    <col min="47" max="47" width="30.7109375" style="153" customWidth="1"/>
    <col min="48" max="48" width="25.85546875" style="153" customWidth="1"/>
    <col min="49" max="16384" width="16.85546875" style="153"/>
  </cols>
  <sheetData>
    <row r="1" spans="1:100" ht="39.75" customHeight="1" thickBot="1" x14ac:dyDescent="0.75">
      <c r="A1" s="160"/>
      <c r="B1" s="161" t="s">
        <v>221</v>
      </c>
      <c r="C1" s="161"/>
      <c r="D1" s="161"/>
      <c r="E1" s="161"/>
      <c r="F1" s="162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CK1" s="160"/>
      <c r="CL1" s="160"/>
      <c r="CM1" s="160"/>
      <c r="CN1" s="160"/>
      <c r="CO1" s="160"/>
      <c r="CP1" s="160"/>
      <c r="CQ1" s="160"/>
      <c r="CR1" s="160"/>
      <c r="CS1" s="160"/>
      <c r="CT1" s="160"/>
      <c r="CU1" s="160"/>
      <c r="CV1" s="160"/>
    </row>
    <row r="2" spans="1:100" ht="39.75" customHeight="1" thickBot="1" x14ac:dyDescent="1.4">
      <c r="A2" s="163"/>
      <c r="B2" s="163"/>
      <c r="C2" s="160"/>
      <c r="D2" s="160"/>
      <c r="E2" s="164"/>
      <c r="F2" s="165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286">
        <f>B3</f>
        <v>2014</v>
      </c>
      <c r="R2" s="287"/>
      <c r="S2" s="169"/>
      <c r="T2" s="295" t="s">
        <v>223</v>
      </c>
      <c r="U2" s="296"/>
      <c r="V2" s="296"/>
      <c r="W2" s="297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83"/>
      <c r="AP2" s="160"/>
      <c r="AQ2" s="160"/>
      <c r="AR2" s="160"/>
      <c r="AS2" s="182"/>
      <c r="AT2" s="183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</row>
    <row r="3" spans="1:100" ht="39.75" customHeight="1" x14ac:dyDescent="0.35">
      <c r="A3" s="160"/>
      <c r="B3" s="286">
        <f>'Historical Snapshot'!A2</f>
        <v>2014</v>
      </c>
      <c r="C3" s="287"/>
      <c r="D3" s="160"/>
      <c r="E3" s="160"/>
      <c r="F3" s="166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288"/>
      <c r="R3" s="289"/>
      <c r="S3" s="160"/>
      <c r="T3" s="298"/>
      <c r="U3" s="299"/>
      <c r="V3" s="299"/>
      <c r="W3" s="300"/>
      <c r="X3" s="160"/>
      <c r="Y3" s="160"/>
      <c r="Z3" s="160"/>
      <c r="AA3" s="160"/>
      <c r="AB3" s="160"/>
      <c r="AC3" s="160"/>
      <c r="AD3" s="160"/>
      <c r="AE3" s="160"/>
      <c r="AF3" s="335">
        <f>$B$3</f>
        <v>2014</v>
      </c>
      <c r="AG3" s="335"/>
      <c r="AH3" s="335"/>
      <c r="AI3" s="335"/>
      <c r="AJ3" s="325" t="s">
        <v>249</v>
      </c>
      <c r="AK3" s="325" t="s">
        <v>250</v>
      </c>
      <c r="AL3" s="325" t="s">
        <v>251</v>
      </c>
      <c r="AM3" s="160"/>
      <c r="AN3" s="160"/>
      <c r="AO3" s="334" t="s">
        <v>300</v>
      </c>
      <c r="AP3" s="334"/>
      <c r="AQ3" s="334"/>
      <c r="AR3" s="334"/>
      <c r="AS3" s="325" t="s">
        <v>301</v>
      </c>
      <c r="AT3" s="325" t="s">
        <v>302</v>
      </c>
      <c r="AU3" s="325" t="s">
        <v>303</v>
      </c>
      <c r="AV3" s="325" t="s">
        <v>304</v>
      </c>
      <c r="AW3" s="160"/>
      <c r="AX3" s="160"/>
      <c r="AY3" s="160"/>
      <c r="AZ3" s="160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60"/>
      <c r="CP3" s="160"/>
      <c r="CQ3" s="160"/>
      <c r="CR3" s="160"/>
      <c r="CS3" s="160"/>
      <c r="CT3" s="160"/>
      <c r="CU3" s="160"/>
      <c r="CV3" s="160"/>
    </row>
    <row r="4" spans="1:100" s="154" customFormat="1" ht="10.5" customHeight="1" thickBot="1" x14ac:dyDescent="0.25">
      <c r="A4" s="167"/>
      <c r="B4" s="288"/>
      <c r="C4" s="289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290"/>
      <c r="R4" s="291"/>
      <c r="S4" s="167"/>
      <c r="T4" s="298"/>
      <c r="U4" s="299"/>
      <c r="V4" s="299"/>
      <c r="W4" s="300"/>
      <c r="X4" s="167"/>
      <c r="Y4" s="167"/>
      <c r="Z4" s="167"/>
      <c r="AA4" s="167"/>
      <c r="AB4" s="167"/>
      <c r="AC4" s="167"/>
      <c r="AD4" s="167"/>
      <c r="AE4" s="167"/>
      <c r="AF4" s="335"/>
      <c r="AG4" s="335"/>
      <c r="AH4" s="335"/>
      <c r="AI4" s="335"/>
      <c r="AJ4" s="325"/>
      <c r="AK4" s="325"/>
      <c r="AL4" s="325"/>
      <c r="AM4" s="167"/>
      <c r="AN4" s="167"/>
      <c r="AO4" s="334"/>
      <c r="AP4" s="334"/>
      <c r="AQ4" s="334"/>
      <c r="AR4" s="334"/>
      <c r="AS4" s="325"/>
      <c r="AT4" s="325"/>
      <c r="AU4" s="325"/>
      <c r="AV4" s="325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67"/>
      <c r="BU4" s="167"/>
      <c r="BV4" s="167"/>
      <c r="BW4" s="167"/>
      <c r="BX4" s="167"/>
      <c r="BY4" s="167"/>
      <c r="BZ4" s="167"/>
      <c r="CA4" s="167"/>
      <c r="CB4" s="167"/>
      <c r="CC4" s="167"/>
      <c r="CD4" s="167"/>
      <c r="CE4" s="167"/>
      <c r="CF4" s="167"/>
      <c r="CG4" s="167"/>
      <c r="CH4" s="167"/>
      <c r="CI4" s="167"/>
      <c r="CJ4" s="167"/>
      <c r="CK4" s="167"/>
      <c r="CL4" s="167"/>
      <c r="CM4" s="167"/>
      <c r="CN4" s="167"/>
      <c r="CO4" s="167"/>
      <c r="CP4" s="167"/>
      <c r="CQ4" s="167"/>
      <c r="CR4" s="167"/>
      <c r="CS4" s="167"/>
      <c r="CT4" s="167"/>
      <c r="CU4" s="167"/>
      <c r="CV4" s="167"/>
    </row>
    <row r="5" spans="1:100" s="155" customFormat="1" ht="39.75" customHeight="1" thickBot="1" x14ac:dyDescent="0.55000000000000004">
      <c r="A5" s="168"/>
      <c r="B5" s="290"/>
      <c r="C5" s="291"/>
      <c r="D5" s="168"/>
      <c r="E5" s="168"/>
      <c r="F5" s="295" t="s">
        <v>222</v>
      </c>
      <c r="G5" s="296"/>
      <c r="H5" s="297"/>
      <c r="I5" s="168"/>
      <c r="J5" s="168"/>
      <c r="K5" s="168"/>
      <c r="L5" s="168"/>
      <c r="M5" s="168"/>
      <c r="N5" s="168"/>
      <c r="O5" s="168"/>
      <c r="P5" s="168"/>
      <c r="Q5" s="168">
        <f>IF(Q9&gt;=0.5,4,IF(AND(Q9&lt;0.5,Q9&gt;0.4),2,IF(AND(Q9&lt;0.4,Q9&gt;0.25),1,0)))</f>
        <v>4</v>
      </c>
      <c r="R5" s="168"/>
      <c r="S5" s="168"/>
      <c r="T5" s="301"/>
      <c r="U5" s="302"/>
      <c r="V5" s="302"/>
      <c r="W5" s="303"/>
      <c r="X5" s="168"/>
      <c r="Y5" s="168"/>
      <c r="Z5" s="168"/>
      <c r="AA5" s="168">
        <f>IF(AA9&gt;=0.5,4,IF(AND(AA9&lt;0.5,AA9&gt;0.4),2,IF(AND(AA9&lt;0.4,AA9&gt;0.25),1,0)))</f>
        <v>4</v>
      </c>
      <c r="AB5" s="168"/>
      <c r="AC5" s="168"/>
      <c r="AD5" s="168"/>
      <c r="AE5" s="168"/>
      <c r="AF5" s="335"/>
      <c r="AG5" s="335"/>
      <c r="AH5" s="335"/>
      <c r="AI5" s="335"/>
      <c r="AJ5" s="325"/>
      <c r="AK5" s="325"/>
      <c r="AL5" s="325"/>
      <c r="AM5" s="168"/>
      <c r="AN5" s="168"/>
      <c r="AO5" s="334"/>
      <c r="AP5" s="334"/>
      <c r="AQ5" s="334"/>
      <c r="AR5" s="334"/>
      <c r="AS5" s="325"/>
      <c r="AT5" s="325"/>
      <c r="AU5" s="325"/>
      <c r="AV5" s="325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/>
      <c r="BU5" s="168"/>
      <c r="BV5" s="168"/>
      <c r="BW5" s="168"/>
      <c r="BX5" s="168"/>
      <c r="BY5" s="168"/>
      <c r="BZ5" s="168"/>
      <c r="CA5" s="168"/>
      <c r="CB5" s="168"/>
      <c r="CC5" s="168"/>
      <c r="CD5" s="168"/>
      <c r="CE5" s="168"/>
      <c r="CF5" s="168"/>
      <c r="CG5" s="168"/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</row>
    <row r="6" spans="1:100" s="155" customFormat="1" ht="10.5" customHeight="1" x14ac:dyDescent="0.5">
      <c r="A6" s="168"/>
      <c r="B6" s="168"/>
      <c r="C6" s="168"/>
      <c r="D6" s="168"/>
      <c r="E6" s="168"/>
      <c r="F6" s="298"/>
      <c r="G6" s="299"/>
      <c r="H6" s="300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314" t="str">
        <f>Q8</f>
        <v>San Antonio Spurs</v>
      </c>
      <c r="AG6" s="314"/>
      <c r="AH6" s="314"/>
      <c r="AI6" s="314"/>
      <c r="AJ6" s="325">
        <f>B11+IF(B11=4,D17,0)+IF(AND(B11=4,D17=4),F29,0)+IF(AND(B11=4,D17=4,F29=4),$G$48,0)</f>
        <v>16</v>
      </c>
      <c r="AK6" s="325">
        <f>Q5+IF(Q5=4,S11,0)+IF(AND(Q5=4,S11=4),U23,0)+IF(AND(Q5=4,S11=4,U23=4),V47,0)</f>
        <v>16</v>
      </c>
      <c r="AL6" s="332">
        <f>AJ6-AK6</f>
        <v>0</v>
      </c>
      <c r="AM6" s="168"/>
      <c r="AN6" s="168"/>
      <c r="AO6" s="314">
        <v>2020</v>
      </c>
      <c r="AP6" s="314"/>
      <c r="AQ6" s="314"/>
      <c r="AR6" s="314"/>
      <c r="AS6" s="325" t="s">
        <v>128</v>
      </c>
      <c r="AT6" s="325" t="s">
        <v>153</v>
      </c>
      <c r="AU6" s="332">
        <v>5</v>
      </c>
      <c r="AV6" s="332">
        <v>10</v>
      </c>
      <c r="AW6" s="168"/>
      <c r="AX6" s="168"/>
      <c r="AY6" s="168"/>
      <c r="AZ6" s="168"/>
      <c r="BA6" s="168"/>
      <c r="BB6" s="168"/>
      <c r="BC6" s="168"/>
      <c r="BD6" s="168"/>
      <c r="BE6" s="168"/>
      <c r="BF6" s="168"/>
      <c r="BG6" s="168"/>
      <c r="BH6" s="168"/>
      <c r="BI6" s="168"/>
      <c r="BJ6" s="168"/>
      <c r="BK6" s="168"/>
      <c r="BL6" s="168"/>
      <c r="BM6" s="168"/>
      <c r="BN6" s="168"/>
      <c r="BO6" s="168"/>
      <c r="BP6" s="168"/>
      <c r="BQ6" s="168"/>
      <c r="BR6" s="168"/>
      <c r="BS6" s="168"/>
      <c r="BT6" s="168"/>
      <c r="BU6" s="168"/>
      <c r="BV6" s="168"/>
      <c r="BW6" s="168"/>
      <c r="BX6" s="168"/>
      <c r="BY6" s="168"/>
      <c r="BZ6" s="168"/>
      <c r="CA6" s="168"/>
      <c r="CB6" s="168"/>
      <c r="CC6" s="168"/>
      <c r="CD6" s="168"/>
      <c r="CE6" s="168"/>
      <c r="CF6" s="168"/>
      <c r="CG6" s="168"/>
      <c r="CH6" s="168"/>
      <c r="CI6" s="168"/>
      <c r="CJ6" s="168"/>
      <c r="CK6" s="168"/>
      <c r="CL6" s="168"/>
      <c r="CM6" s="168"/>
      <c r="CN6" s="168"/>
      <c r="CO6" s="168"/>
      <c r="CP6" s="168"/>
      <c r="CQ6" s="168"/>
      <c r="CR6" s="168"/>
      <c r="CS6" s="168"/>
      <c r="CT6" s="168"/>
      <c r="CU6" s="168"/>
      <c r="CV6" s="168"/>
    </row>
    <row r="7" spans="1:100" s="155" customFormat="1" ht="10.5" customHeight="1" x14ac:dyDescent="0.5">
      <c r="A7" s="168"/>
      <c r="B7" s="168"/>
      <c r="C7" s="168"/>
      <c r="D7" s="168"/>
      <c r="E7" s="168"/>
      <c r="F7" s="298"/>
      <c r="G7" s="299"/>
      <c r="H7" s="300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314"/>
      <c r="AG7" s="314"/>
      <c r="AH7" s="314"/>
      <c r="AI7" s="314"/>
      <c r="AJ7" s="325"/>
      <c r="AK7" s="325"/>
      <c r="AL7" s="332"/>
      <c r="AM7" s="179"/>
      <c r="AN7" s="179"/>
      <c r="AO7" s="314"/>
      <c r="AP7" s="314"/>
      <c r="AQ7" s="314"/>
      <c r="AR7" s="314"/>
      <c r="AS7" s="325"/>
      <c r="AT7" s="325"/>
      <c r="AU7" s="332"/>
      <c r="AV7" s="332"/>
      <c r="AW7" s="168"/>
      <c r="AX7" s="168"/>
      <c r="AY7" s="168"/>
      <c r="AZ7" s="168"/>
      <c r="BA7" s="168"/>
      <c r="BB7" s="168"/>
      <c r="BC7" s="168"/>
      <c r="BD7" s="168"/>
      <c r="BE7" s="168"/>
      <c r="BF7" s="168"/>
      <c r="BG7" s="168"/>
      <c r="BH7" s="168"/>
      <c r="BI7" s="168"/>
      <c r="BJ7" s="168"/>
      <c r="BK7" s="168"/>
      <c r="BL7" s="168"/>
      <c r="BM7" s="168"/>
      <c r="BN7" s="168"/>
      <c r="BO7" s="168"/>
      <c r="BP7" s="168"/>
      <c r="BQ7" s="168"/>
      <c r="BR7" s="168"/>
      <c r="BS7" s="168"/>
      <c r="BT7" s="168"/>
      <c r="BU7" s="168"/>
      <c r="BV7" s="168"/>
      <c r="BW7" s="168"/>
      <c r="BX7" s="168"/>
      <c r="BY7" s="168"/>
      <c r="BZ7" s="168"/>
      <c r="CA7" s="168"/>
      <c r="CB7" s="168"/>
      <c r="CC7" s="168"/>
      <c r="CD7" s="168"/>
      <c r="CE7" s="168"/>
      <c r="CF7" s="168"/>
      <c r="CG7" s="168"/>
      <c r="CH7" s="168"/>
      <c r="CI7" s="168"/>
      <c r="CJ7" s="168"/>
      <c r="CK7" s="168"/>
      <c r="CL7" s="168"/>
      <c r="CM7" s="168"/>
      <c r="CN7" s="168"/>
      <c r="CO7" s="168"/>
      <c r="CP7" s="168"/>
      <c r="CQ7" s="168"/>
      <c r="CR7" s="168"/>
      <c r="CS7" s="168"/>
      <c r="CT7" s="168"/>
      <c r="CU7" s="168"/>
      <c r="CV7" s="168"/>
    </row>
    <row r="8" spans="1:100" s="155" customFormat="1" ht="39.75" customHeight="1" thickBot="1" x14ac:dyDescent="0.55000000000000004">
      <c r="A8" s="177">
        <v>1</v>
      </c>
      <c r="B8" s="159" t="str">
        <f>IF(OR($B$3=2003,$B$3=2006,$B$3=2011,$B$3=2012,$B$3=2014),"San Antonio Spurs",IF(OR($B$3=2008,$B$3=2009,$B$3=2010,$B$3=2020),"Los Angeles Lakers",IF($B$3=2004,"Minnesota Timberwolves",IF($B$3=2005,"Phoenix Suns",IF($B$3=2007,"Dallas Mavericks",IF($B$3=2013,"Oklahoma City Thunder",IF($B$3=2018,"Houston Rockets","Golden State Warriors")))))))</f>
        <v>San Antonio Spurs</v>
      </c>
      <c r="C8" s="168"/>
      <c r="D8" s="168"/>
      <c r="E8" s="168"/>
      <c r="F8" s="301"/>
      <c r="G8" s="302"/>
      <c r="H8" s="303"/>
      <c r="I8" s="168"/>
      <c r="J8" s="168"/>
      <c r="K8" s="168"/>
      <c r="L8" s="157" t="str">
        <f>IF(OR($B$3=2004,$B$3=2014),"Indiana Pacers",IF($B$3=2015,"Atlanta Hawks",IF(OR($B$3=2009,$B$3=2010,$B$3=2016),"Cleveland Cavaliers",IF(OR($B$3=2008,$B$3=2017),"Boston Celtics",IF($B$3=2018,"Toronto Raptors",IF(OR($B$3=2019,$B$3=2020),"Milwaukee Bucks",IF(OR($B$3=2005,$B$3=2013),"Miami Heat",IF(OR($B$3=2011,$B$3=2012),"Chicago Bulls","Detroit Pistons"))))))))</f>
        <v>Indiana Pacers</v>
      </c>
      <c r="M8" s="177">
        <v>1</v>
      </c>
      <c r="N8" s="168"/>
      <c r="O8" s="168"/>
      <c r="P8" s="177">
        <v>1</v>
      </c>
      <c r="Q8" s="156" t="str">
        <f>B8</f>
        <v>San Antonio Spurs</v>
      </c>
      <c r="R8" s="168"/>
      <c r="S8" s="168"/>
      <c r="T8" s="180"/>
      <c r="U8" s="180"/>
      <c r="V8" s="178" t="s">
        <v>315</v>
      </c>
      <c r="W8" s="180" t="s">
        <v>323</v>
      </c>
      <c r="X8" s="168"/>
      <c r="Y8" s="168"/>
      <c r="Z8" s="168"/>
      <c r="AA8" s="157" t="str">
        <f>L8</f>
        <v>Indiana Pacers</v>
      </c>
      <c r="AB8" s="177">
        <v>1</v>
      </c>
      <c r="AC8" s="168"/>
      <c r="AD8" s="168"/>
      <c r="AE8" s="168"/>
      <c r="AF8" s="314"/>
      <c r="AG8" s="314"/>
      <c r="AH8" s="314"/>
      <c r="AI8" s="314"/>
      <c r="AJ8" s="325"/>
      <c r="AK8" s="325"/>
      <c r="AL8" s="332"/>
      <c r="AM8" s="179"/>
      <c r="AN8" s="179"/>
      <c r="AO8" s="314"/>
      <c r="AP8" s="314"/>
      <c r="AQ8" s="314"/>
      <c r="AR8" s="314"/>
      <c r="AS8" s="325"/>
      <c r="AT8" s="325"/>
      <c r="AU8" s="332"/>
      <c r="AV8" s="332"/>
      <c r="AW8" s="168"/>
      <c r="AX8" s="168"/>
      <c r="AY8" s="168"/>
      <c r="AZ8" s="168"/>
      <c r="BA8" s="168"/>
      <c r="BB8" s="168"/>
      <c r="BC8" s="168"/>
      <c r="BD8" s="168"/>
      <c r="BE8" s="168"/>
      <c r="BF8" s="168"/>
      <c r="BG8" s="168"/>
      <c r="BH8" s="168"/>
      <c r="BI8" s="168"/>
      <c r="BJ8" s="168"/>
      <c r="BK8" s="168"/>
      <c r="BL8" s="168"/>
      <c r="BM8" s="168"/>
      <c r="BN8" s="168"/>
      <c r="BO8" s="168"/>
      <c r="BP8" s="168"/>
      <c r="BQ8" s="168"/>
      <c r="BR8" s="168"/>
      <c r="BS8" s="168"/>
      <c r="BT8" s="168"/>
      <c r="BU8" s="168"/>
      <c r="BV8" s="168"/>
      <c r="BW8" s="168"/>
      <c r="BX8" s="168"/>
      <c r="BY8" s="168"/>
      <c r="BZ8" s="168"/>
      <c r="CA8" s="168"/>
      <c r="CB8" s="168"/>
      <c r="CC8" s="168"/>
      <c r="CD8" s="168"/>
      <c r="CE8" s="168"/>
      <c r="CF8" s="168"/>
      <c r="CG8" s="168"/>
      <c r="CH8" s="168"/>
      <c r="CI8" s="168"/>
      <c r="CJ8" s="168"/>
      <c r="CK8" s="168"/>
      <c r="CL8" s="168"/>
      <c r="CM8" s="168"/>
      <c r="CN8" s="168"/>
      <c r="CO8" s="168"/>
      <c r="CP8" s="168"/>
      <c r="CQ8" s="168"/>
      <c r="CR8" s="168"/>
      <c r="CS8" s="168"/>
      <c r="CT8" s="168"/>
      <c r="CU8" s="168"/>
      <c r="CV8" s="168"/>
    </row>
    <row r="9" spans="1:100" s="155" customFormat="1" ht="10.5" customHeight="1" x14ac:dyDescent="0.5">
      <c r="A9" s="168"/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285">
        <f>INDEX('Historical Snapshot'!$D$55:$AH$84,MATCH(Q8,'Historical Snapshot'!$C$55:$C$84,0),MATCH(Q20,'Historical Snapshot'!$D$54:$AH$54,0))</f>
        <v>0.66189518268000291</v>
      </c>
      <c r="R9" s="168"/>
      <c r="S9" s="168"/>
      <c r="T9" s="180"/>
      <c r="U9" s="180"/>
      <c r="V9" s="341" t="str">
        <f>$Q$2&amp;" Record: "&amp;SUM($G$117:$G$131)&amp;" - "&amp;(15-SUM($G$117:$G$131))</f>
        <v>2014 Record: 12 - 3</v>
      </c>
      <c r="W9" s="180"/>
      <c r="X9" s="168"/>
      <c r="Y9" s="168"/>
      <c r="Z9" s="168"/>
      <c r="AA9" s="285">
        <f>INDEX('Historical Snapshot'!$D$55:$AH$84,MATCH(AA8,'Historical Snapshot'!$C$55:$C$84,0),MATCH(AA20,'Historical Snapshot'!$D$54:$AH$54,0))</f>
        <v>0.71235284988453873</v>
      </c>
      <c r="AB9" s="177"/>
      <c r="AC9" s="168"/>
      <c r="AD9" s="168"/>
      <c r="AE9" s="168"/>
      <c r="AF9" s="314" t="str">
        <f>Q82</f>
        <v>Oklahoma City Thunder</v>
      </c>
      <c r="AG9" s="314"/>
      <c r="AH9" s="314"/>
      <c r="AI9" s="314"/>
      <c r="AJ9" s="325">
        <f>B85+IF(B85=4,D85,0)+IF(AND(B85=4,D85=4),F73,0)+IF(AND(B85=4,D85=4,F73=4),$G$48,0)</f>
        <v>10</v>
      </c>
      <c r="AK9" s="325">
        <f>Q79+IF(Q79=4,S91,0)+IF(AND(Q79=4,S91=4),U79,0)+IF(AND(Q79=4,S91=4,U79=4),$V$47,0)</f>
        <v>6</v>
      </c>
      <c r="AL9" s="326">
        <f>AJ9-AK9</f>
        <v>4</v>
      </c>
      <c r="AM9" s="179"/>
      <c r="AN9" s="179"/>
      <c r="AO9" s="314">
        <v>2019</v>
      </c>
      <c r="AP9" s="314"/>
      <c r="AQ9" s="314"/>
      <c r="AR9" s="314"/>
      <c r="AS9" s="325" t="s">
        <v>128</v>
      </c>
      <c r="AT9" s="325" t="s">
        <v>129</v>
      </c>
      <c r="AU9" s="326">
        <v>10</v>
      </c>
      <c r="AV9" s="326">
        <v>10</v>
      </c>
      <c r="AW9" s="168"/>
      <c r="AX9" s="168"/>
      <c r="AY9" s="168"/>
      <c r="AZ9" s="168"/>
      <c r="BA9" s="168"/>
      <c r="BB9" s="168"/>
      <c r="BC9" s="168"/>
      <c r="BD9" s="168"/>
      <c r="BE9" s="168"/>
      <c r="BF9" s="168"/>
      <c r="BG9" s="168"/>
      <c r="BH9" s="168"/>
      <c r="BI9" s="168"/>
      <c r="BJ9" s="168"/>
      <c r="BK9" s="168"/>
      <c r="BL9" s="168"/>
      <c r="BM9" s="168"/>
      <c r="BN9" s="168"/>
      <c r="BO9" s="168"/>
      <c r="BP9" s="168"/>
      <c r="BQ9" s="168"/>
      <c r="BR9" s="168"/>
      <c r="BS9" s="168"/>
      <c r="BT9" s="168"/>
      <c r="BU9" s="168"/>
      <c r="BV9" s="168"/>
      <c r="BW9" s="168"/>
      <c r="BX9" s="168"/>
      <c r="BY9" s="168"/>
      <c r="BZ9" s="168"/>
      <c r="CA9" s="168"/>
      <c r="CB9" s="168"/>
      <c r="CC9" s="168"/>
      <c r="CD9" s="168"/>
      <c r="CE9" s="168"/>
      <c r="CF9" s="168"/>
      <c r="CG9" s="168"/>
      <c r="CH9" s="168"/>
      <c r="CI9" s="168"/>
      <c r="CJ9" s="168"/>
      <c r="CK9" s="168"/>
      <c r="CL9" s="168"/>
      <c r="CM9" s="168"/>
      <c r="CN9" s="168"/>
      <c r="CO9" s="168"/>
      <c r="CP9" s="168"/>
      <c r="CQ9" s="168"/>
      <c r="CR9" s="168"/>
      <c r="CS9" s="168"/>
      <c r="CT9" s="168"/>
      <c r="CU9" s="168"/>
      <c r="CV9" s="168"/>
    </row>
    <row r="10" spans="1:100" s="155" customFormat="1" ht="10.5" customHeight="1" x14ac:dyDescent="0.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283"/>
      <c r="R10" s="168"/>
      <c r="S10" s="168"/>
      <c r="T10" s="180"/>
      <c r="U10" s="180"/>
      <c r="V10" s="341"/>
      <c r="W10" s="180"/>
      <c r="X10" s="168"/>
      <c r="Y10" s="168"/>
      <c r="Z10" s="168"/>
      <c r="AA10" s="283"/>
      <c r="AB10" s="177"/>
      <c r="AC10" s="168"/>
      <c r="AD10" s="168"/>
      <c r="AE10" s="168"/>
      <c r="AF10" s="314"/>
      <c r="AG10" s="314"/>
      <c r="AH10" s="314"/>
      <c r="AI10" s="314"/>
      <c r="AJ10" s="325"/>
      <c r="AK10" s="325"/>
      <c r="AL10" s="326"/>
      <c r="AM10" s="179"/>
      <c r="AN10" s="179"/>
      <c r="AO10" s="314"/>
      <c r="AP10" s="314"/>
      <c r="AQ10" s="314"/>
      <c r="AR10" s="314"/>
      <c r="AS10" s="325"/>
      <c r="AT10" s="325"/>
      <c r="AU10" s="326"/>
      <c r="AV10" s="326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168"/>
      <c r="BJ10" s="168"/>
      <c r="BK10" s="168"/>
      <c r="BL10" s="168"/>
      <c r="BM10" s="168"/>
      <c r="BN10" s="168"/>
      <c r="BO10" s="168"/>
      <c r="BP10" s="168"/>
      <c r="BQ10" s="168"/>
      <c r="BR10" s="168"/>
      <c r="BS10" s="168"/>
      <c r="BT10" s="168"/>
      <c r="BU10" s="168"/>
      <c r="BV10" s="168"/>
      <c r="BW10" s="168"/>
      <c r="BX10" s="168"/>
      <c r="BY10" s="168"/>
      <c r="BZ10" s="168"/>
      <c r="CA10" s="168"/>
      <c r="CB10" s="168"/>
      <c r="CC10" s="168"/>
      <c r="CD10" s="168"/>
      <c r="CE10" s="168"/>
      <c r="CF10" s="168"/>
      <c r="CG10" s="168"/>
      <c r="CH10" s="168"/>
      <c r="CI10" s="168"/>
      <c r="CJ10" s="168"/>
      <c r="CK10" s="168"/>
      <c r="CL10" s="168"/>
      <c r="CM10" s="168"/>
      <c r="CN10" s="168"/>
      <c r="CO10" s="168"/>
      <c r="CP10" s="168"/>
      <c r="CQ10" s="168"/>
      <c r="CR10" s="168"/>
      <c r="CS10" s="168"/>
      <c r="CT10" s="168"/>
      <c r="CU10" s="168"/>
      <c r="CV10" s="168"/>
    </row>
    <row r="11" spans="1:100" s="155" customFormat="1" ht="39.75" customHeight="1" x14ac:dyDescent="0.5">
      <c r="A11" s="168"/>
      <c r="B11" s="168">
        <f>IF(OR($B$3=2011,$B$3=2007),2,4)</f>
        <v>4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>
        <f>IF($B$3=2012,2,4)</f>
        <v>4</v>
      </c>
      <c r="M11" s="168"/>
      <c r="N11" s="168"/>
      <c r="O11" s="168"/>
      <c r="P11" s="168"/>
      <c r="Q11" s="283"/>
      <c r="R11" s="168"/>
      <c r="S11" s="168">
        <f>IF(S15&gt;=0.5,4,IF(AND(S15&lt;0.5,S15&gt;0.4),2,IF(AND(S15&lt;0.4,S15&gt;0.25),1,0)))</f>
        <v>4</v>
      </c>
      <c r="T11" s="180"/>
      <c r="U11" s="180"/>
      <c r="V11" s="341"/>
      <c r="W11" s="180" t="str">
        <f>K131&amp;"  Exactly"</f>
        <v>3  Exactly</v>
      </c>
      <c r="X11" s="168"/>
      <c r="Y11" s="168">
        <f>IF(Y16&gt;=0.5,4,IF(AND(Y16&lt;0.5,Y16&gt;0.4),2,IF(AND(Y16&lt;0.4,Y16&gt;0.25),1,0)))</f>
        <v>4</v>
      </c>
      <c r="Z11" s="168"/>
      <c r="AA11" s="283"/>
      <c r="AB11" s="177"/>
      <c r="AC11" s="168"/>
      <c r="AD11" s="168"/>
      <c r="AE11" s="168"/>
      <c r="AF11" s="314"/>
      <c r="AG11" s="314"/>
      <c r="AH11" s="314"/>
      <c r="AI11" s="314"/>
      <c r="AJ11" s="325"/>
      <c r="AK11" s="325"/>
      <c r="AL11" s="326"/>
      <c r="AM11" s="179"/>
      <c r="AN11" s="179"/>
      <c r="AO11" s="314"/>
      <c r="AP11" s="314"/>
      <c r="AQ11" s="314"/>
      <c r="AR11" s="314"/>
      <c r="AS11" s="325"/>
      <c r="AT11" s="325"/>
      <c r="AU11" s="326"/>
      <c r="AV11" s="326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</row>
    <row r="12" spans="1:100" s="155" customFormat="1" ht="10.5" customHeight="1" x14ac:dyDescent="0.5">
      <c r="A12" s="168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77"/>
      <c r="AC12" s="168"/>
      <c r="AD12" s="168"/>
      <c r="AE12" s="168"/>
      <c r="AF12" s="314" t="str">
        <f>Q58</f>
        <v>Los Angeles Clippers</v>
      </c>
      <c r="AG12" s="314"/>
      <c r="AH12" s="314"/>
      <c r="AI12" s="314"/>
      <c r="AJ12" s="325">
        <f>B61+IF(B61=4,D67,0)+IF(AND(B61=4,D67=4),F73,0)+IF(AND(B61=4,D67=4,F73=4),$G$48,0)</f>
        <v>6</v>
      </c>
      <c r="AK12" s="325">
        <f>Q55+IF(Q55=4,S63,0)+IF(AND(Q55=4,S63=4),U79,0)+IF(AND(Q55=4,S63=4,U79=4),$V$47,0)</f>
        <v>10</v>
      </c>
      <c r="AL12" s="326">
        <f>AJ12-AK12</f>
        <v>-4</v>
      </c>
      <c r="AM12" s="179"/>
      <c r="AN12" s="179"/>
      <c r="AO12" s="314">
        <v>2018</v>
      </c>
      <c r="AP12" s="314"/>
      <c r="AQ12" s="314"/>
      <c r="AR12" s="314"/>
      <c r="AS12" s="325" t="s">
        <v>156</v>
      </c>
      <c r="AT12" s="325" t="s">
        <v>173</v>
      </c>
      <c r="AU12" s="326">
        <v>11</v>
      </c>
      <c r="AV12" s="326">
        <v>10</v>
      </c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</row>
    <row r="13" spans="1:100" s="155" customFormat="1" ht="10.5" customHeight="1" x14ac:dyDescent="0.5">
      <c r="A13" s="168"/>
      <c r="B13" s="168"/>
      <c r="C13" s="168"/>
      <c r="D13" s="168"/>
      <c r="E13" s="168"/>
      <c r="F13" s="168"/>
      <c r="G13" s="168"/>
      <c r="H13" s="168"/>
      <c r="I13" s="168"/>
      <c r="J13" s="170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70"/>
      <c r="Z13" s="168"/>
      <c r="AA13" s="168"/>
      <c r="AB13" s="177"/>
      <c r="AC13" s="168"/>
      <c r="AD13" s="168"/>
      <c r="AE13" s="168"/>
      <c r="AF13" s="314"/>
      <c r="AG13" s="314"/>
      <c r="AH13" s="314"/>
      <c r="AI13" s="314"/>
      <c r="AJ13" s="325"/>
      <c r="AK13" s="325"/>
      <c r="AL13" s="326"/>
      <c r="AM13" s="179"/>
      <c r="AN13" s="179"/>
      <c r="AO13" s="314"/>
      <c r="AP13" s="314"/>
      <c r="AQ13" s="314"/>
      <c r="AR13" s="314"/>
      <c r="AS13" s="325"/>
      <c r="AT13" s="325"/>
      <c r="AU13" s="326"/>
      <c r="AV13" s="326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  <c r="CG13" s="168"/>
      <c r="CH13" s="168"/>
      <c r="CI13" s="168"/>
      <c r="CJ13" s="168"/>
      <c r="CK13" s="168"/>
      <c r="CL13" s="168"/>
      <c r="CM13" s="168"/>
      <c r="CN13" s="168"/>
      <c r="CO13" s="168"/>
      <c r="CP13" s="168"/>
      <c r="CQ13" s="168"/>
      <c r="CR13" s="168"/>
      <c r="CS13" s="168"/>
      <c r="CT13" s="168"/>
      <c r="CU13" s="168"/>
      <c r="CV13" s="168"/>
    </row>
    <row r="14" spans="1:100" s="155" customFormat="1" ht="39.75" customHeight="1" x14ac:dyDescent="0.5">
      <c r="A14" s="168"/>
      <c r="B14" s="168"/>
      <c r="C14" s="171"/>
      <c r="D14" s="156" t="str">
        <f>IF(OR($B$3=2011,$B$3=2007),B20,B8)</f>
        <v>San Antonio Spurs</v>
      </c>
      <c r="E14" s="168"/>
      <c r="F14" s="168"/>
      <c r="G14" s="168"/>
      <c r="H14" s="168"/>
      <c r="I14" s="168"/>
      <c r="J14" s="158" t="str">
        <f>IF($B$3=2012,L20,L8)</f>
        <v>Indiana Pacers</v>
      </c>
      <c r="K14" s="168"/>
      <c r="L14" s="168"/>
      <c r="M14" s="168"/>
      <c r="N14" s="168"/>
      <c r="O14" s="168"/>
      <c r="P14" s="168"/>
      <c r="Q14" s="168"/>
      <c r="R14" s="171"/>
      <c r="S14" s="156" t="str">
        <f>IF(Q9&gt;=0.5,Q8,Q20)</f>
        <v>San Antonio Spurs</v>
      </c>
      <c r="T14" s="168"/>
      <c r="U14" s="168"/>
      <c r="V14" s="187" t="s">
        <v>305</v>
      </c>
      <c r="W14" s="168"/>
      <c r="X14" s="168"/>
      <c r="Y14" s="158" t="str">
        <f>IF(AA9&gt;=0.5,AA8,AA20)</f>
        <v>Indiana Pacers</v>
      </c>
      <c r="Z14" s="168"/>
      <c r="AA14" s="168"/>
      <c r="AB14" s="177"/>
      <c r="AC14" s="168"/>
      <c r="AD14" s="168"/>
      <c r="AE14" s="168"/>
      <c r="AF14" s="314"/>
      <c r="AG14" s="314"/>
      <c r="AH14" s="314"/>
      <c r="AI14" s="314"/>
      <c r="AJ14" s="325"/>
      <c r="AK14" s="325"/>
      <c r="AL14" s="326"/>
      <c r="AM14" s="179"/>
      <c r="AN14" s="179"/>
      <c r="AO14" s="314"/>
      <c r="AP14" s="314"/>
      <c r="AQ14" s="314"/>
      <c r="AR14" s="314"/>
      <c r="AS14" s="325"/>
      <c r="AT14" s="325"/>
      <c r="AU14" s="326"/>
      <c r="AV14" s="326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8"/>
      <c r="BX14" s="168"/>
      <c r="BY14" s="168"/>
      <c r="BZ14" s="168"/>
      <c r="CA14" s="168"/>
      <c r="CB14" s="168"/>
      <c r="CC14" s="168"/>
      <c r="CD14" s="168"/>
      <c r="CE14" s="168"/>
      <c r="CF14" s="168"/>
      <c r="CG14" s="168"/>
      <c r="CH14" s="168"/>
      <c r="CI14" s="168"/>
      <c r="CJ14" s="168"/>
      <c r="CK14" s="168"/>
      <c r="CL14" s="168"/>
      <c r="CM14" s="168"/>
      <c r="CN14" s="168"/>
      <c r="CO14" s="168"/>
      <c r="CP14" s="168"/>
      <c r="CQ14" s="168"/>
      <c r="CR14" s="168"/>
      <c r="CS14" s="168"/>
      <c r="CT14" s="168"/>
      <c r="CU14" s="168"/>
      <c r="CV14" s="168"/>
    </row>
    <row r="15" spans="1:100" s="155" customFormat="1" ht="10.5" customHeight="1" x14ac:dyDescent="0.5">
      <c r="A15" s="168"/>
      <c r="B15" s="168"/>
      <c r="C15" s="168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285">
        <f>INDEX('Historical Snapshot'!$D$55:$AH$84,MATCH(S14,'Historical Snapshot'!$C$55:$C$84,0),MATCH(S38,'Historical Snapshot'!$D$54:$AH$54,0))</f>
        <v>0.58947681562065679</v>
      </c>
      <c r="T15" s="168"/>
      <c r="U15" s="168"/>
      <c r="V15" s="308" t="str">
        <f>INDEX(D117:D131,MATCH(W17,H117:H131,0))</f>
        <v>Brooklyn Nets</v>
      </c>
      <c r="W15" s="168"/>
      <c r="X15" s="168"/>
      <c r="Y15" s="168"/>
      <c r="Z15" s="168"/>
      <c r="AA15" s="168"/>
      <c r="AB15" s="177"/>
      <c r="AC15" s="168"/>
      <c r="AD15" s="168"/>
      <c r="AE15" s="168"/>
      <c r="AF15" s="314" t="str">
        <f>Q32</f>
        <v>Houston Rockets</v>
      </c>
      <c r="AG15" s="314"/>
      <c r="AH15" s="314"/>
      <c r="AI15" s="314"/>
      <c r="AJ15" s="325">
        <f>B35+IF(B35=4,D35,0)+IF(AND(B35=4,D35=4),F29,0)+IF(AND(B35=4,D35=4,F29=4),$G$48,0)</f>
        <v>2</v>
      </c>
      <c r="AK15" s="325">
        <f>Q29+IF(Q29=4,S41,0)+IF(AND(Q29=4,S41=4),U23,0)+IF(AND(Q29=4,S41=4,U23=4),$V$47,0)</f>
        <v>2</v>
      </c>
      <c r="AL15" s="326">
        <f>AJ15-AK15</f>
        <v>0</v>
      </c>
      <c r="AM15" s="179"/>
      <c r="AN15" s="179"/>
      <c r="AO15" s="314">
        <v>2017</v>
      </c>
      <c r="AP15" s="314"/>
      <c r="AQ15" s="314"/>
      <c r="AR15" s="314"/>
      <c r="AS15" s="325" t="s">
        <v>173</v>
      </c>
      <c r="AT15" s="325" t="s">
        <v>173</v>
      </c>
      <c r="AU15" s="326">
        <v>16</v>
      </c>
      <c r="AV15" s="326">
        <v>16</v>
      </c>
      <c r="AW15" s="168"/>
      <c r="AX15" s="168"/>
      <c r="AY15" s="168"/>
      <c r="AZ15" s="168"/>
      <c r="BA15" s="168"/>
      <c r="BB15" s="168"/>
      <c r="BC15" s="168"/>
      <c r="BD15" s="168"/>
      <c r="BE15" s="168"/>
      <c r="BF15" s="168"/>
      <c r="BG15" s="168"/>
      <c r="BH15" s="168"/>
      <c r="BI15" s="168"/>
      <c r="BJ15" s="168"/>
      <c r="BK15" s="168"/>
      <c r="BL15" s="168"/>
      <c r="BM15" s="168"/>
      <c r="BN15" s="168"/>
      <c r="BO15" s="168"/>
      <c r="BP15" s="168"/>
      <c r="BQ15" s="168"/>
      <c r="BR15" s="168"/>
      <c r="BS15" s="168"/>
      <c r="BT15" s="168"/>
      <c r="BU15" s="168"/>
      <c r="BV15" s="168"/>
      <c r="BW15" s="168"/>
      <c r="BX15" s="168"/>
      <c r="BY15" s="168"/>
      <c r="BZ15" s="168"/>
      <c r="CA15" s="168"/>
      <c r="CB15" s="168"/>
      <c r="CC15" s="168"/>
      <c r="CD15" s="168"/>
      <c r="CE15" s="168"/>
      <c r="CF15" s="168"/>
      <c r="CG15" s="168"/>
      <c r="CH15" s="168"/>
      <c r="CI15" s="168"/>
      <c r="CJ15" s="168"/>
      <c r="CK15" s="168"/>
      <c r="CL15" s="168"/>
      <c r="CM15" s="168"/>
      <c r="CN15" s="168"/>
      <c r="CO15" s="168"/>
      <c r="CP15" s="168"/>
      <c r="CQ15" s="168"/>
      <c r="CR15" s="168"/>
      <c r="CS15" s="168"/>
      <c r="CT15" s="168"/>
      <c r="CU15" s="168"/>
      <c r="CV15" s="168"/>
    </row>
    <row r="16" spans="1:100" s="155" customFormat="1" ht="10.5" customHeight="1" x14ac:dyDescent="0.5">
      <c r="A16" s="168"/>
      <c r="B16" s="168"/>
      <c r="C16" s="168"/>
      <c r="D16" s="168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283"/>
      <c r="T16" s="168"/>
      <c r="U16" s="168"/>
      <c r="V16" s="308"/>
      <c r="W16" s="168"/>
      <c r="X16" s="168"/>
      <c r="Y16" s="283">
        <f>INDEX('Historical Snapshot'!$D$55:$AH$84,MATCH(Y14,'Historical Snapshot'!$C$55:$C$84,0),MATCH(Y38,'Historical Snapshot'!$D$54:$AH$54,0))</f>
        <v>0.59471172009200579</v>
      </c>
      <c r="Z16" s="168"/>
      <c r="AA16" s="168"/>
      <c r="AB16" s="177"/>
      <c r="AC16" s="168"/>
      <c r="AD16" s="168"/>
      <c r="AE16" s="168"/>
      <c r="AF16" s="314"/>
      <c r="AG16" s="314"/>
      <c r="AH16" s="314"/>
      <c r="AI16" s="314"/>
      <c r="AJ16" s="325"/>
      <c r="AK16" s="325"/>
      <c r="AL16" s="326"/>
      <c r="AM16" s="179"/>
      <c r="AN16" s="179"/>
      <c r="AO16" s="314"/>
      <c r="AP16" s="314"/>
      <c r="AQ16" s="314"/>
      <c r="AR16" s="314"/>
      <c r="AS16" s="325"/>
      <c r="AT16" s="325"/>
      <c r="AU16" s="326"/>
      <c r="AV16" s="326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</row>
    <row r="17" spans="1:100" s="155" customFormat="1" ht="39.75" customHeight="1" x14ac:dyDescent="0.5">
      <c r="A17" s="168"/>
      <c r="B17" s="168">
        <f>IF(OR($B$3=2012,$B$3=2008,$B$3=2005,$B$3=2015,$B$3=2017),0,IF(OR($B$3=2013,$B$3=2010,$B$3=2006,$B$3=2003,$B$3=2019),2,IF($B$3=2014,3,IF(OR($B$3=2007,$B$3=2011),4,1))))</f>
        <v>3</v>
      </c>
      <c r="C17" s="168"/>
      <c r="D17" s="168">
        <f>IF(OR($B$3=2007,$B$3=2013),1,IF(OR($B$3=2011,$B$3=2006),3,4))</f>
        <v>4</v>
      </c>
      <c r="E17" s="168"/>
      <c r="F17" s="168"/>
      <c r="G17" s="168"/>
      <c r="H17" s="168"/>
      <c r="I17" s="168"/>
      <c r="J17" s="168">
        <f>IF($B$3=2018,0,IF($B$3=2012,3,IF($B$3=2010,2,IF($B$3=2020,1,4))))</f>
        <v>4</v>
      </c>
      <c r="K17" s="168"/>
      <c r="L17" s="168">
        <f>IF(OR($B$3=2011,$B$3=2010,$B$3=2006,$B$3=2020),1,IF($B$3=2012,4,IF(OR($B$3=2003,$B$3=2008,$B$3=2014),3,IF(OR($B$3=2013,$B$3=2009,$B$3=2007,$B$3=2005,$B$3=2004,$B$3=2019,$B$3=2016),0,2))))</f>
        <v>3</v>
      </c>
      <c r="M17" s="168"/>
      <c r="N17" s="168"/>
      <c r="O17" s="168"/>
      <c r="P17" s="168"/>
      <c r="Q17" s="283">
        <f>1-Q9</f>
        <v>0.33810481731999709</v>
      </c>
      <c r="R17" s="168"/>
      <c r="S17" s="283"/>
      <c r="T17" s="168"/>
      <c r="U17" s="185">
        <f>IFERROR(INDEX($A$8:$A$94,MATCH(V15,$B$8:$B$94,0)),INDEX($M$8:$M$94,MATCH(V15,$L$8:$L$94,0)))</f>
        <v>6</v>
      </c>
      <c r="V17" s="308"/>
      <c r="W17" s="343">
        <f>MIN(H117:H131)</f>
        <v>0.29607821752696617</v>
      </c>
      <c r="X17" s="168"/>
      <c r="Y17" s="283"/>
      <c r="Z17" s="168"/>
      <c r="AA17" s="283">
        <f>1-AA9</f>
        <v>0.28764715011546127</v>
      </c>
      <c r="AB17" s="177"/>
      <c r="AC17" s="168"/>
      <c r="AD17" s="168"/>
      <c r="AE17" s="168"/>
      <c r="AF17" s="314"/>
      <c r="AG17" s="314"/>
      <c r="AH17" s="314"/>
      <c r="AI17" s="314"/>
      <c r="AJ17" s="325"/>
      <c r="AK17" s="325"/>
      <c r="AL17" s="326"/>
      <c r="AM17" s="179"/>
      <c r="AN17" s="179"/>
      <c r="AO17" s="314"/>
      <c r="AP17" s="314"/>
      <c r="AQ17" s="314"/>
      <c r="AR17" s="314"/>
      <c r="AS17" s="325"/>
      <c r="AT17" s="325"/>
      <c r="AU17" s="326"/>
      <c r="AV17" s="326"/>
      <c r="AW17" s="168"/>
      <c r="AX17" s="168"/>
      <c r="AY17" s="168"/>
      <c r="AZ17" s="168"/>
      <c r="BA17" s="168"/>
      <c r="BB17" s="168"/>
      <c r="BC17" s="168"/>
      <c r="BD17" s="168"/>
      <c r="BE17" s="168"/>
      <c r="BF17" s="168"/>
      <c r="BG17" s="168"/>
      <c r="BH17" s="168"/>
      <c r="BI17" s="168"/>
      <c r="BJ17" s="168"/>
      <c r="BK17" s="168"/>
      <c r="BL17" s="168"/>
      <c r="BM17" s="168"/>
      <c r="BN17" s="168"/>
      <c r="BO17" s="168"/>
      <c r="BP17" s="168"/>
      <c r="BQ17" s="168"/>
      <c r="BR17" s="168"/>
      <c r="BS17" s="168"/>
      <c r="BT17" s="168"/>
      <c r="BU17" s="168"/>
      <c r="BV17" s="168"/>
      <c r="BW17" s="168"/>
      <c r="BX17" s="168"/>
      <c r="BY17" s="168"/>
      <c r="BZ17" s="168"/>
      <c r="CA17" s="168"/>
      <c r="CB17" s="168"/>
      <c r="CC17" s="168"/>
      <c r="CD17" s="168"/>
      <c r="CE17" s="168"/>
      <c r="CF17" s="168"/>
      <c r="CG17" s="168"/>
      <c r="CH17" s="168"/>
      <c r="CI17" s="168"/>
      <c r="CJ17" s="168"/>
      <c r="CK17" s="168"/>
      <c r="CL17" s="168"/>
      <c r="CM17" s="168"/>
      <c r="CN17" s="168"/>
      <c r="CO17" s="168"/>
      <c r="CP17" s="168"/>
      <c r="CQ17" s="168"/>
      <c r="CR17" s="168"/>
      <c r="CS17" s="168"/>
      <c r="CT17" s="168"/>
      <c r="CU17" s="168"/>
      <c r="CV17" s="168"/>
    </row>
    <row r="18" spans="1:100" s="155" customFormat="1" ht="10.5" customHeight="1" x14ac:dyDescent="0.5">
      <c r="A18" s="168"/>
      <c r="B18" s="168"/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283"/>
      <c r="R18" s="168"/>
      <c r="S18" s="168"/>
      <c r="T18" s="168"/>
      <c r="U18" s="185"/>
      <c r="V18" s="342" t="s">
        <v>306</v>
      </c>
      <c r="W18" s="344"/>
      <c r="X18" s="168"/>
      <c r="Y18" s="172"/>
      <c r="Z18" s="168"/>
      <c r="AA18" s="283"/>
      <c r="AB18" s="177"/>
      <c r="AC18" s="168"/>
      <c r="AD18" s="168"/>
      <c r="AE18" s="168"/>
      <c r="AF18" s="314" t="str">
        <f>Q44</f>
        <v>Portland Trail Blazers</v>
      </c>
      <c r="AG18" s="314"/>
      <c r="AH18" s="314"/>
      <c r="AI18" s="314"/>
      <c r="AJ18" s="325">
        <f>B41+IF(B41=4,D35,0)+IF(AND(B41=4,D35=4),F29,0)+IF(AND(B41=4,D35=4,F29=4),$G$48,0)</f>
        <v>5</v>
      </c>
      <c r="AK18" s="325">
        <f>Q47+IF(Q47=4,S41,0)+IF(AND(Q47=4,S41=4),U23,0)+IF(AND(Q47=4,S41=4,U23=4),$V$47,0)</f>
        <v>6</v>
      </c>
      <c r="AL18" s="326">
        <f>AJ18-AK18</f>
        <v>-1</v>
      </c>
      <c r="AM18" s="179"/>
      <c r="AN18" s="179"/>
      <c r="AO18" s="314">
        <v>2016</v>
      </c>
      <c r="AP18" s="314"/>
      <c r="AQ18" s="314"/>
      <c r="AR18" s="314"/>
      <c r="AS18" s="325" t="s">
        <v>173</v>
      </c>
      <c r="AT18" s="325" t="s">
        <v>152</v>
      </c>
      <c r="AU18" s="326">
        <v>6</v>
      </c>
      <c r="AV18" s="326">
        <v>13</v>
      </c>
      <c r="AW18" s="168"/>
      <c r="AX18" s="168"/>
      <c r="AY18" s="168"/>
      <c r="AZ18" s="168"/>
      <c r="BA18" s="168"/>
      <c r="BB18" s="168"/>
      <c r="BC18" s="168"/>
      <c r="BD18" s="168"/>
      <c r="BE18" s="168"/>
      <c r="BF18" s="168"/>
      <c r="BG18" s="168"/>
      <c r="BH18" s="168"/>
      <c r="BI18" s="168"/>
      <c r="BJ18" s="168"/>
      <c r="BK18" s="168"/>
      <c r="BL18" s="168"/>
      <c r="BM18" s="168"/>
      <c r="BN18" s="168"/>
      <c r="BO18" s="168"/>
      <c r="BP18" s="168"/>
      <c r="BQ18" s="168"/>
      <c r="BR18" s="168"/>
      <c r="BS18" s="168"/>
      <c r="BT18" s="16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  <c r="CG18" s="168"/>
      <c r="CH18" s="168"/>
      <c r="CI18" s="168"/>
      <c r="CJ18" s="168"/>
      <c r="CK18" s="168"/>
      <c r="CL18" s="168"/>
      <c r="CM18" s="168"/>
      <c r="CN18" s="168"/>
      <c r="CO18" s="168"/>
      <c r="CP18" s="168"/>
      <c r="CQ18" s="168"/>
      <c r="CR18" s="168"/>
      <c r="CS18" s="168"/>
      <c r="CT18" s="168"/>
      <c r="CU18" s="168"/>
      <c r="CV18" s="168"/>
    </row>
    <row r="19" spans="1:100" s="155" customFormat="1" ht="10.5" customHeight="1" x14ac:dyDescent="0.5">
      <c r="A19" s="168"/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284"/>
      <c r="R19" s="168"/>
      <c r="S19" s="168"/>
      <c r="T19" s="168"/>
      <c r="U19" s="185"/>
      <c r="V19" s="342"/>
      <c r="W19" s="344"/>
      <c r="X19" s="168"/>
      <c r="Y19" s="172"/>
      <c r="Z19" s="168"/>
      <c r="AA19" s="284"/>
      <c r="AB19" s="177"/>
      <c r="AC19" s="168"/>
      <c r="AD19" s="168"/>
      <c r="AE19" s="168"/>
      <c r="AF19" s="314"/>
      <c r="AG19" s="314"/>
      <c r="AH19" s="314"/>
      <c r="AI19" s="314"/>
      <c r="AJ19" s="325"/>
      <c r="AK19" s="325"/>
      <c r="AL19" s="326"/>
      <c r="AM19" s="179"/>
      <c r="AN19" s="179"/>
      <c r="AO19" s="314"/>
      <c r="AP19" s="314"/>
      <c r="AQ19" s="314"/>
      <c r="AR19" s="314"/>
      <c r="AS19" s="325"/>
      <c r="AT19" s="325"/>
      <c r="AU19" s="326"/>
      <c r="AV19" s="326"/>
      <c r="AW19" s="168"/>
      <c r="AX19" s="168"/>
      <c r="AY19" s="168"/>
      <c r="AZ19" s="168"/>
      <c r="BA19" s="168"/>
      <c r="BB19" s="168"/>
      <c r="BC19" s="168"/>
      <c r="BD19" s="168"/>
      <c r="BE19" s="168"/>
      <c r="BF19" s="168"/>
      <c r="BG19" s="168"/>
      <c r="BH19" s="168"/>
      <c r="BI19" s="168"/>
      <c r="BJ19" s="168"/>
      <c r="BK19" s="168"/>
      <c r="BL19" s="168"/>
      <c r="BM19" s="168"/>
      <c r="BN19" s="168"/>
      <c r="BO19" s="168"/>
      <c r="BP19" s="168"/>
      <c r="BQ19" s="168"/>
      <c r="BR19" s="168"/>
      <c r="BS19" s="168"/>
      <c r="BT19" s="168"/>
      <c r="BU19" s="168"/>
      <c r="BV19" s="168"/>
      <c r="BW19" s="168"/>
      <c r="BX19" s="168"/>
      <c r="BY19" s="168"/>
      <c r="BZ19" s="168"/>
      <c r="CA19" s="168"/>
      <c r="CB19" s="168"/>
      <c r="CC19" s="168"/>
      <c r="CD19" s="168"/>
      <c r="CE19" s="168"/>
      <c r="CF19" s="168"/>
      <c r="CG19" s="168"/>
      <c r="CH19" s="168"/>
      <c r="CI19" s="168"/>
      <c r="CJ19" s="168"/>
      <c r="CK19" s="168"/>
      <c r="CL19" s="168"/>
      <c r="CM19" s="168"/>
      <c r="CN19" s="168"/>
      <c r="CO19" s="168"/>
      <c r="CP19" s="168"/>
      <c r="CQ19" s="168"/>
      <c r="CR19" s="168"/>
      <c r="CS19" s="168"/>
      <c r="CT19" s="168"/>
      <c r="CU19" s="168"/>
      <c r="CV19" s="168"/>
    </row>
    <row r="20" spans="1:100" s="155" customFormat="1" ht="39.75" customHeight="1" x14ac:dyDescent="0.5">
      <c r="A20" s="177">
        <v>8</v>
      </c>
      <c r="B20" s="156" t="str">
        <f>IF(OR($B$3=2016,$B$3=2013),"Houston Rockets",IF(OR($B$3=2017,$B$3=2020),"Portland Trail Blazers",IF(OR($B$3=2012,$B$3=2009),"Utah Jazz",IF($B$3=2014,"Dallas Mavericks",IF($B$3=2015,"New Orleans Pelicans",IF($B$3=2018,"Minnesota Timberwolves",IF($B$3=2019,"Los Angeles Clippers",IF(OR($B$3=2011,$B$3=2005),"Memphis Grizzlies",IF($B$3=2003,"Phoenix Suns",IF($B$3=2010,"Oklahoma City Thunder",IF($B$3=2006,"Sacramento Kings",IF($B$3=2007,"Golden State Warriors","Denver Nuggets"))))))))))))</f>
        <v>Dallas Mavericks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57" t="str">
        <f>IF(OR($B$3=2008,$B$3=2014),"Atlanta Hawks",IF(OR($B$3=2005,$B$3=2015),"Brooklyn Nets",IF(OR($B$3=2010,$B$3=2017),"Chicago Bulls",IF($B$3=2018,"Washington Wizards",IF(OR($B$3=2009,$B$3=2016,$B$3=2019),"Detroit Pistons",IF(OR($B$3=2006,$B$3=2013),"Milwaukee Bucks",IF($B$3=2011,"Indiana Pacers",IF($B$3=2012,"Philadelphia 76ers",IF($B$3=2004,"Boston Celtics","Orlando Magic")))))))))</f>
        <v>Atlanta Hawks</v>
      </c>
      <c r="M20" s="177">
        <v>8</v>
      </c>
      <c r="N20" s="168"/>
      <c r="O20" s="168"/>
      <c r="P20" s="177">
        <v>8</v>
      </c>
      <c r="Q20" s="156" t="str">
        <f>B20</f>
        <v>Dallas Mavericks</v>
      </c>
      <c r="R20" s="168"/>
      <c r="S20" s="168"/>
      <c r="T20" s="168"/>
      <c r="U20" s="185">
        <f>IFERROR(INDEX($A$8:$A$94,MATCH(V20,$B$8:$B$94,0)),INDEX($M$8:$M$94,MATCH(V20,$L$8:$L$94,0)))</f>
        <v>3</v>
      </c>
      <c r="V20" s="186" t="str">
        <f>INDEX(C117:C131,MATCH(W17,H117:H131,0))</f>
        <v>Toronto Raptors</v>
      </c>
      <c r="W20" s="344"/>
      <c r="X20" s="168"/>
      <c r="Y20" s="172"/>
      <c r="Z20" s="168"/>
      <c r="AA20" s="157" t="str">
        <f>L20</f>
        <v>Atlanta Hawks</v>
      </c>
      <c r="AB20" s="177">
        <v>8</v>
      </c>
      <c r="AC20" s="168"/>
      <c r="AD20" s="168"/>
      <c r="AE20" s="168"/>
      <c r="AF20" s="314"/>
      <c r="AG20" s="314"/>
      <c r="AH20" s="314"/>
      <c r="AI20" s="314"/>
      <c r="AJ20" s="325"/>
      <c r="AK20" s="325"/>
      <c r="AL20" s="326"/>
      <c r="AM20" s="179"/>
      <c r="AN20" s="179"/>
      <c r="AO20" s="314"/>
      <c r="AP20" s="314"/>
      <c r="AQ20" s="314"/>
      <c r="AR20" s="314"/>
      <c r="AS20" s="325"/>
      <c r="AT20" s="325"/>
      <c r="AU20" s="326"/>
      <c r="AV20" s="326"/>
      <c r="AW20" s="168"/>
      <c r="AX20" s="168"/>
      <c r="AY20" s="168"/>
      <c r="AZ20" s="168"/>
      <c r="BA20" s="168"/>
      <c r="BB20" s="168"/>
      <c r="BC20" s="168"/>
      <c r="BD20" s="168"/>
      <c r="BE20" s="168"/>
      <c r="BF20" s="168"/>
      <c r="BG20" s="168"/>
      <c r="BH20" s="168"/>
      <c r="BI20" s="168"/>
      <c r="BJ20" s="168"/>
      <c r="BK20" s="168"/>
      <c r="BL20" s="168"/>
      <c r="BM20" s="168"/>
      <c r="BN20" s="168"/>
      <c r="BO20" s="168"/>
      <c r="BP20" s="168"/>
      <c r="BQ20" s="168"/>
      <c r="BR20" s="168"/>
      <c r="BS20" s="168"/>
      <c r="BT20" s="168"/>
      <c r="BU20" s="168"/>
      <c r="BV20" s="168"/>
      <c r="BW20" s="168"/>
      <c r="BX20" s="168"/>
      <c r="BY20" s="168"/>
      <c r="BZ20" s="168"/>
      <c r="CA20" s="168"/>
      <c r="CB20" s="168"/>
      <c r="CC20" s="168"/>
      <c r="CD20" s="168"/>
      <c r="CE20" s="168"/>
      <c r="CF20" s="168"/>
      <c r="CG20" s="168"/>
      <c r="CH20" s="168"/>
      <c r="CI20" s="168"/>
      <c r="CJ20" s="168"/>
      <c r="CK20" s="168"/>
      <c r="CL20" s="168"/>
      <c r="CM20" s="168"/>
      <c r="CN20" s="168"/>
      <c r="CO20" s="168"/>
      <c r="CP20" s="168"/>
      <c r="CQ20" s="168"/>
      <c r="CR20" s="168"/>
      <c r="CS20" s="168"/>
      <c r="CT20" s="168"/>
      <c r="CU20" s="168"/>
      <c r="CV20" s="168"/>
    </row>
    <row r="21" spans="1:100" s="155" customFormat="1" ht="10.5" customHeight="1" x14ac:dyDescent="0.5">
      <c r="A21" s="168"/>
      <c r="B21" s="168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72"/>
      <c r="Z21" s="168"/>
      <c r="AA21" s="168"/>
      <c r="AB21" s="177"/>
      <c r="AC21" s="168"/>
      <c r="AD21" s="168"/>
      <c r="AE21" s="168"/>
      <c r="AF21" s="314" t="str">
        <f>Q70</f>
        <v>Golden State Warriors</v>
      </c>
      <c r="AG21" s="314"/>
      <c r="AH21" s="314"/>
      <c r="AI21" s="314"/>
      <c r="AJ21" s="325">
        <f>B67+IF(B67=4,D67,0)+IF(AND(B67=4,D67=4),F73,0)+IF(AND(B67=4,D67=4,F73=4),$G$48,0)</f>
        <v>3</v>
      </c>
      <c r="AK21" s="325">
        <f>Q73+IF(Q73=4,S63,0)+IF(AND(Q73=4,S63=4),U79,0)+IF(AND(Q73=4,S63=4,U79=4),$V$47,0)</f>
        <v>2</v>
      </c>
      <c r="AL21" s="326">
        <f>AJ21-AK21</f>
        <v>1</v>
      </c>
      <c r="AM21" s="179"/>
      <c r="AN21" s="179"/>
      <c r="AO21" s="314">
        <v>2015</v>
      </c>
      <c r="AP21" s="314"/>
      <c r="AQ21" s="314"/>
      <c r="AR21" s="314"/>
      <c r="AS21" s="325" t="s">
        <v>173</v>
      </c>
      <c r="AT21" s="325" t="s">
        <v>173</v>
      </c>
      <c r="AU21" s="326">
        <v>16</v>
      </c>
      <c r="AV21" s="326">
        <v>16</v>
      </c>
      <c r="AW21" s="168"/>
      <c r="AX21" s="168"/>
      <c r="AY21" s="168"/>
      <c r="AZ21" s="168"/>
      <c r="BA21" s="168"/>
      <c r="BB21" s="168"/>
      <c r="BC21" s="168"/>
      <c r="BD21" s="168"/>
      <c r="BE21" s="168"/>
      <c r="BF21" s="168"/>
      <c r="BG21" s="168"/>
      <c r="BH21" s="168"/>
      <c r="BI21" s="168"/>
      <c r="BJ21" s="168"/>
      <c r="BK21" s="168"/>
      <c r="BL21" s="168"/>
      <c r="BM21" s="168"/>
      <c r="BN21" s="168"/>
      <c r="BO21" s="168"/>
      <c r="BP21" s="168"/>
      <c r="BQ21" s="168"/>
      <c r="BR21" s="168"/>
      <c r="BS21" s="168"/>
      <c r="BT21" s="168"/>
      <c r="BU21" s="168"/>
      <c r="BV21" s="168"/>
      <c r="BW21" s="168"/>
      <c r="BX21" s="168"/>
      <c r="BY21" s="168"/>
      <c r="BZ21" s="168"/>
      <c r="CA21" s="168"/>
      <c r="CB21" s="168"/>
      <c r="CC21" s="168"/>
      <c r="CD21" s="168"/>
      <c r="CE21" s="168"/>
      <c r="CF21" s="168"/>
      <c r="CG21" s="168"/>
      <c r="CH21" s="168"/>
      <c r="CI21" s="168"/>
      <c r="CJ21" s="168"/>
      <c r="CK21" s="168"/>
      <c r="CL21" s="168"/>
      <c r="CM21" s="168"/>
      <c r="CN21" s="168"/>
      <c r="CO21" s="168"/>
      <c r="CP21" s="168"/>
      <c r="CQ21" s="168"/>
      <c r="CR21" s="168"/>
      <c r="CS21" s="168"/>
      <c r="CT21" s="168"/>
      <c r="CU21" s="168"/>
      <c r="CV21" s="168"/>
    </row>
    <row r="22" spans="1:100" s="155" customFormat="1" ht="10.5" customHeight="1" x14ac:dyDescent="0.5">
      <c r="A22" s="168"/>
      <c r="B22" s="168"/>
      <c r="C22" s="168"/>
      <c r="D22" s="168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72"/>
      <c r="Z22" s="168"/>
      <c r="AA22" s="168"/>
      <c r="AB22" s="177"/>
      <c r="AC22" s="168"/>
      <c r="AD22" s="168"/>
      <c r="AE22" s="168"/>
      <c r="AF22" s="314"/>
      <c r="AG22" s="314"/>
      <c r="AH22" s="314"/>
      <c r="AI22" s="314"/>
      <c r="AJ22" s="325"/>
      <c r="AK22" s="325"/>
      <c r="AL22" s="326"/>
      <c r="AM22" s="179"/>
      <c r="AN22" s="179"/>
      <c r="AO22" s="314"/>
      <c r="AP22" s="314"/>
      <c r="AQ22" s="314"/>
      <c r="AR22" s="314"/>
      <c r="AS22" s="325"/>
      <c r="AT22" s="325"/>
      <c r="AU22" s="326"/>
      <c r="AV22" s="326"/>
      <c r="AW22" s="168"/>
      <c r="AX22" s="168"/>
      <c r="AY22" s="168"/>
      <c r="AZ22" s="168"/>
      <c r="BA22" s="168"/>
      <c r="BB22" s="168"/>
      <c r="BC22" s="168"/>
      <c r="BD22" s="168"/>
      <c r="BE22" s="168"/>
      <c r="BF22" s="168"/>
      <c r="BG22" s="168"/>
      <c r="BH22" s="168"/>
      <c r="BI22" s="168"/>
      <c r="BJ22" s="168"/>
      <c r="BK22" s="168"/>
      <c r="BL22" s="168"/>
      <c r="BM22" s="168"/>
      <c r="BN22" s="168"/>
      <c r="BO22" s="168"/>
      <c r="BP22" s="168"/>
      <c r="BQ22" s="168"/>
      <c r="BR22" s="168"/>
      <c r="BS22" s="168"/>
      <c r="BT22" s="168"/>
      <c r="BU22" s="168"/>
      <c r="BV22" s="168"/>
      <c r="BW22" s="168"/>
      <c r="BX22" s="168"/>
      <c r="BY22" s="168"/>
      <c r="BZ22" s="168"/>
      <c r="CA22" s="168"/>
      <c r="CB22" s="168"/>
      <c r="CC22" s="168"/>
      <c r="CD22" s="168"/>
      <c r="CE22" s="168"/>
      <c r="CF22" s="168"/>
      <c r="CG22" s="168"/>
      <c r="CH22" s="168"/>
      <c r="CI22" s="168"/>
      <c r="CJ22" s="168"/>
      <c r="CK22" s="168"/>
      <c r="CL22" s="168"/>
      <c r="CM22" s="168"/>
      <c r="CN22" s="168"/>
      <c r="CO22" s="168"/>
      <c r="CP22" s="168"/>
      <c r="CQ22" s="168"/>
      <c r="CR22" s="168"/>
      <c r="CS22" s="168"/>
      <c r="CT22" s="168"/>
      <c r="CU22" s="168"/>
      <c r="CV22" s="168"/>
    </row>
    <row r="23" spans="1:100" s="155" customFormat="1" ht="39.75" customHeight="1" x14ac:dyDescent="0.5">
      <c r="A23" s="168"/>
      <c r="B23" s="168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>
        <f>IF(Q17&gt;=0.5,4,IF(AND(Q17&lt;0.5,Q17&gt;0.4),2,IF(AND(Q17&lt;0.4,Q17&gt;0.25),1,0)))</f>
        <v>1</v>
      </c>
      <c r="R23" s="168"/>
      <c r="S23" s="168"/>
      <c r="T23" s="168"/>
      <c r="U23" s="168">
        <f>IF(U28&gt;=0.5,4,IF(AND(U28&lt;0.5,U28&gt;0.4),2,IF(AND(U28&lt;0.4,U28&gt;0.25),1,0)))</f>
        <v>4</v>
      </c>
      <c r="V23" s="168"/>
      <c r="W23" s="168">
        <f>IF(W28&gt;=0.5,4,IF(AND(W28&lt;0.5,W28&gt;0.4),2,IF(AND(W28&lt;0.4,W28&gt;0.25),1,0)))</f>
        <v>2</v>
      </c>
      <c r="X23" s="168"/>
      <c r="Y23" s="172"/>
      <c r="Z23" s="168"/>
      <c r="AA23" s="168">
        <f>IF(AA17&gt;=0.5,4,IF(AND(AA17&lt;0.5,AA17&gt;0.4),2,IF(AND(AA17&lt;0.4,AA17&gt;0.25),1,0)))</f>
        <v>1</v>
      </c>
      <c r="AB23" s="177"/>
      <c r="AC23" s="168"/>
      <c r="AD23" s="168"/>
      <c r="AE23" s="168"/>
      <c r="AF23" s="314"/>
      <c r="AG23" s="314"/>
      <c r="AH23" s="314"/>
      <c r="AI23" s="314"/>
      <c r="AJ23" s="325"/>
      <c r="AK23" s="325"/>
      <c r="AL23" s="326"/>
      <c r="AM23" s="179"/>
      <c r="AN23" s="179"/>
      <c r="AO23" s="314"/>
      <c r="AP23" s="314"/>
      <c r="AQ23" s="314"/>
      <c r="AR23" s="314"/>
      <c r="AS23" s="325"/>
      <c r="AT23" s="325"/>
      <c r="AU23" s="326"/>
      <c r="AV23" s="326"/>
      <c r="AW23" s="168"/>
      <c r="AX23" s="168"/>
      <c r="AY23" s="168"/>
      <c r="AZ23" s="168"/>
      <c r="BA23" s="168"/>
      <c r="BB23" s="168"/>
      <c r="BC23" s="168"/>
      <c r="BD23" s="168"/>
      <c r="BE23" s="168"/>
      <c r="BF23" s="168"/>
      <c r="BG23" s="168"/>
      <c r="BH23" s="168"/>
      <c r="BI23" s="168"/>
      <c r="BJ23" s="168"/>
      <c r="BK23" s="168"/>
      <c r="BL23" s="168"/>
      <c r="BM23" s="168"/>
      <c r="BN23" s="168"/>
      <c r="BO23" s="168"/>
      <c r="BP23" s="168"/>
      <c r="BQ23" s="168"/>
      <c r="BR23" s="168"/>
      <c r="BS23" s="168"/>
      <c r="BT23" s="168"/>
      <c r="BU23" s="168"/>
      <c r="BV23" s="168"/>
      <c r="BW23" s="168"/>
      <c r="BX23" s="168"/>
      <c r="BY23" s="168"/>
      <c r="BZ23" s="168"/>
      <c r="CA23" s="168"/>
      <c r="CB23" s="168"/>
      <c r="CC23" s="168"/>
      <c r="CD23" s="168"/>
      <c r="CE23" s="168"/>
      <c r="CF23" s="168"/>
      <c r="CG23" s="168"/>
      <c r="CH23" s="168"/>
      <c r="CI23" s="168"/>
      <c r="CJ23" s="168"/>
      <c r="CK23" s="168"/>
      <c r="CL23" s="168"/>
      <c r="CM23" s="168"/>
      <c r="CN23" s="168"/>
      <c r="CO23" s="168"/>
      <c r="CP23" s="168"/>
      <c r="CQ23" s="168"/>
      <c r="CR23" s="168"/>
      <c r="CS23" s="168"/>
      <c r="CT23" s="168"/>
      <c r="CU23" s="168"/>
      <c r="CV23" s="168"/>
    </row>
    <row r="24" spans="1:100" s="155" customFormat="1" ht="10.5" customHeight="1" x14ac:dyDescent="0.5">
      <c r="A24" s="168"/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72"/>
      <c r="Z24" s="168"/>
      <c r="AA24" s="168"/>
      <c r="AB24" s="177"/>
      <c r="AC24" s="168"/>
      <c r="AD24" s="168"/>
      <c r="AE24" s="168"/>
      <c r="AF24" s="314" t="str">
        <f>Q94</f>
        <v>Memphis Grizzlies</v>
      </c>
      <c r="AG24" s="314"/>
      <c r="AH24" s="314"/>
      <c r="AI24" s="314"/>
      <c r="AJ24" s="325">
        <f>B91+IF(B91=4,D85,0)+IF(AND(B91=4,D85=4),F73,0)+IF(AND(B91=4,D85=4,F73=4),$G$48,0)</f>
        <v>3</v>
      </c>
      <c r="AK24" s="325">
        <f>Q97+IF(Q97=4,S91,0)+IF(AND(Q97=4,S91=4),U79,0)+IF(AND(Q97=4,S91=4,U79=4),$V$47,0)</f>
        <v>1</v>
      </c>
      <c r="AL24" s="326">
        <f>AJ24-AK24</f>
        <v>2</v>
      </c>
      <c r="AM24" s="179"/>
      <c r="AN24" s="179"/>
      <c r="AO24" s="314">
        <v>2014</v>
      </c>
      <c r="AP24" s="314"/>
      <c r="AQ24" s="314"/>
      <c r="AR24" s="314"/>
      <c r="AS24" s="325" t="s">
        <v>165</v>
      </c>
      <c r="AT24" s="325" t="s">
        <v>165</v>
      </c>
      <c r="AU24" s="326">
        <v>16</v>
      </c>
      <c r="AV24" s="326">
        <v>16</v>
      </c>
      <c r="AW24" s="168"/>
      <c r="AX24" s="168"/>
      <c r="AY24" s="168"/>
      <c r="AZ24" s="168"/>
      <c r="BA24" s="168"/>
      <c r="BB24" s="168"/>
      <c r="BC24" s="168"/>
      <c r="BD24" s="168"/>
      <c r="BE24" s="168"/>
      <c r="BF24" s="168"/>
      <c r="BG24" s="168"/>
      <c r="BH24" s="168"/>
      <c r="BI24" s="168"/>
      <c r="BJ24" s="168"/>
      <c r="BK24" s="168"/>
      <c r="BL24" s="168"/>
      <c r="BM24" s="168"/>
      <c r="BN24" s="168"/>
      <c r="BO24" s="168"/>
      <c r="BP24" s="168"/>
      <c r="BQ24" s="168"/>
      <c r="BR24" s="168"/>
      <c r="BS24" s="168"/>
      <c r="BT24" s="168"/>
      <c r="BU24" s="168"/>
      <c r="BV24" s="168"/>
      <c r="BW24" s="168"/>
      <c r="BX24" s="168"/>
      <c r="BY24" s="168"/>
      <c r="BZ24" s="168"/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</row>
    <row r="25" spans="1:100" s="155" customFormat="1" ht="10.5" customHeight="1" x14ac:dyDescent="0.5">
      <c r="A25" s="168"/>
      <c r="B25" s="168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72"/>
      <c r="Z25" s="168"/>
      <c r="AA25" s="168"/>
      <c r="AB25" s="177"/>
      <c r="AC25" s="168"/>
      <c r="AD25" s="168"/>
      <c r="AE25" s="168"/>
      <c r="AF25" s="314"/>
      <c r="AG25" s="314"/>
      <c r="AH25" s="314"/>
      <c r="AI25" s="314"/>
      <c r="AJ25" s="325"/>
      <c r="AK25" s="325"/>
      <c r="AL25" s="326"/>
      <c r="AM25" s="179"/>
      <c r="AN25" s="179"/>
      <c r="AO25" s="314"/>
      <c r="AP25" s="314"/>
      <c r="AQ25" s="314"/>
      <c r="AR25" s="314"/>
      <c r="AS25" s="325"/>
      <c r="AT25" s="325"/>
      <c r="AU25" s="326"/>
      <c r="AV25" s="326"/>
      <c r="AW25" s="168"/>
      <c r="AX25" s="168"/>
      <c r="AY25" s="168"/>
      <c r="AZ25" s="168"/>
      <c r="BA25" s="168"/>
      <c r="BB25" s="168"/>
      <c r="BC25" s="168"/>
      <c r="BD25" s="168"/>
      <c r="BE25" s="168"/>
      <c r="BF25" s="168"/>
      <c r="BG25" s="168"/>
      <c r="BH25" s="168"/>
      <c r="BI25" s="168"/>
      <c r="BJ25" s="168"/>
      <c r="BK25" s="168"/>
      <c r="BL25" s="168"/>
      <c r="BM25" s="168"/>
      <c r="BN25" s="168"/>
      <c r="BO25" s="168"/>
      <c r="BP25" s="168"/>
      <c r="BQ25" s="168"/>
      <c r="BR25" s="168"/>
      <c r="BS25" s="168"/>
      <c r="BT25" s="168"/>
      <c r="BU25" s="168"/>
      <c r="BV25" s="168"/>
      <c r="BW25" s="168"/>
      <c r="BX25" s="168"/>
      <c r="BY25" s="168"/>
      <c r="BZ25" s="168"/>
      <c r="CA25" s="168"/>
      <c r="CB25" s="168"/>
      <c r="CC25" s="168"/>
      <c r="CD25" s="168"/>
      <c r="CE25" s="168"/>
      <c r="CF25" s="168"/>
      <c r="CG25" s="168"/>
      <c r="CH25" s="168"/>
      <c r="CI25" s="168"/>
      <c r="CJ25" s="168"/>
      <c r="CK25" s="168"/>
      <c r="CL25" s="168"/>
      <c r="CM25" s="168"/>
      <c r="CN25" s="168"/>
      <c r="CO25" s="168"/>
      <c r="CP25" s="168"/>
      <c r="CQ25" s="168"/>
      <c r="CR25" s="168"/>
      <c r="CS25" s="168"/>
      <c r="CT25" s="168"/>
      <c r="CU25" s="168"/>
      <c r="CV25" s="168"/>
    </row>
    <row r="26" spans="1:100" s="155" customFormat="1" ht="39.75" customHeight="1" x14ac:dyDescent="0.5">
      <c r="A26" s="168"/>
      <c r="B26" s="168"/>
      <c r="C26" s="168"/>
      <c r="D26" s="168"/>
      <c r="E26" s="168"/>
      <c r="F26" s="156" t="str">
        <f>IF(OR($B$3=2011,$B$3=2013,$B$3=2007,$B$3=2006),D38,D14)</f>
        <v>San Antonio Spurs</v>
      </c>
      <c r="G26" s="168"/>
      <c r="H26" s="157" t="str">
        <f>IF(OR($B$3=2020,$B$3=2018,$B$3=2012,$B$3=2010),J38,J14)</f>
        <v>Indiana Pacers</v>
      </c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56" t="str">
        <f>IF(S15&gt;=0.5,S14,S38)</f>
        <v>San Antonio Spurs</v>
      </c>
      <c r="V26" s="168"/>
      <c r="W26" s="157" t="str">
        <f>IF(Y16&gt;=0.5,Y14,Y38)</f>
        <v>Indiana Pacers</v>
      </c>
      <c r="X26" s="168"/>
      <c r="Y26" s="172"/>
      <c r="Z26" s="168"/>
      <c r="AA26" s="168"/>
      <c r="AB26" s="177"/>
      <c r="AC26" s="168"/>
      <c r="AD26" s="168"/>
      <c r="AE26" s="168"/>
      <c r="AF26" s="314"/>
      <c r="AG26" s="314"/>
      <c r="AH26" s="314"/>
      <c r="AI26" s="314"/>
      <c r="AJ26" s="325"/>
      <c r="AK26" s="325"/>
      <c r="AL26" s="326"/>
      <c r="AM26" s="179"/>
      <c r="AN26" s="179"/>
      <c r="AO26" s="314"/>
      <c r="AP26" s="314"/>
      <c r="AQ26" s="314"/>
      <c r="AR26" s="314"/>
      <c r="AS26" s="325"/>
      <c r="AT26" s="325"/>
      <c r="AU26" s="326"/>
      <c r="AV26" s="326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68"/>
      <c r="BI26" s="168"/>
      <c r="BJ26" s="168"/>
      <c r="BK26" s="168"/>
      <c r="BL26" s="168"/>
      <c r="BM26" s="168"/>
      <c r="BN26" s="168"/>
      <c r="BO26" s="168"/>
      <c r="BP26" s="168"/>
      <c r="BQ26" s="168"/>
      <c r="BR26" s="168"/>
      <c r="BS26" s="168"/>
      <c r="BT26" s="168"/>
      <c r="BU26" s="168"/>
      <c r="BV26" s="168"/>
      <c r="BW26" s="168"/>
      <c r="BX26" s="168"/>
      <c r="BY26" s="168"/>
      <c r="BZ26" s="168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</row>
    <row r="27" spans="1:100" s="155" customFormat="1" ht="10.5" customHeight="1" x14ac:dyDescent="0.5">
      <c r="A27" s="168"/>
      <c r="B27" s="168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72"/>
      <c r="Z27" s="168"/>
      <c r="AA27" s="168"/>
      <c r="AB27" s="177"/>
      <c r="AC27" s="168"/>
      <c r="AD27" s="168"/>
      <c r="AE27" s="168"/>
      <c r="AF27" s="314" t="str">
        <f>Q20</f>
        <v>Dallas Mavericks</v>
      </c>
      <c r="AG27" s="314"/>
      <c r="AH27" s="314"/>
      <c r="AI27" s="314"/>
      <c r="AJ27" s="325">
        <f>B17+IF(B17=4,D17,0)+IF(AND(B17=4,D17=4),F29,0)+IF(AND(B17=4,D17=4,F29=4),$G$48,0)</f>
        <v>3</v>
      </c>
      <c r="AK27" s="325">
        <f>Q23+IF(Q23=4,S11,0)+IF(AND(Q23=4,S11=4),U23,0)+IF(AND(Q23=4,S11=4,U23=4),$V$47,0)</f>
        <v>1</v>
      </c>
      <c r="AL27" s="326">
        <f>AJ27-AK27</f>
        <v>2</v>
      </c>
      <c r="AM27" s="179"/>
      <c r="AN27" s="179"/>
      <c r="AO27" s="314">
        <v>2013</v>
      </c>
      <c r="AP27" s="314"/>
      <c r="AQ27" s="314"/>
      <c r="AR27" s="314"/>
      <c r="AS27" s="325" t="s">
        <v>157</v>
      </c>
      <c r="AT27" s="325" t="s">
        <v>132</v>
      </c>
      <c r="AU27" s="326">
        <v>5</v>
      </c>
      <c r="AV27" s="326">
        <v>14</v>
      </c>
      <c r="AW27" s="168"/>
      <c r="AX27" s="168"/>
      <c r="AY27" s="168"/>
      <c r="AZ27" s="168"/>
      <c r="BA27" s="168"/>
      <c r="BB27" s="168"/>
      <c r="BC27" s="168"/>
      <c r="BD27" s="168"/>
      <c r="BE27" s="168"/>
      <c r="BF27" s="168"/>
      <c r="BG27" s="168"/>
      <c r="BH27" s="168"/>
      <c r="BI27" s="168"/>
      <c r="BJ27" s="168"/>
      <c r="BK27" s="168"/>
      <c r="BL27" s="168"/>
      <c r="BM27" s="168"/>
      <c r="BN27" s="168"/>
      <c r="BO27" s="168"/>
      <c r="BP27" s="168"/>
      <c r="BQ27" s="168"/>
      <c r="BR27" s="168"/>
      <c r="BS27" s="168"/>
      <c r="BT27" s="168"/>
      <c r="BU27" s="168"/>
      <c r="BV27" s="168"/>
      <c r="BW27" s="168"/>
      <c r="BX27" s="168"/>
      <c r="BY27" s="168"/>
      <c r="BZ27" s="168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</row>
    <row r="28" spans="1:100" s="155" customFormat="1" ht="10.5" customHeight="1" x14ac:dyDescent="0.5">
      <c r="A28" s="168"/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283">
        <f>INDEX('Historical Snapshot'!$D$55:$AH$84,MATCH(U26,'Historical Snapshot'!$C$55:$C$84,0),MATCH(U76,'Historical Snapshot'!$D$54:$AH$54,0))</f>
        <v>0.50123261828063703</v>
      </c>
      <c r="V28" s="168"/>
      <c r="W28" s="283">
        <f>INDEX('Historical Snapshot'!$D$55:$AH$84,MATCH(W26,'Historical Snapshot'!$C$55:$C$84,0),MATCH(W76,'Historical Snapshot'!$D$54:$AH$54,0))</f>
        <v>0.48699210619958555</v>
      </c>
      <c r="X28" s="168"/>
      <c r="Y28" s="172"/>
      <c r="Z28" s="168"/>
      <c r="AA28" s="168"/>
      <c r="AB28" s="177"/>
      <c r="AC28" s="168"/>
      <c r="AD28" s="168"/>
      <c r="AE28" s="168"/>
      <c r="AF28" s="314"/>
      <c r="AG28" s="314"/>
      <c r="AH28" s="314"/>
      <c r="AI28" s="314"/>
      <c r="AJ28" s="325"/>
      <c r="AK28" s="325"/>
      <c r="AL28" s="326"/>
      <c r="AM28" s="179"/>
      <c r="AN28" s="179"/>
      <c r="AO28" s="314"/>
      <c r="AP28" s="314"/>
      <c r="AQ28" s="314"/>
      <c r="AR28" s="314"/>
      <c r="AS28" s="325"/>
      <c r="AT28" s="325"/>
      <c r="AU28" s="326"/>
      <c r="AV28" s="326"/>
      <c r="AW28" s="168"/>
      <c r="AX28" s="168"/>
      <c r="AY28" s="168"/>
      <c r="AZ28" s="168"/>
      <c r="BA28" s="168"/>
      <c r="BB28" s="168"/>
      <c r="BC28" s="168"/>
      <c r="BD28" s="168"/>
      <c r="BE28" s="168"/>
      <c r="BF28" s="168"/>
      <c r="BG28" s="168"/>
      <c r="BH28" s="168"/>
      <c r="BI28" s="168"/>
      <c r="BJ28" s="168"/>
      <c r="BK28" s="168"/>
      <c r="BL28" s="168"/>
      <c r="BM28" s="168"/>
      <c r="BN28" s="168"/>
      <c r="BO28" s="168"/>
      <c r="BP28" s="168"/>
      <c r="BQ28" s="168"/>
      <c r="BR28" s="168"/>
      <c r="BS28" s="168"/>
      <c r="BT28" s="168"/>
      <c r="BU28" s="168"/>
      <c r="BV28" s="168"/>
      <c r="BW28" s="168"/>
      <c r="BX28" s="168"/>
      <c r="BY28" s="168"/>
      <c r="BZ28" s="168"/>
      <c r="CA28" s="168"/>
      <c r="CB28" s="168"/>
      <c r="CC28" s="168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</row>
    <row r="29" spans="1:100" s="155" customFormat="1" ht="39.75" customHeight="1" thickBot="1" x14ac:dyDescent="0.55000000000000004">
      <c r="A29" s="168"/>
      <c r="B29" s="168"/>
      <c r="C29" s="168"/>
      <c r="D29" s="168"/>
      <c r="E29" s="168"/>
      <c r="F29" s="168">
        <f>IF($B$3=2018,3,IF($B$3=2013,0,IF(OR($B$3=2012,$B$3=2004),2,IF(OR($B$3=2011,$B$3=2007,$B$3=2005),1,4))))</f>
        <v>4</v>
      </c>
      <c r="G29" s="168"/>
      <c r="H29" s="168">
        <f>IF(OR($B$3=2003,$B$3=2015),0,IF(OR($B$3=2011,$B$3=2017),1,IF(OR($B$3=2004,$B$3=2006,$B$3=2007,$B$3=2009,$B$3=2014,$B$3=2019),2,IF(OR($B$3=2012,$B$3=2005),3,4))))</f>
        <v>2</v>
      </c>
      <c r="I29" s="168"/>
      <c r="J29" s="168"/>
      <c r="K29" s="168"/>
      <c r="L29" s="168"/>
      <c r="M29" s="168"/>
      <c r="N29" s="168"/>
      <c r="O29" s="168"/>
      <c r="P29" s="168"/>
      <c r="Q29" s="168">
        <f>IF(Q33&gt;=0.5,4,IF(AND(Q33&lt;0.5,Q33&gt;0.4),2,IF(AND(Q33&lt;0.4,Q33&gt;0.25),1,0)))</f>
        <v>2</v>
      </c>
      <c r="R29" s="168"/>
      <c r="S29" s="168"/>
      <c r="T29" s="168"/>
      <c r="U29" s="283"/>
      <c r="V29" s="168"/>
      <c r="W29" s="283"/>
      <c r="X29" s="168"/>
      <c r="Y29" s="172"/>
      <c r="Z29" s="168"/>
      <c r="AA29" s="168">
        <f>IF(AA33&gt;=0.5,4,IF(AND(AA33&lt;0.5,AA33&gt;0.4),2,IF(AND(AA33&lt;0.4,AA33&gt;0.25),1,0)))</f>
        <v>4</v>
      </c>
      <c r="AB29" s="177"/>
      <c r="AC29" s="168"/>
      <c r="AD29" s="168"/>
      <c r="AE29" s="168"/>
      <c r="AF29" s="315"/>
      <c r="AG29" s="315"/>
      <c r="AH29" s="315"/>
      <c r="AI29" s="315"/>
      <c r="AJ29" s="330"/>
      <c r="AK29" s="330"/>
      <c r="AL29" s="327"/>
      <c r="AM29" s="179"/>
      <c r="AN29" s="179"/>
      <c r="AO29" s="314"/>
      <c r="AP29" s="314"/>
      <c r="AQ29" s="314"/>
      <c r="AR29" s="314"/>
      <c r="AS29" s="325"/>
      <c r="AT29" s="325"/>
      <c r="AU29" s="326"/>
      <c r="AV29" s="326"/>
      <c r="AW29" s="168"/>
      <c r="AX29" s="168"/>
      <c r="AY29" s="168"/>
      <c r="AZ29" s="168"/>
      <c r="BA29" s="168"/>
      <c r="BB29" s="168"/>
      <c r="BC29" s="168"/>
      <c r="BD29" s="168"/>
      <c r="BE29" s="168"/>
      <c r="BF29" s="168"/>
      <c r="BG29" s="168"/>
      <c r="BH29" s="168"/>
      <c r="BI29" s="168"/>
      <c r="BJ29" s="168"/>
      <c r="BK29" s="168"/>
      <c r="BL29" s="168"/>
      <c r="BM29" s="168"/>
      <c r="BN29" s="168"/>
      <c r="BO29" s="168"/>
      <c r="BP29" s="168"/>
      <c r="BQ29" s="168"/>
      <c r="BR29" s="168"/>
      <c r="BS29" s="168"/>
      <c r="BT29" s="168"/>
      <c r="BU29" s="168"/>
      <c r="BV29" s="168"/>
      <c r="BW29" s="168"/>
      <c r="BX29" s="168"/>
      <c r="BY29" s="168"/>
      <c r="BZ29" s="168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</row>
    <row r="30" spans="1:100" s="155" customFormat="1" ht="10.5" customHeight="1" x14ac:dyDescent="0.5">
      <c r="A30" s="168"/>
      <c r="B30" s="168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72"/>
      <c r="Z30" s="168"/>
      <c r="AA30" s="168"/>
      <c r="AB30" s="177"/>
      <c r="AC30" s="168"/>
      <c r="AD30" s="168"/>
      <c r="AE30" s="168"/>
      <c r="AF30" s="319" t="str">
        <f>AA8</f>
        <v>Indiana Pacers</v>
      </c>
      <c r="AG30" s="320"/>
      <c r="AH30" s="320"/>
      <c r="AI30" s="321"/>
      <c r="AJ30" s="329">
        <f>L11+IF(L11=4,J17,0)+IF(AND(L11=4,J17=4),H29,0)+IF(AND(L11=4,J17=4,H29=4),$G$64,0)</f>
        <v>10</v>
      </c>
      <c r="AK30" s="329">
        <f>AA5+IF(AA5=4,Y11,0)+IF(AND(AA5=4,Y11=4),W23,0)+IF(AND(AA5=4,Y11=4,W23=4),$V$65,0)</f>
        <v>10</v>
      </c>
      <c r="AL30" s="328">
        <f>AJ30-AK30</f>
        <v>0</v>
      </c>
      <c r="AM30" s="179"/>
      <c r="AN30" s="179"/>
      <c r="AO30" s="314">
        <v>2012</v>
      </c>
      <c r="AP30" s="314"/>
      <c r="AQ30" s="314"/>
      <c r="AR30" s="314"/>
      <c r="AS30" s="329" t="s">
        <v>157</v>
      </c>
      <c r="AT30" s="329" t="s">
        <v>132</v>
      </c>
      <c r="AU30" s="328">
        <v>13</v>
      </c>
      <c r="AV30" s="328">
        <v>10</v>
      </c>
      <c r="AW30" s="168"/>
      <c r="AX30" s="168"/>
      <c r="AY30" s="168"/>
      <c r="AZ30" s="168"/>
      <c r="BA30" s="168"/>
      <c r="BB30" s="168"/>
      <c r="BC30" s="168"/>
      <c r="BD30" s="168"/>
      <c r="BE30" s="168"/>
      <c r="BF30" s="168"/>
      <c r="BG30" s="168"/>
      <c r="BH30" s="168"/>
      <c r="BI30" s="168"/>
      <c r="BJ30" s="168"/>
      <c r="BK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</row>
    <row r="31" spans="1:100" s="155" customFormat="1" ht="10.5" customHeight="1" x14ac:dyDescent="0.5">
      <c r="A31" s="168"/>
      <c r="B31" s="168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72"/>
      <c r="Z31" s="168"/>
      <c r="AA31" s="168"/>
      <c r="AB31" s="177"/>
      <c r="AC31" s="168"/>
      <c r="AD31" s="168"/>
      <c r="AE31" s="168"/>
      <c r="AF31" s="319"/>
      <c r="AG31" s="320"/>
      <c r="AH31" s="320"/>
      <c r="AI31" s="321"/>
      <c r="AJ31" s="325"/>
      <c r="AK31" s="325"/>
      <c r="AL31" s="326"/>
      <c r="AM31" s="179"/>
      <c r="AN31" s="179"/>
      <c r="AO31" s="314"/>
      <c r="AP31" s="314"/>
      <c r="AQ31" s="314"/>
      <c r="AR31" s="314"/>
      <c r="AS31" s="325"/>
      <c r="AT31" s="325"/>
      <c r="AU31" s="326"/>
      <c r="AV31" s="326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</row>
    <row r="32" spans="1:100" s="155" customFormat="1" ht="39.75" customHeight="1" x14ac:dyDescent="0.5">
      <c r="A32" s="177">
        <v>4</v>
      </c>
      <c r="B32" s="156" t="str">
        <f>IF(OR($B$3=2015,$B$3=2009),"Portland Trail Blazers",IF(OR($B$3=2017,$B$3=2016,$B$3=2013),"Los Angeles Clippers",IF(OR($B$3=2011,$B$3=2018),"Oklahoma City Thunder",IF(OR($B$3=2008,$B$3=2007),"Utah Jazz",IF(OR($B$3=2005,$B$3=2006),"Dallas Mavericks",IF($B$3=2004,"Sacramento Kings",IF($B$3=2003,"Minnesota Timberwolves",IF($B$3=2010,"Denver Nuggets",IF($B$3=2012,"Memphis Grizzlies","Houston Rockets")))))))))</f>
        <v>Houston Rockets</v>
      </c>
      <c r="C32" s="168"/>
      <c r="D32" s="168"/>
      <c r="E32" s="168"/>
      <c r="F32" s="168"/>
      <c r="G32" s="168"/>
      <c r="H32" s="168"/>
      <c r="I32" s="168"/>
      <c r="J32" s="168"/>
      <c r="K32" s="168"/>
      <c r="L32" s="157" t="str">
        <f>IF(OR($B$3=2005,$B$3=2014),"Chicago Bulls",IF($B$3=2015,"Toronto Raptors",IF(OR($B$3=2009,$B$3=2016),"Atlanta Hawks",IF($B$3=2017,"Washington Wizards",IF(OR($B$3=2006,$B$3=2008,$B$3=2018),"Cleveland Cavaliers",IF($B$3=2020,"Indiana Pacers",IF(OR($B$3=2004,$B$3=2007),"Miami Heat",IF($B$3=2013,"Brooklyn Nets",IF($B$3=2011,"Orlando Magic",IF($B$3=2003,"Philadelphia 76ers","Boston Celtics"))))))))))</f>
        <v>Chicago Bulls</v>
      </c>
      <c r="M32" s="177">
        <v>4</v>
      </c>
      <c r="N32" s="168"/>
      <c r="O32" s="168"/>
      <c r="P32" s="177">
        <v>4</v>
      </c>
      <c r="Q32" s="156" t="str">
        <f>B32</f>
        <v>Houston Rockets</v>
      </c>
      <c r="R32" s="168"/>
      <c r="S32" s="168"/>
      <c r="T32" s="168"/>
      <c r="U32" s="168"/>
      <c r="V32" s="173"/>
      <c r="W32" s="168"/>
      <c r="X32" s="168"/>
      <c r="Y32" s="172"/>
      <c r="Z32" s="168"/>
      <c r="AA32" s="157" t="str">
        <f>L32</f>
        <v>Chicago Bulls</v>
      </c>
      <c r="AB32" s="177">
        <v>4</v>
      </c>
      <c r="AC32" s="168"/>
      <c r="AD32" s="168"/>
      <c r="AE32" s="168"/>
      <c r="AF32" s="322"/>
      <c r="AG32" s="323"/>
      <c r="AH32" s="323"/>
      <c r="AI32" s="324"/>
      <c r="AJ32" s="325"/>
      <c r="AK32" s="325"/>
      <c r="AL32" s="326"/>
      <c r="AM32" s="179"/>
      <c r="AN32" s="179"/>
      <c r="AO32" s="314"/>
      <c r="AP32" s="314"/>
      <c r="AQ32" s="314"/>
      <c r="AR32" s="314"/>
      <c r="AS32" s="325"/>
      <c r="AT32" s="325"/>
      <c r="AU32" s="326"/>
      <c r="AV32" s="326"/>
      <c r="AW32" s="168"/>
      <c r="AX32" s="168"/>
      <c r="AY32" s="168"/>
      <c r="AZ32" s="168"/>
      <c r="BA32" s="168"/>
      <c r="BB32" s="168"/>
      <c r="BC32" s="168"/>
      <c r="BD32" s="168"/>
      <c r="BE32" s="168"/>
      <c r="BF32" s="168"/>
      <c r="BG32" s="168"/>
      <c r="BH32" s="168"/>
      <c r="BI32" s="168"/>
      <c r="BJ32" s="168"/>
      <c r="BK32" s="168"/>
      <c r="BL32" s="168"/>
      <c r="BM32" s="168"/>
      <c r="BN32" s="168"/>
      <c r="BO32" s="168"/>
      <c r="BP32" s="168"/>
      <c r="BQ32" s="168"/>
      <c r="BR32" s="168"/>
      <c r="BS32" s="168"/>
      <c r="BT32" s="168"/>
      <c r="BU32" s="168"/>
      <c r="BV32" s="168"/>
      <c r="BW32" s="168"/>
      <c r="BX32" s="168"/>
      <c r="BY32" s="168"/>
      <c r="BZ32" s="168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</row>
    <row r="33" spans="1:100" s="155" customFormat="1" ht="10.5" customHeight="1" x14ac:dyDescent="0.5">
      <c r="A33" s="168"/>
      <c r="B33" s="174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285">
        <f>INDEX('Historical Snapshot'!$D$55:$AH$84,MATCH(Q32,'Historical Snapshot'!$C$55:$C$84,0),MATCH(Q44,'Historical Snapshot'!$D$54:$AH$54,0))</f>
        <v>0.49946568508828726</v>
      </c>
      <c r="R33" s="168"/>
      <c r="S33" s="168"/>
      <c r="T33" s="168"/>
      <c r="U33" s="168"/>
      <c r="V33" s="168"/>
      <c r="W33" s="168"/>
      <c r="X33" s="168"/>
      <c r="Y33" s="172"/>
      <c r="Z33" s="168"/>
      <c r="AA33" s="285">
        <f>INDEX('Historical Snapshot'!$D$55:$AH$84,MATCH(AA32,'Historical Snapshot'!$C$55:$C$84,0),MATCH(AA44,'Historical Snapshot'!$D$54:$AH$54,0))</f>
        <v>0.53191284769040981</v>
      </c>
      <c r="AB33" s="177"/>
      <c r="AC33" s="168"/>
      <c r="AD33" s="168"/>
      <c r="AE33" s="168"/>
      <c r="AF33" s="316" t="str">
        <f>AA82</f>
        <v>Miami Heat</v>
      </c>
      <c r="AG33" s="317"/>
      <c r="AH33" s="317"/>
      <c r="AI33" s="318"/>
      <c r="AJ33" s="325">
        <f>L85+IF(L85=4,J85,0)+IF(AND(L85=4,J85=4),H73,0)+IF(AND(L85=4,J85=4,H73=4),$G$64,0)</f>
        <v>13</v>
      </c>
      <c r="AK33" s="325">
        <f>AA79+IF(AA79=4,Y91,0)+IF(AND(AA79=4,Y91=4),W79,0)+IF(AND(AA79=4,Y91=4,W79=4),$V$65,0)</f>
        <v>13</v>
      </c>
      <c r="AL33" s="326">
        <f>AJ33-AK33</f>
        <v>0</v>
      </c>
      <c r="AM33" s="179"/>
      <c r="AN33" s="179"/>
      <c r="AO33" s="314">
        <v>2011</v>
      </c>
      <c r="AP33" s="314"/>
      <c r="AQ33" s="314"/>
      <c r="AR33" s="314"/>
      <c r="AS33" s="325" t="s">
        <v>132</v>
      </c>
      <c r="AT33" s="325" t="s">
        <v>159</v>
      </c>
      <c r="AU33" s="326">
        <v>14</v>
      </c>
      <c r="AV33" s="326">
        <v>6</v>
      </c>
      <c r="AW33" s="168"/>
      <c r="AX33" s="168"/>
      <c r="AY33" s="168"/>
      <c r="AZ33" s="168"/>
      <c r="BA33" s="168"/>
      <c r="BB33" s="168"/>
      <c r="BC33" s="168"/>
      <c r="BD33" s="168"/>
      <c r="BE33" s="168"/>
      <c r="BF33" s="168"/>
      <c r="BG33" s="168"/>
      <c r="BH33" s="168"/>
      <c r="BI33" s="168"/>
      <c r="BJ33" s="168"/>
      <c r="BK33" s="168"/>
      <c r="BL33" s="168"/>
      <c r="BM33" s="168"/>
      <c r="BN33" s="168"/>
      <c r="BO33" s="168"/>
      <c r="BP33" s="168"/>
      <c r="BQ33" s="168"/>
      <c r="BR33" s="168"/>
      <c r="BS33" s="168"/>
      <c r="BT33" s="168"/>
      <c r="BU33" s="168"/>
      <c r="BV33" s="168"/>
      <c r="BW33" s="168"/>
      <c r="BX33" s="168"/>
      <c r="BY33" s="168"/>
      <c r="BZ33" s="168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</row>
    <row r="34" spans="1:100" s="155" customFormat="1" ht="10.5" customHeight="1" x14ac:dyDescent="0.5">
      <c r="A34" s="168"/>
      <c r="B34" s="168"/>
      <c r="C34" s="168"/>
      <c r="D34" s="168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283"/>
      <c r="R34" s="168"/>
      <c r="S34" s="168"/>
      <c r="T34" s="168"/>
      <c r="U34" s="168"/>
      <c r="V34" s="168"/>
      <c r="W34" s="168"/>
      <c r="X34" s="168"/>
      <c r="Y34" s="172"/>
      <c r="Z34" s="168"/>
      <c r="AA34" s="283"/>
      <c r="AB34" s="177"/>
      <c r="AC34" s="168"/>
      <c r="AD34" s="168"/>
      <c r="AE34" s="168"/>
      <c r="AF34" s="319"/>
      <c r="AG34" s="320"/>
      <c r="AH34" s="320"/>
      <c r="AI34" s="321"/>
      <c r="AJ34" s="325"/>
      <c r="AK34" s="325"/>
      <c r="AL34" s="326"/>
      <c r="AM34" s="179"/>
      <c r="AN34" s="179"/>
      <c r="AO34" s="314"/>
      <c r="AP34" s="314"/>
      <c r="AQ34" s="314"/>
      <c r="AR34" s="314"/>
      <c r="AS34" s="325"/>
      <c r="AT34" s="325"/>
      <c r="AU34" s="326"/>
      <c r="AV34" s="326"/>
      <c r="AW34" s="168"/>
      <c r="AX34" s="168"/>
      <c r="AY34" s="168"/>
      <c r="AZ34" s="168"/>
      <c r="BA34" s="168"/>
      <c r="BB34" s="168"/>
      <c r="BC34" s="168"/>
      <c r="BD34" s="168"/>
      <c r="BE34" s="168"/>
      <c r="BF34" s="168"/>
      <c r="BG34" s="168"/>
      <c r="BH34" s="168"/>
      <c r="BI34" s="168"/>
      <c r="BJ34" s="168"/>
      <c r="BK34" s="168"/>
      <c r="BL34" s="168"/>
      <c r="BM34" s="168"/>
      <c r="BN34" s="168"/>
      <c r="BO34" s="168"/>
      <c r="BP34" s="168"/>
      <c r="BQ34" s="168"/>
      <c r="BR34" s="168"/>
      <c r="BS34" s="168"/>
      <c r="BT34" s="168"/>
      <c r="BU34" s="168"/>
      <c r="BV34" s="168"/>
      <c r="BW34" s="168"/>
      <c r="BX34" s="168"/>
      <c r="BY34" s="168"/>
      <c r="BZ34" s="168"/>
      <c r="CA34" s="168"/>
      <c r="CB34" s="168"/>
      <c r="CC34" s="168"/>
      <c r="CD34" s="168"/>
      <c r="CE34" s="168"/>
      <c r="CF34" s="168"/>
      <c r="CG34" s="168"/>
      <c r="CH34" s="168"/>
      <c r="CI34" s="168"/>
      <c r="CJ34" s="168"/>
      <c r="CK34" s="168"/>
      <c r="CL34" s="168"/>
      <c r="CM34" s="168"/>
      <c r="CN34" s="168"/>
      <c r="CO34" s="168"/>
      <c r="CP34" s="168"/>
      <c r="CQ34" s="168"/>
      <c r="CR34" s="168"/>
      <c r="CS34" s="168"/>
      <c r="CT34" s="168"/>
      <c r="CU34" s="168"/>
      <c r="CV34" s="168"/>
    </row>
    <row r="35" spans="1:100" s="155" customFormat="1" ht="39.75" customHeight="1" x14ac:dyDescent="0.5">
      <c r="A35" s="168"/>
      <c r="B35" s="168">
        <f>IF(OR($B$3=2011,AND($B$3&lt;=2008,$B$3&gt;=2004),$B$3=2020,$B$3=2019),4,IF(OR($B$3=2012,$B$3=2017),3,IF($B$3=2015,1,2)))</f>
        <v>2</v>
      </c>
      <c r="C35" s="168"/>
      <c r="D35" s="168">
        <f>IF(OR($B$3=2006,$B$3=2007,$B$3=2011,$B$3=2013),4,IF(OR($B$3=2012,$B$3=2010,$B$3=2017),0,IF(OR($B$3=2009,$B$3=2004),3,IF(OR($B$3=2003,$B$3=2005,$B$3=2008,$B$3=2015,$B$3=2019),2,1))))</f>
        <v>1</v>
      </c>
      <c r="E35" s="168"/>
      <c r="F35" s="168"/>
      <c r="G35" s="168"/>
      <c r="H35" s="168"/>
      <c r="I35" s="168"/>
      <c r="J35" s="168">
        <f>IF(OR($B$3=2013,$B$3=2019),1,IF(OR($B$3=2005,$B$3=2009,$B$3=2016),0,IF(OR($B$3=2006,$B$3=2008,$B$3=2017),3,IF(OR($B$3=2003,$B$3=2004,$B$3=2007,$B$3=2011,$B$3=2014,$B$3=2015),2,4))))</f>
        <v>2</v>
      </c>
      <c r="K35" s="168"/>
      <c r="L35" s="168">
        <f>IF(OR($B$3=2007,$B$3=2008,$B3=2015,$B$3=2020),0,IF($B$3=2013,3,IF(OR($B$3=2011,$B$3=2005),2,4)))</f>
        <v>4</v>
      </c>
      <c r="M35" s="168"/>
      <c r="N35" s="168"/>
      <c r="O35" s="168"/>
      <c r="P35" s="168"/>
      <c r="Q35" s="283"/>
      <c r="R35" s="168"/>
      <c r="S35" s="283">
        <f>1-S15</f>
        <v>0.41052318437934321</v>
      </c>
      <c r="T35" s="168"/>
      <c r="U35" s="168"/>
      <c r="V35" s="168"/>
      <c r="W35" s="168"/>
      <c r="X35" s="168"/>
      <c r="Y35" s="283">
        <f>1-Y16</f>
        <v>0.40528827990799421</v>
      </c>
      <c r="Z35" s="168"/>
      <c r="AA35" s="283"/>
      <c r="AB35" s="177"/>
      <c r="AC35" s="168"/>
      <c r="AD35" s="168"/>
      <c r="AE35" s="168"/>
      <c r="AF35" s="322"/>
      <c r="AG35" s="323"/>
      <c r="AH35" s="323"/>
      <c r="AI35" s="324"/>
      <c r="AJ35" s="325"/>
      <c r="AK35" s="325"/>
      <c r="AL35" s="326"/>
      <c r="AM35" s="179"/>
      <c r="AN35" s="179"/>
      <c r="AO35" s="314"/>
      <c r="AP35" s="314"/>
      <c r="AQ35" s="314"/>
      <c r="AR35" s="314"/>
      <c r="AS35" s="325"/>
      <c r="AT35" s="325"/>
      <c r="AU35" s="326"/>
      <c r="AV35" s="326"/>
      <c r="AW35" s="168"/>
      <c r="AX35" s="168"/>
      <c r="AY35" s="168"/>
      <c r="AZ35" s="168"/>
      <c r="BA35" s="168"/>
      <c r="BB35" s="168"/>
      <c r="BC35" s="168"/>
      <c r="BD35" s="168"/>
      <c r="BE35" s="168"/>
      <c r="BF35" s="168"/>
      <c r="BG35" s="168"/>
      <c r="BH35" s="168"/>
      <c r="BI35" s="168"/>
      <c r="BJ35" s="168"/>
      <c r="BK35" s="168"/>
      <c r="BL35" s="168"/>
      <c r="BM35" s="168"/>
      <c r="BN35" s="168"/>
      <c r="BO35" s="168"/>
      <c r="BP35" s="168"/>
      <c r="BQ35" s="168"/>
      <c r="BR35" s="168"/>
      <c r="BS35" s="168"/>
      <c r="BT35" s="168"/>
      <c r="BU35" s="168"/>
      <c r="BV35" s="168"/>
      <c r="BW35" s="168"/>
      <c r="BX35" s="168"/>
      <c r="BY35" s="168"/>
      <c r="BZ35" s="168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</row>
    <row r="36" spans="1:100" s="155" customFormat="1" ht="10.5" customHeight="1" x14ac:dyDescent="0.5">
      <c r="A36" s="168"/>
      <c r="B36" s="168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283"/>
      <c r="T36" s="168"/>
      <c r="U36" s="168"/>
      <c r="V36" s="168"/>
      <c r="W36" s="168"/>
      <c r="X36" s="168"/>
      <c r="Y36" s="283"/>
      <c r="Z36" s="168"/>
      <c r="AA36" s="168"/>
      <c r="AB36" s="177"/>
      <c r="AC36" s="168"/>
      <c r="AD36" s="168"/>
      <c r="AE36" s="168"/>
      <c r="AF36" s="316" t="str">
        <f>AA58</f>
        <v>Toronto Raptors</v>
      </c>
      <c r="AG36" s="317"/>
      <c r="AH36" s="317"/>
      <c r="AI36" s="318"/>
      <c r="AJ36" s="325">
        <f>L61+IF(L61=4,J67,0)+IF(AND(L61=4,J67=4),H73,0)+IF(AND(L61=4,J67=4,H73=4),$G$64,0)</f>
        <v>3</v>
      </c>
      <c r="AK36" s="325">
        <f>AA55+IF(AA55=4,Y63,0)+IF(AND(AA55=4,Y63=4),W79,0)+IF(AND(AA55=4,Y63=4,W79=4),$V$65,0)</f>
        <v>6</v>
      </c>
      <c r="AL36" s="326">
        <f>AJ36-AK36</f>
        <v>-3</v>
      </c>
      <c r="AM36" s="179"/>
      <c r="AN36" s="179"/>
      <c r="AO36" s="314">
        <v>2010</v>
      </c>
      <c r="AP36" s="314"/>
      <c r="AQ36" s="314"/>
      <c r="AR36" s="314"/>
      <c r="AS36" s="325" t="s">
        <v>138</v>
      </c>
      <c r="AT36" s="325" t="s">
        <v>153</v>
      </c>
      <c r="AU36" s="326">
        <v>10</v>
      </c>
      <c r="AV36" s="326">
        <v>6</v>
      </c>
      <c r="AW36" s="168"/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  <c r="BQ36" s="168"/>
      <c r="BR36" s="168"/>
      <c r="BS36" s="168"/>
      <c r="BT36" s="168"/>
      <c r="BU36" s="168"/>
      <c r="BV36" s="168"/>
      <c r="BW36" s="168"/>
      <c r="BX36" s="168"/>
      <c r="BY36" s="168"/>
      <c r="BZ36" s="168"/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</row>
    <row r="37" spans="1:100" s="155" customFormat="1" ht="10.5" customHeight="1" x14ac:dyDescent="0.5">
      <c r="A37" s="168"/>
      <c r="B37" s="168"/>
      <c r="C37" s="168"/>
      <c r="D37" s="168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284"/>
      <c r="T37" s="168"/>
      <c r="U37" s="168"/>
      <c r="V37" s="168"/>
      <c r="W37" s="168"/>
      <c r="X37" s="168"/>
      <c r="Y37" s="168"/>
      <c r="Z37" s="168"/>
      <c r="AA37" s="168"/>
      <c r="AB37" s="177"/>
      <c r="AC37" s="168"/>
      <c r="AD37" s="168"/>
      <c r="AE37" s="168"/>
      <c r="AF37" s="319"/>
      <c r="AG37" s="320"/>
      <c r="AH37" s="320"/>
      <c r="AI37" s="321"/>
      <c r="AJ37" s="325"/>
      <c r="AK37" s="325"/>
      <c r="AL37" s="326"/>
      <c r="AM37" s="179"/>
      <c r="AN37" s="179"/>
      <c r="AO37" s="314"/>
      <c r="AP37" s="314"/>
      <c r="AQ37" s="314"/>
      <c r="AR37" s="314"/>
      <c r="AS37" s="325"/>
      <c r="AT37" s="325"/>
      <c r="AU37" s="326"/>
      <c r="AV37" s="326"/>
      <c r="AW37" s="168"/>
      <c r="AX37" s="168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68"/>
      <c r="BJ37" s="168"/>
      <c r="BK37" s="168"/>
      <c r="BL37" s="168"/>
      <c r="BM37" s="168"/>
      <c r="BN37" s="168"/>
      <c r="BO37" s="168"/>
      <c r="BP37" s="168"/>
      <c r="BQ37" s="168"/>
      <c r="BR37" s="168"/>
      <c r="BS37" s="168"/>
      <c r="BT37" s="168"/>
      <c r="BU37" s="168"/>
      <c r="BV37" s="168"/>
      <c r="BW37" s="168"/>
      <c r="BX37" s="168"/>
      <c r="BY37" s="168"/>
      <c r="BZ37" s="168"/>
      <c r="CA37" s="168"/>
      <c r="CB37" s="168"/>
      <c r="CC37" s="168"/>
      <c r="CD37" s="168"/>
      <c r="CE37" s="168"/>
      <c r="CF37" s="168"/>
      <c r="CG37" s="168"/>
      <c r="CH37" s="168"/>
      <c r="CI37" s="168"/>
      <c r="CJ37" s="168"/>
      <c r="CK37" s="168"/>
      <c r="CL37" s="168"/>
      <c r="CM37" s="168"/>
      <c r="CN37" s="168"/>
      <c r="CO37" s="168"/>
      <c r="CP37" s="168"/>
      <c r="CQ37" s="168"/>
      <c r="CR37" s="168"/>
      <c r="CS37" s="168"/>
      <c r="CT37" s="168"/>
      <c r="CU37" s="168"/>
      <c r="CV37" s="168"/>
    </row>
    <row r="38" spans="1:100" s="155" customFormat="1" ht="39.75" customHeight="1" x14ac:dyDescent="0.5">
      <c r="A38" s="168"/>
      <c r="B38" s="168"/>
      <c r="C38" s="168"/>
      <c r="D38" s="156" t="str">
        <f>IF(OR(B3=2020,B3=2019,$B$3=2011,AND($B$3&lt;=2008,$B$3&gt;=2004)),B32,B44)</f>
        <v>Portland Trail Blazers</v>
      </c>
      <c r="E38" s="168"/>
      <c r="F38" s="307"/>
      <c r="G38" s="307"/>
      <c r="H38" s="168"/>
      <c r="I38" s="168"/>
      <c r="J38" s="157" t="str">
        <f>IF(OR($B$3=2013,$B$3=2011,$B$3=2007,$B$3=2005,$B$3=2020,$B$3=2015,$B$3=2014),L44,L32)</f>
        <v>Washington Wizards</v>
      </c>
      <c r="K38" s="168"/>
      <c r="L38" s="168"/>
      <c r="M38" s="168"/>
      <c r="N38" s="168"/>
      <c r="O38" s="168"/>
      <c r="P38" s="168"/>
      <c r="Q38" s="168"/>
      <c r="R38" s="168"/>
      <c r="S38" s="156" t="str">
        <f>IF(Q33&gt;=0.5,Q32,Q44)</f>
        <v>Portland Trail Blazers</v>
      </c>
      <c r="T38" s="168"/>
      <c r="U38" s="168"/>
      <c r="V38" s="168"/>
      <c r="W38" s="168"/>
      <c r="X38" s="168"/>
      <c r="Y38" s="158" t="str">
        <f>IF(AA33&gt;=0.5,AA32,AA44)</f>
        <v>Chicago Bulls</v>
      </c>
      <c r="Z38" s="168"/>
      <c r="AA38" s="168"/>
      <c r="AB38" s="177"/>
      <c r="AC38" s="168"/>
      <c r="AD38" s="168"/>
      <c r="AE38" s="168"/>
      <c r="AF38" s="322"/>
      <c r="AG38" s="323"/>
      <c r="AH38" s="323"/>
      <c r="AI38" s="324"/>
      <c r="AJ38" s="325"/>
      <c r="AK38" s="325"/>
      <c r="AL38" s="326"/>
      <c r="AM38" s="179"/>
      <c r="AN38" s="179"/>
      <c r="AO38" s="314"/>
      <c r="AP38" s="314"/>
      <c r="AQ38" s="314"/>
      <c r="AR38" s="314"/>
      <c r="AS38" s="325"/>
      <c r="AT38" s="325"/>
      <c r="AU38" s="326"/>
      <c r="AV38" s="326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68"/>
      <c r="BI38" s="168"/>
      <c r="BJ38" s="168"/>
      <c r="BK38" s="168"/>
      <c r="BL38" s="168"/>
      <c r="BM38" s="168"/>
      <c r="BN38" s="168"/>
      <c r="BO38" s="168"/>
      <c r="BP38" s="168"/>
      <c r="BQ38" s="168"/>
      <c r="BR38" s="168"/>
      <c r="BS38" s="168"/>
      <c r="BT38" s="168"/>
      <c r="BU38" s="168"/>
      <c r="BV38" s="168"/>
      <c r="BW38" s="168"/>
      <c r="BX38" s="168"/>
      <c r="BY38" s="168"/>
      <c r="BZ38" s="168"/>
      <c r="CA38" s="168"/>
      <c r="CB38" s="168"/>
      <c r="CC38" s="168"/>
      <c r="CD38" s="168"/>
      <c r="CE38" s="168"/>
      <c r="CF38" s="168"/>
      <c r="CG38" s="168"/>
      <c r="CH38" s="168"/>
      <c r="CI38" s="168"/>
      <c r="CJ38" s="168"/>
      <c r="CK38" s="168"/>
      <c r="CL38" s="168"/>
      <c r="CM38" s="168"/>
      <c r="CN38" s="168"/>
      <c r="CO38" s="168"/>
      <c r="CP38" s="168"/>
      <c r="CQ38" s="168"/>
      <c r="CR38" s="168"/>
      <c r="CS38" s="168"/>
      <c r="CT38" s="168"/>
      <c r="CU38" s="168"/>
      <c r="CV38" s="168"/>
    </row>
    <row r="39" spans="1:100" s="155" customFormat="1" ht="10.5" customHeight="1" x14ac:dyDescent="0.5">
      <c r="A39" s="168"/>
      <c r="B39" s="168"/>
      <c r="C39" s="168"/>
      <c r="D39" s="168"/>
      <c r="E39" s="168"/>
      <c r="F39" s="307"/>
      <c r="G39" s="307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77"/>
      <c r="AC39" s="168"/>
      <c r="AD39" s="168"/>
      <c r="AE39" s="168"/>
      <c r="AF39" s="316" t="str">
        <f>AA32</f>
        <v>Chicago Bulls</v>
      </c>
      <c r="AG39" s="317"/>
      <c r="AH39" s="317"/>
      <c r="AI39" s="318"/>
      <c r="AJ39" s="325">
        <f>L35+IF(L35=4,J35,0)+IF(AND(L35=4,J35=4),H29,0)+IF(AND(L35=4,J35=4,H29=4),$G$64,0)</f>
        <v>6</v>
      </c>
      <c r="AK39" s="325">
        <f>AA29+IF(AA29=4,Y41,0)+IF(AND(AA29=4,Y41=4),W23,0)+IF(AND(AA29=4,Y41=4,W23=4),$V$65,0)</f>
        <v>6</v>
      </c>
      <c r="AL39" s="326">
        <f>AJ39-AK39</f>
        <v>0</v>
      </c>
      <c r="AM39" s="179"/>
      <c r="AN39" s="179"/>
      <c r="AO39" s="314">
        <v>2009</v>
      </c>
      <c r="AP39" s="314"/>
      <c r="AQ39" s="314"/>
      <c r="AR39" s="314"/>
      <c r="AS39" s="325" t="s">
        <v>130</v>
      </c>
      <c r="AT39" s="325" t="s">
        <v>153</v>
      </c>
      <c r="AU39" s="326">
        <v>10</v>
      </c>
      <c r="AV39" s="326">
        <v>14</v>
      </c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/>
      <c r="BH39" s="168"/>
      <c r="BI39" s="168"/>
      <c r="BJ39" s="168"/>
      <c r="BK39" s="168"/>
      <c r="BL39" s="168"/>
      <c r="BM39" s="168"/>
      <c r="BN39" s="168"/>
      <c r="BO39" s="168"/>
      <c r="BP39" s="168"/>
      <c r="BQ39" s="168"/>
      <c r="BR39" s="168"/>
      <c r="BS39" s="168"/>
      <c r="BT39" s="168"/>
      <c r="BU39" s="168"/>
      <c r="BV39" s="168"/>
      <c r="BW39" s="168"/>
      <c r="BX39" s="168"/>
      <c r="BY39" s="168"/>
      <c r="BZ39" s="168"/>
      <c r="CA39" s="168"/>
      <c r="CB39" s="168"/>
      <c r="CC39" s="168"/>
      <c r="CD39" s="168"/>
      <c r="CE39" s="168"/>
      <c r="CF39" s="168"/>
      <c r="CG39" s="168"/>
      <c r="CH39" s="168"/>
      <c r="CI39" s="168"/>
      <c r="CJ39" s="168"/>
      <c r="CK39" s="168"/>
      <c r="CL39" s="168"/>
      <c r="CM39" s="168"/>
      <c r="CN39" s="168"/>
      <c r="CO39" s="168"/>
      <c r="CP39" s="168"/>
      <c r="CQ39" s="168"/>
      <c r="CR39" s="168"/>
      <c r="CS39" s="168"/>
      <c r="CT39" s="168"/>
      <c r="CU39" s="168"/>
      <c r="CV39" s="168"/>
    </row>
    <row r="40" spans="1:100" s="155" customFormat="1" ht="10.5" customHeight="1" x14ac:dyDescent="0.5">
      <c r="A40" s="168"/>
      <c r="B40" s="168"/>
      <c r="C40" s="168"/>
      <c r="D40" s="168"/>
      <c r="E40" s="168"/>
      <c r="F40" s="307"/>
      <c r="G40" s="307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8"/>
      <c r="AB40" s="177"/>
      <c r="AC40" s="168"/>
      <c r="AD40" s="168"/>
      <c r="AE40" s="168"/>
      <c r="AF40" s="319"/>
      <c r="AG40" s="320"/>
      <c r="AH40" s="320"/>
      <c r="AI40" s="321"/>
      <c r="AJ40" s="325"/>
      <c r="AK40" s="325"/>
      <c r="AL40" s="326"/>
      <c r="AM40" s="179"/>
      <c r="AN40" s="179"/>
      <c r="AO40" s="314"/>
      <c r="AP40" s="314"/>
      <c r="AQ40" s="314"/>
      <c r="AR40" s="314"/>
      <c r="AS40" s="325"/>
      <c r="AT40" s="325"/>
      <c r="AU40" s="326"/>
      <c r="AV40" s="326"/>
      <c r="AW40" s="168"/>
      <c r="AX40" s="168"/>
      <c r="AY40" s="168"/>
      <c r="AZ40" s="168"/>
      <c r="BA40" s="168"/>
      <c r="BB40" s="168"/>
      <c r="BC40" s="168"/>
      <c r="BD40" s="168"/>
      <c r="BE40" s="168"/>
      <c r="BF40" s="168"/>
      <c r="BG40" s="168"/>
      <c r="BH40" s="168"/>
      <c r="BI40" s="168"/>
      <c r="BJ40" s="168"/>
      <c r="BK40" s="168"/>
      <c r="BL40" s="168"/>
      <c r="BM40" s="168"/>
      <c r="BN40" s="168"/>
      <c r="BO40" s="168"/>
      <c r="BP40" s="168"/>
      <c r="BQ40" s="168"/>
      <c r="BR40" s="168"/>
      <c r="BS40" s="168"/>
      <c r="BT40" s="168"/>
      <c r="BU40" s="168"/>
      <c r="BV40" s="168"/>
      <c r="BW40" s="168"/>
      <c r="BX40" s="168"/>
      <c r="BY40" s="168"/>
      <c r="BZ40" s="168"/>
      <c r="CA40" s="168"/>
      <c r="CB40" s="168"/>
      <c r="CC40" s="168"/>
      <c r="CD40" s="168"/>
      <c r="CE40" s="168"/>
      <c r="CF40" s="168"/>
      <c r="CG40" s="168"/>
      <c r="CH40" s="168"/>
      <c r="CI40" s="168"/>
      <c r="CJ40" s="168"/>
      <c r="CK40" s="168"/>
      <c r="CL40" s="168"/>
      <c r="CM40" s="168"/>
      <c r="CN40" s="168"/>
      <c r="CO40" s="168"/>
      <c r="CP40" s="168"/>
      <c r="CQ40" s="168"/>
      <c r="CR40" s="168"/>
      <c r="CS40" s="168"/>
      <c r="CT40" s="168"/>
      <c r="CU40" s="168"/>
      <c r="CV40" s="168"/>
    </row>
    <row r="41" spans="1:100" s="155" customFormat="1" ht="39.75" customHeight="1" x14ac:dyDescent="0.5">
      <c r="A41" s="168"/>
      <c r="B41" s="168">
        <f>IF(OR($B$3=2005,$B$3=2007,$B$3=2020),3,IF(OR($B$3=2004,$B$3=2011,$B$3=2019),1,IF($B$3=2008,2,IF($B$3=2006,0,4))))</f>
        <v>4</v>
      </c>
      <c r="C41" s="168"/>
      <c r="D41" s="168"/>
      <c r="E41" s="168"/>
      <c r="F41" s="307"/>
      <c r="G41" s="307"/>
      <c r="H41" s="168"/>
      <c r="I41" s="168"/>
      <c r="J41" s="168"/>
      <c r="K41" s="168"/>
      <c r="L41" s="168">
        <f>IF($B$3=2019,0,IF(OR($B$3=2010,$B$3=2014),1,IF(OR($B$3=2004,$B$3=2009,$B$3=2018),3,IF(OR($B$3=2003,$B$3=2008,$B$3=2012,$B$3=2016,$B$3=2017),2,4))))</f>
        <v>1</v>
      </c>
      <c r="M41" s="168"/>
      <c r="N41" s="168"/>
      <c r="O41" s="168"/>
      <c r="P41" s="168"/>
      <c r="Q41" s="283">
        <f>1-Q33</f>
        <v>0.50053431491171274</v>
      </c>
      <c r="R41" s="168"/>
      <c r="S41" s="168">
        <f>IF(S35&gt;=0.5,4,IF(AND(S35&lt;0.5,S35&gt;0.4),2,IF(AND(S35&lt;0.4,S35&gt;0.25),1,0)))</f>
        <v>2</v>
      </c>
      <c r="T41" s="168"/>
      <c r="U41" s="168"/>
      <c r="V41" s="168"/>
      <c r="W41" s="168"/>
      <c r="X41" s="168"/>
      <c r="Y41" s="168">
        <f>IF(Y35&gt;=0.5,4,IF(AND(Y35&lt;0.5,Y35&gt;0.4),2,IF(AND(Y35&lt;0.4,Y35&gt;0.25),1,0)))</f>
        <v>2</v>
      </c>
      <c r="Z41" s="168"/>
      <c r="AA41" s="283">
        <f>1-AA33</f>
        <v>0.46808715230959019</v>
      </c>
      <c r="AB41" s="177"/>
      <c r="AC41" s="168"/>
      <c r="AD41" s="168"/>
      <c r="AE41" s="168"/>
      <c r="AF41" s="322"/>
      <c r="AG41" s="323"/>
      <c r="AH41" s="323"/>
      <c r="AI41" s="324"/>
      <c r="AJ41" s="325"/>
      <c r="AK41" s="325"/>
      <c r="AL41" s="326"/>
      <c r="AM41" s="179"/>
      <c r="AN41" s="179"/>
      <c r="AO41" s="314"/>
      <c r="AP41" s="314"/>
      <c r="AQ41" s="314"/>
      <c r="AR41" s="314"/>
      <c r="AS41" s="325"/>
      <c r="AT41" s="325"/>
      <c r="AU41" s="326"/>
      <c r="AV41" s="326"/>
      <c r="AW41" s="168"/>
      <c r="AX41" s="168"/>
      <c r="AY41" s="168"/>
      <c r="AZ41" s="168"/>
      <c r="BA41" s="168"/>
      <c r="BB41" s="168"/>
      <c r="BC41" s="168"/>
      <c r="BD41" s="168"/>
      <c r="BE41" s="168"/>
      <c r="BF41" s="168"/>
      <c r="BG41" s="168"/>
      <c r="BH41" s="168"/>
      <c r="BI41" s="168"/>
      <c r="BJ41" s="168"/>
      <c r="BK41" s="168"/>
      <c r="BL41" s="168"/>
      <c r="BM41" s="168"/>
      <c r="BN41" s="168"/>
      <c r="BO41" s="168"/>
      <c r="BP41" s="168"/>
      <c r="BQ41" s="168"/>
      <c r="BR41" s="168"/>
      <c r="BS41" s="168"/>
      <c r="BT41" s="168"/>
      <c r="BU41" s="168"/>
      <c r="BV41" s="168"/>
      <c r="BW41" s="168"/>
      <c r="BX41" s="168"/>
      <c r="BY41" s="168"/>
      <c r="BZ41" s="168"/>
      <c r="CA41" s="168"/>
      <c r="CB41" s="168"/>
      <c r="CC41" s="168"/>
      <c r="CD41" s="168"/>
      <c r="CE41" s="168"/>
      <c r="CF41" s="168"/>
      <c r="CG41" s="168"/>
      <c r="CH41" s="168"/>
      <c r="CI41" s="168"/>
      <c r="CJ41" s="168"/>
      <c r="CK41" s="168"/>
      <c r="CL41" s="168"/>
      <c r="CM41" s="168"/>
      <c r="CN41" s="168"/>
      <c r="CO41" s="168"/>
      <c r="CP41" s="168"/>
      <c r="CQ41" s="168"/>
      <c r="CR41" s="168"/>
      <c r="CS41" s="168"/>
      <c r="CT41" s="168"/>
      <c r="CU41" s="168"/>
      <c r="CV41" s="168"/>
    </row>
    <row r="42" spans="1:100" s="155" customFormat="1" ht="10.5" customHeight="1" x14ac:dyDescent="0.5">
      <c r="A42" s="168"/>
      <c r="B42" s="168"/>
      <c r="C42" s="168"/>
      <c r="D42" s="168"/>
      <c r="E42" s="168"/>
      <c r="F42" s="307"/>
      <c r="G42" s="307"/>
      <c r="H42" s="168"/>
      <c r="I42" s="168"/>
      <c r="J42" s="168"/>
      <c r="K42" s="168"/>
      <c r="L42" s="168"/>
      <c r="M42" s="168"/>
      <c r="N42" s="168"/>
      <c r="O42" s="168"/>
      <c r="P42" s="168"/>
      <c r="Q42" s="283"/>
      <c r="R42" s="168"/>
      <c r="S42" s="168"/>
      <c r="T42" s="168"/>
      <c r="U42" s="168"/>
      <c r="V42" s="168"/>
      <c r="W42" s="168"/>
      <c r="X42" s="168"/>
      <c r="Y42" s="168"/>
      <c r="Z42" s="168"/>
      <c r="AA42" s="283"/>
      <c r="AB42" s="177"/>
      <c r="AC42" s="168"/>
      <c r="AD42" s="168"/>
      <c r="AE42" s="168"/>
      <c r="AF42" s="316" t="str">
        <f>AA44</f>
        <v>Washington Wizards</v>
      </c>
      <c r="AG42" s="317"/>
      <c r="AH42" s="317"/>
      <c r="AI42" s="318"/>
      <c r="AJ42" s="325">
        <f>L41+IF(L41=4,J35,0)+IF(AND(L41=4,J35=4),H29,0)+IF(AND(L41=4,J35=4,H29=4),$G$64,0)</f>
        <v>1</v>
      </c>
      <c r="AK42" s="325">
        <f>AA47+IF(AA47=4,Y41,0)+IF(AND(AA47=4,Y41=4),W23,0)+IF(AND(AA47=4,Y41=4,W23=4),$V$65,0)</f>
        <v>2</v>
      </c>
      <c r="AL42" s="326">
        <f>AJ42-AK42</f>
        <v>-1</v>
      </c>
      <c r="AM42" s="179"/>
      <c r="AN42" s="179"/>
      <c r="AO42" s="314">
        <v>2008</v>
      </c>
      <c r="AP42" s="314"/>
      <c r="AQ42" s="314"/>
      <c r="AR42" s="314"/>
      <c r="AS42" s="325" t="s">
        <v>130</v>
      </c>
      <c r="AT42" s="325" t="s">
        <v>130</v>
      </c>
      <c r="AU42" s="326">
        <v>16</v>
      </c>
      <c r="AV42" s="326">
        <v>16</v>
      </c>
      <c r="AW42" s="168"/>
      <c r="AX42" s="168"/>
      <c r="AY42" s="168"/>
      <c r="AZ42" s="168"/>
      <c r="BA42" s="168"/>
      <c r="BB42" s="168"/>
      <c r="BC42" s="168"/>
      <c r="BD42" s="168"/>
      <c r="BE42" s="168"/>
      <c r="BF42" s="168"/>
      <c r="BG42" s="168"/>
      <c r="BH42" s="168"/>
      <c r="BI42" s="168"/>
      <c r="BJ42" s="168"/>
      <c r="BK42" s="168"/>
      <c r="BL42" s="168"/>
      <c r="BM42" s="168"/>
      <c r="BN42" s="168"/>
      <c r="BO42" s="168"/>
      <c r="BP42" s="168"/>
      <c r="BQ42" s="168"/>
      <c r="BR42" s="168"/>
      <c r="BS42" s="168"/>
      <c r="BT42" s="168"/>
      <c r="BU42" s="168"/>
      <c r="BV42" s="168"/>
      <c r="BW42" s="168"/>
      <c r="BX42" s="168"/>
      <c r="BY42" s="168"/>
      <c r="BZ42" s="168"/>
      <c r="CA42" s="168"/>
      <c r="CB42" s="168"/>
      <c r="CC42" s="168"/>
      <c r="CD42" s="168"/>
      <c r="CE42" s="168"/>
      <c r="CF42" s="168"/>
      <c r="CG42" s="168"/>
      <c r="CH42" s="168"/>
      <c r="CI42" s="168"/>
      <c r="CJ42" s="168"/>
      <c r="CK42" s="168"/>
      <c r="CL42" s="168"/>
      <c r="CM42" s="168"/>
      <c r="CN42" s="168"/>
      <c r="CO42" s="168"/>
      <c r="CP42" s="168"/>
      <c r="CQ42" s="168"/>
      <c r="CR42" s="168"/>
      <c r="CS42" s="168"/>
      <c r="CT42" s="168"/>
      <c r="CU42" s="168"/>
      <c r="CV42" s="168"/>
    </row>
    <row r="43" spans="1:100" s="155" customFormat="1" ht="10.5" customHeight="1" x14ac:dyDescent="0.5">
      <c r="A43" s="168"/>
      <c r="B43" s="174"/>
      <c r="C43" s="168"/>
      <c r="D43" s="168"/>
      <c r="E43" s="168"/>
      <c r="F43" s="307"/>
      <c r="G43" s="307"/>
      <c r="H43" s="168"/>
      <c r="I43" s="168"/>
      <c r="J43" s="168"/>
      <c r="K43" s="168"/>
      <c r="L43" s="168"/>
      <c r="M43" s="168"/>
      <c r="N43" s="168"/>
      <c r="O43" s="168"/>
      <c r="P43" s="168"/>
      <c r="Q43" s="284"/>
      <c r="R43" s="168"/>
      <c r="S43" s="168"/>
      <c r="T43" s="168"/>
      <c r="U43" s="168"/>
      <c r="V43" s="168"/>
      <c r="W43" s="168"/>
      <c r="X43" s="168"/>
      <c r="Y43" s="168"/>
      <c r="Z43" s="168"/>
      <c r="AA43" s="284"/>
      <c r="AB43" s="177"/>
      <c r="AC43" s="168"/>
      <c r="AD43" s="168"/>
      <c r="AE43" s="168"/>
      <c r="AF43" s="319"/>
      <c r="AG43" s="320"/>
      <c r="AH43" s="320"/>
      <c r="AI43" s="321"/>
      <c r="AJ43" s="325"/>
      <c r="AK43" s="325"/>
      <c r="AL43" s="326"/>
      <c r="AM43" s="179"/>
      <c r="AN43" s="179"/>
      <c r="AO43" s="314"/>
      <c r="AP43" s="314"/>
      <c r="AQ43" s="314"/>
      <c r="AR43" s="314"/>
      <c r="AS43" s="325"/>
      <c r="AT43" s="325"/>
      <c r="AU43" s="326"/>
      <c r="AV43" s="326"/>
      <c r="AW43" s="168"/>
      <c r="AX43" s="168"/>
      <c r="AY43" s="168"/>
      <c r="AZ43" s="168"/>
      <c r="BA43" s="168"/>
      <c r="BB43" s="168"/>
      <c r="BC43" s="168"/>
      <c r="BD43" s="168"/>
      <c r="BE43" s="168"/>
      <c r="BF43" s="168"/>
      <c r="BG43" s="168"/>
      <c r="BH43" s="168"/>
      <c r="BI43" s="168"/>
      <c r="BJ43" s="168"/>
      <c r="BK43" s="168"/>
      <c r="BL43" s="168"/>
      <c r="BM43" s="168"/>
      <c r="BN43" s="168"/>
      <c r="BO43" s="168"/>
      <c r="BP43" s="168"/>
      <c r="BQ43" s="168"/>
      <c r="BR43" s="168"/>
      <c r="BS43" s="168"/>
      <c r="BT43" s="168"/>
      <c r="BU43" s="168"/>
      <c r="BV43" s="168"/>
      <c r="BW43" s="168"/>
      <c r="BX43" s="168"/>
      <c r="BY43" s="168"/>
      <c r="BZ43" s="168"/>
      <c r="CA43" s="168"/>
      <c r="CB43" s="168"/>
      <c r="CC43" s="168"/>
      <c r="CD43" s="168"/>
      <c r="CE43" s="168"/>
      <c r="CF43" s="168"/>
      <c r="CG43" s="168"/>
      <c r="CH43" s="168"/>
      <c r="CI43" s="168"/>
      <c r="CJ43" s="168"/>
      <c r="CK43" s="168"/>
      <c r="CL43" s="168"/>
      <c r="CM43" s="168"/>
      <c r="CN43" s="168"/>
      <c r="CO43" s="168"/>
      <c r="CP43" s="168"/>
      <c r="CQ43" s="168"/>
      <c r="CR43" s="168"/>
      <c r="CS43" s="168"/>
      <c r="CT43" s="168"/>
      <c r="CU43" s="168"/>
      <c r="CV43" s="168"/>
    </row>
    <row r="44" spans="1:100" s="155" customFormat="1" ht="39.75" customHeight="1" x14ac:dyDescent="0.5">
      <c r="A44" s="177">
        <v>5</v>
      </c>
      <c r="B44" s="156" t="str">
        <f>IF(OR($B$3=2014,$B$3=2016),"Portland Trail Blazers",IF(OR($B$3=2013,$B$3=2015,$B$3=2006),"Memphis Grizzlies",IF(OR($B$3=2017,$B$3=2018,$B$3=2019,$B$3=2010),"Utah Jazz",IF($B$3=2020,"Oklahoma City Thunder",IF($B$3=2011,"Denver Nuggets",IF($B$3=2012,"Los Angeles Clippers",IF($B$3=2004,"Dallas Mavericks",IF($B$3=2003,"Los Angeles Lakers","Houston Rockets"))))))))</f>
        <v>Portland Trail Blazers</v>
      </c>
      <c r="C44" s="168"/>
      <c r="D44" s="168"/>
      <c r="E44" s="168"/>
      <c r="F44" s="307"/>
      <c r="G44" s="307"/>
      <c r="H44" s="168"/>
      <c r="I44" s="168"/>
      <c r="J44" s="168"/>
      <c r="K44" s="168"/>
      <c r="L44" s="157" t="str">
        <f>IF($B$3=2016,"Boston Celtics",IF(OR($B$3=2011,$B$3=2012,$B$3=2017),"Atlanta Hawks",IF(OR($B$3=2018,$B$3=2019),"Indiana Pacers",IF(OR($B$3=2009,$B$3=2010,$B$3=2020),"Miami Heat",IF(OR($B$3=2013,$B$3=2007),"Chicago Bulls",IF(OR($B$3=2003,$B$3=2004),"New Orleans Pelicans","Washington Wizards"))))))</f>
        <v>Washington Wizards</v>
      </c>
      <c r="M44" s="177">
        <v>5</v>
      </c>
      <c r="N44" s="168"/>
      <c r="O44" s="168"/>
      <c r="P44" s="177">
        <v>5</v>
      </c>
      <c r="Q44" s="156" t="str">
        <f>B44</f>
        <v>Portland Trail Blazers</v>
      </c>
      <c r="R44" s="168"/>
      <c r="S44" s="168"/>
      <c r="T44" s="168"/>
      <c r="U44" s="168"/>
      <c r="V44" s="168"/>
      <c r="W44" s="168"/>
      <c r="X44" s="168"/>
      <c r="Y44" s="168"/>
      <c r="Z44" s="168"/>
      <c r="AA44" s="157" t="str">
        <f>L44</f>
        <v>Washington Wizards</v>
      </c>
      <c r="AB44" s="177">
        <v>5</v>
      </c>
      <c r="AC44" s="168"/>
      <c r="AD44" s="168"/>
      <c r="AE44" s="168"/>
      <c r="AF44" s="322"/>
      <c r="AG44" s="323"/>
      <c r="AH44" s="323"/>
      <c r="AI44" s="324"/>
      <c r="AJ44" s="325"/>
      <c r="AK44" s="325"/>
      <c r="AL44" s="326"/>
      <c r="AM44" s="179"/>
      <c r="AN44" s="179"/>
      <c r="AO44" s="314"/>
      <c r="AP44" s="314"/>
      <c r="AQ44" s="314"/>
      <c r="AR44" s="314"/>
      <c r="AS44" s="325"/>
      <c r="AT44" s="325"/>
      <c r="AU44" s="326"/>
      <c r="AV44" s="326"/>
      <c r="AW44" s="168"/>
      <c r="AX44" s="168"/>
      <c r="AY44" s="168"/>
      <c r="AZ44" s="168"/>
      <c r="BA44" s="168"/>
      <c r="BB44" s="168"/>
      <c r="BC44" s="168"/>
      <c r="BD44" s="168"/>
      <c r="BE44" s="168"/>
      <c r="BF44" s="168"/>
      <c r="BG44" s="168"/>
      <c r="BH44" s="168"/>
      <c r="BI44" s="168"/>
      <c r="BJ44" s="168"/>
      <c r="BK44" s="168"/>
      <c r="BL44" s="168"/>
      <c r="BM44" s="168"/>
      <c r="BN44" s="168"/>
      <c r="BO44" s="168"/>
      <c r="BP44" s="168"/>
      <c r="BQ44" s="168"/>
      <c r="BR44" s="168"/>
      <c r="BS44" s="168"/>
      <c r="BT44" s="168"/>
      <c r="BU44" s="168"/>
      <c r="BV44" s="168"/>
      <c r="BW44" s="168"/>
      <c r="BX44" s="168"/>
      <c r="BY44" s="168"/>
      <c r="BZ44" s="168"/>
      <c r="CA44" s="168"/>
      <c r="CB44" s="168"/>
      <c r="CC44" s="168"/>
      <c r="CD44" s="168"/>
      <c r="CE44" s="168"/>
      <c r="CF44" s="168"/>
      <c r="CG44" s="168"/>
      <c r="CH44" s="168"/>
      <c r="CI44" s="168"/>
      <c r="CJ44" s="168"/>
      <c r="CK44" s="168"/>
      <c r="CL44" s="168"/>
      <c r="CM44" s="168"/>
      <c r="CN44" s="168"/>
      <c r="CO44" s="168"/>
      <c r="CP44" s="168"/>
      <c r="CQ44" s="168"/>
      <c r="CR44" s="168"/>
      <c r="CS44" s="168"/>
      <c r="CT44" s="168"/>
      <c r="CU44" s="168"/>
      <c r="CV44" s="168"/>
    </row>
    <row r="45" spans="1:100" s="155" customFormat="1" ht="10.5" customHeight="1" x14ac:dyDescent="0.5">
      <c r="A45" s="168"/>
      <c r="B45" s="168"/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77"/>
      <c r="AC45" s="168"/>
      <c r="AD45" s="168"/>
      <c r="AE45" s="168"/>
      <c r="AF45" s="316" t="str">
        <f>AA70</f>
        <v>Brooklyn Nets</v>
      </c>
      <c r="AG45" s="317"/>
      <c r="AH45" s="317"/>
      <c r="AI45" s="318"/>
      <c r="AJ45" s="325">
        <f>L67+IF(L67=4,J67,0)+IF(AND(L67=4,J67=4),H73,0)+IF(AND(L67=4,J67=4,H73=4),$G$64,0)</f>
        <v>5</v>
      </c>
      <c r="AK45" s="325">
        <f>AA73+IF(AA73=4,Y63,0)+IF(AND(AA73=4,Y63=4),W79,0)+IF(AND(AA73=4,Y63=4,W79=4),$V$65,0)</f>
        <v>1</v>
      </c>
      <c r="AL45" s="326">
        <f>AJ45-AK45</f>
        <v>4</v>
      </c>
      <c r="AM45" s="179"/>
      <c r="AN45" s="179"/>
      <c r="AO45" s="314">
        <v>2007</v>
      </c>
      <c r="AP45" s="314"/>
      <c r="AQ45" s="314"/>
      <c r="AR45" s="314"/>
      <c r="AS45" s="325" t="s">
        <v>165</v>
      </c>
      <c r="AT45" s="325" t="s">
        <v>165</v>
      </c>
      <c r="AU45" s="326">
        <v>16</v>
      </c>
      <c r="AV45" s="326">
        <v>16</v>
      </c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68"/>
      <c r="BI45" s="168"/>
      <c r="BJ45" s="168"/>
      <c r="BK45" s="168"/>
      <c r="BL45" s="168"/>
      <c r="BM45" s="168"/>
      <c r="BN45" s="168"/>
      <c r="BO45" s="168"/>
      <c r="BP45" s="168"/>
      <c r="BQ45" s="168"/>
      <c r="BR45" s="168"/>
      <c r="BS45" s="168"/>
      <c r="BT45" s="168"/>
      <c r="BU45" s="168"/>
      <c r="BV45" s="168"/>
      <c r="BW45" s="168"/>
      <c r="BX45" s="168"/>
      <c r="BY45" s="168"/>
      <c r="BZ45" s="168"/>
      <c r="CA45" s="168"/>
      <c r="CB45" s="168"/>
      <c r="CC45" s="168"/>
      <c r="CD45" s="168"/>
      <c r="CE45" s="168"/>
      <c r="CF45" s="168"/>
      <c r="CG45" s="168"/>
      <c r="CH45" s="168"/>
      <c r="CI45" s="168"/>
      <c r="CJ45" s="168"/>
      <c r="CK45" s="168"/>
      <c r="CL45" s="168"/>
      <c r="CM45" s="168"/>
      <c r="CN45" s="168"/>
      <c r="CO45" s="168"/>
      <c r="CP45" s="168"/>
      <c r="CQ45" s="168"/>
      <c r="CR45" s="168"/>
      <c r="CS45" s="168"/>
      <c r="CT45" s="168"/>
      <c r="CU45" s="168"/>
      <c r="CV45" s="168"/>
    </row>
    <row r="46" spans="1:100" s="155" customFormat="1" ht="10.5" customHeight="1" x14ac:dyDescent="0.5">
      <c r="A46" s="168"/>
      <c r="B46" s="168"/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77"/>
      <c r="AC46" s="168"/>
      <c r="AD46" s="168"/>
      <c r="AE46" s="168"/>
      <c r="AF46" s="319"/>
      <c r="AG46" s="320"/>
      <c r="AH46" s="320"/>
      <c r="AI46" s="321"/>
      <c r="AJ46" s="325"/>
      <c r="AK46" s="325"/>
      <c r="AL46" s="326"/>
      <c r="AM46" s="179"/>
      <c r="AN46" s="179"/>
      <c r="AO46" s="314"/>
      <c r="AP46" s="314"/>
      <c r="AQ46" s="314"/>
      <c r="AR46" s="314"/>
      <c r="AS46" s="325"/>
      <c r="AT46" s="325"/>
      <c r="AU46" s="326"/>
      <c r="AV46" s="326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</row>
    <row r="47" spans="1:100" s="155" customFormat="1" ht="39.75" customHeight="1" x14ac:dyDescent="0.5">
      <c r="A47" s="168"/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>
        <f>IF(Q41&gt;=0.5,4,IF(AND(Q41&lt;0.5,Q41&gt;0.4),2,IF(AND(Q41&lt;0.4,Q41&gt;0.25),1,0)))</f>
        <v>4</v>
      </c>
      <c r="R47" s="168"/>
      <c r="S47" s="168"/>
      <c r="T47" s="168"/>
      <c r="U47" s="168"/>
      <c r="V47" s="313">
        <f>IF(V54&gt;=0.5,4,IF(AND(V54&lt;0.5,V54&gt;0.4),2,IF(AND(V54&lt;0.4,V54&gt;0.25),1,0)))</f>
        <v>4</v>
      </c>
      <c r="W47" s="168"/>
      <c r="X47" s="168"/>
      <c r="Y47" s="168"/>
      <c r="Z47" s="168"/>
      <c r="AA47" s="168">
        <f>IF(AA41&gt;=0.5,4,IF(AND(AA41&lt;0.5,AA41&gt;0.4),2,IF(AND(AA41&lt;0.4,AA41&gt;0.25),1,0)))</f>
        <v>2</v>
      </c>
      <c r="AB47" s="177"/>
      <c r="AC47" s="168"/>
      <c r="AD47" s="168"/>
      <c r="AE47" s="168"/>
      <c r="AF47" s="322"/>
      <c r="AG47" s="323"/>
      <c r="AH47" s="323"/>
      <c r="AI47" s="324"/>
      <c r="AJ47" s="325"/>
      <c r="AK47" s="325"/>
      <c r="AL47" s="326"/>
      <c r="AM47" s="179"/>
      <c r="AN47" s="179"/>
      <c r="AO47" s="314"/>
      <c r="AP47" s="314"/>
      <c r="AQ47" s="314"/>
      <c r="AR47" s="314"/>
      <c r="AS47" s="325"/>
      <c r="AT47" s="325"/>
      <c r="AU47" s="326"/>
      <c r="AV47" s="326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</row>
    <row r="48" spans="1:100" s="155" customFormat="1" ht="10.5" customHeight="1" x14ac:dyDescent="0.5">
      <c r="A48" s="168"/>
      <c r="B48" s="168"/>
      <c r="C48" s="168"/>
      <c r="D48" s="168"/>
      <c r="E48" s="168"/>
      <c r="F48" s="168"/>
      <c r="G48" s="333">
        <f>IF(OR($B$3=2013,$B$3=2016),3,IF(OR($B$3=2006,$B$3=2008,$B$3=2019),2,IF(OR($B$3=2004,$B$3=2012),1,4)))</f>
        <v>4</v>
      </c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313"/>
      <c r="W48" s="168"/>
      <c r="X48" s="168"/>
      <c r="Y48" s="168"/>
      <c r="Z48" s="168"/>
      <c r="AA48" s="168"/>
      <c r="AB48" s="177"/>
      <c r="AC48" s="168"/>
      <c r="AD48" s="168"/>
      <c r="AE48" s="168"/>
      <c r="AF48" s="316" t="str">
        <f>AA94</f>
        <v>Charlotte Hornets</v>
      </c>
      <c r="AG48" s="317"/>
      <c r="AH48" s="317"/>
      <c r="AI48" s="318"/>
      <c r="AJ48" s="331">
        <f>L91+IF(L91=4,J85,0)+IF(AND(L91=4,J85=4),H73,0)+IF(AND(L91=4,J85=4,H73=4),$G$64,0)</f>
        <v>0</v>
      </c>
      <c r="AK48" s="331">
        <f>AA97+IF(AA97=4,Y91,0)+IF(AND(AA97=4,Y91=4),W79,0)+IF(AND(AA73=4,Y63=4,W79=4),$V$65,0)</f>
        <v>1</v>
      </c>
      <c r="AL48" s="326">
        <f>AJ48-AK48</f>
        <v>-1</v>
      </c>
      <c r="AM48" s="179"/>
      <c r="AN48" s="179"/>
      <c r="AO48" s="316">
        <v>2006</v>
      </c>
      <c r="AP48" s="317"/>
      <c r="AQ48" s="317"/>
      <c r="AR48" s="318"/>
      <c r="AS48" s="336" t="s">
        <v>165</v>
      </c>
      <c r="AT48" s="336" t="s">
        <v>132</v>
      </c>
      <c r="AU48" s="339">
        <v>7</v>
      </c>
      <c r="AV48" s="339">
        <v>10</v>
      </c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</row>
    <row r="49" spans="1:100" s="155" customFormat="1" ht="10.5" customHeight="1" x14ac:dyDescent="0.5">
      <c r="A49" s="168"/>
      <c r="B49" s="168"/>
      <c r="C49" s="168"/>
      <c r="D49" s="168"/>
      <c r="E49" s="168"/>
      <c r="F49" s="168"/>
      <c r="G49" s="333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313"/>
      <c r="W49" s="168"/>
      <c r="X49" s="168"/>
      <c r="Y49" s="168"/>
      <c r="Z49" s="168"/>
      <c r="AA49" s="168"/>
      <c r="AB49" s="177"/>
      <c r="AC49" s="168"/>
      <c r="AD49" s="168"/>
      <c r="AE49" s="168"/>
      <c r="AF49" s="319"/>
      <c r="AG49" s="320"/>
      <c r="AH49" s="320"/>
      <c r="AI49" s="321"/>
      <c r="AJ49" s="331"/>
      <c r="AK49" s="331"/>
      <c r="AL49" s="326"/>
      <c r="AM49" s="179"/>
      <c r="AN49" s="179"/>
      <c r="AO49" s="319"/>
      <c r="AP49" s="320"/>
      <c r="AQ49" s="320"/>
      <c r="AR49" s="321"/>
      <c r="AS49" s="337"/>
      <c r="AT49" s="337"/>
      <c r="AU49" s="340"/>
      <c r="AV49" s="340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</row>
    <row r="50" spans="1:100" s="155" customFormat="1" ht="10.5" customHeight="1" x14ac:dyDescent="0.5">
      <c r="A50" s="168"/>
      <c r="B50" s="168"/>
      <c r="C50" s="168"/>
      <c r="D50" s="168"/>
      <c r="E50" s="168"/>
      <c r="F50" s="168"/>
      <c r="G50" s="333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77"/>
      <c r="AC50" s="168"/>
      <c r="AD50" s="168"/>
      <c r="AE50" s="168"/>
      <c r="AF50" s="319"/>
      <c r="AG50" s="320"/>
      <c r="AH50" s="320"/>
      <c r="AI50" s="321"/>
      <c r="AJ50" s="331"/>
      <c r="AK50" s="331"/>
      <c r="AL50" s="326"/>
      <c r="AM50" s="179"/>
      <c r="AN50" s="179"/>
      <c r="AO50" s="319"/>
      <c r="AP50" s="320"/>
      <c r="AQ50" s="320"/>
      <c r="AR50" s="321"/>
      <c r="AS50" s="337"/>
      <c r="AT50" s="337"/>
      <c r="AU50" s="340"/>
      <c r="AV50" s="340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</row>
    <row r="51" spans="1:100" s="155" customFormat="1" ht="10.5" customHeight="1" thickBot="1" x14ac:dyDescent="0.55000000000000004">
      <c r="A51" s="168"/>
      <c r="B51" s="168"/>
      <c r="C51" s="168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77"/>
      <c r="AC51" s="168"/>
      <c r="AD51" s="168"/>
      <c r="AE51" s="168"/>
      <c r="AF51" s="319"/>
      <c r="AG51" s="320"/>
      <c r="AH51" s="320"/>
      <c r="AI51" s="321"/>
      <c r="AJ51" s="331"/>
      <c r="AK51" s="331"/>
      <c r="AL51" s="326"/>
      <c r="AM51" s="179"/>
      <c r="AN51" s="179"/>
      <c r="AO51" s="319"/>
      <c r="AP51" s="320"/>
      <c r="AQ51" s="320"/>
      <c r="AR51" s="321"/>
      <c r="AS51" s="337"/>
      <c r="AT51" s="337"/>
      <c r="AU51" s="340"/>
      <c r="AV51" s="340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</row>
    <row r="52" spans="1:100" s="155" customFormat="1" ht="39.75" customHeight="1" thickBot="1" x14ac:dyDescent="0.55000000000000004">
      <c r="A52" s="168"/>
      <c r="B52" s="168"/>
      <c r="C52" s="168"/>
      <c r="D52" s="168"/>
      <c r="E52" s="168"/>
      <c r="F52" s="168"/>
      <c r="G52" s="176" t="str">
        <f>IF(OR(AND($B$3&lt;=2013,$B$3&gt;=2011),$B$3=2007,$B$3=2005,$B$3=2004,$B$3=2018),F76,F26)</f>
        <v>San Antonio Spurs</v>
      </c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76" t="str">
        <f>IF(U28&gt;=0.5,U26,U76)</f>
        <v>San Antonio Spurs</v>
      </c>
      <c r="W52" s="168"/>
      <c r="X52" s="168"/>
      <c r="Y52" s="168"/>
      <c r="Z52" s="168"/>
      <c r="AA52" s="168"/>
      <c r="AB52" s="177"/>
      <c r="AC52" s="168"/>
      <c r="AD52" s="168"/>
      <c r="AE52" s="168"/>
      <c r="AF52" s="322"/>
      <c r="AG52" s="323"/>
      <c r="AH52" s="323"/>
      <c r="AI52" s="324"/>
      <c r="AJ52" s="331"/>
      <c r="AK52" s="331"/>
      <c r="AL52" s="326"/>
      <c r="AM52" s="179"/>
      <c r="AN52" s="179"/>
      <c r="AO52" s="322"/>
      <c r="AP52" s="323"/>
      <c r="AQ52" s="323"/>
      <c r="AR52" s="324"/>
      <c r="AS52" s="338"/>
      <c r="AT52" s="338"/>
      <c r="AU52" s="328"/>
      <c r="AV52" s="328"/>
      <c r="AW52" s="168"/>
      <c r="AX52" s="168"/>
      <c r="AY52" s="168"/>
      <c r="AZ52" s="168"/>
      <c r="BA52" s="168"/>
      <c r="BB52" s="168"/>
      <c r="BC52" s="168"/>
      <c r="BD52" s="168"/>
      <c r="BE52" s="168"/>
      <c r="BF52" s="168"/>
      <c r="BG52" s="168"/>
      <c r="BH52" s="168"/>
      <c r="BI52" s="168"/>
      <c r="BJ52" s="168"/>
      <c r="BK52" s="168"/>
      <c r="BL52" s="168"/>
      <c r="BM52" s="168"/>
      <c r="BN52" s="168"/>
      <c r="BO52" s="168"/>
      <c r="BP52" s="168"/>
      <c r="BQ52" s="168"/>
      <c r="BR52" s="168"/>
      <c r="BS52" s="168"/>
      <c r="BT52" s="168"/>
      <c r="BU52" s="168"/>
      <c r="BV52" s="168"/>
      <c r="BW52" s="168"/>
      <c r="BX52" s="168"/>
      <c r="BY52" s="168"/>
      <c r="BZ52" s="168"/>
      <c r="CA52" s="168"/>
      <c r="CB52" s="168"/>
      <c r="CC52" s="168"/>
      <c r="CD52" s="168"/>
      <c r="CE52" s="168"/>
      <c r="CF52" s="168"/>
      <c r="CG52" s="168"/>
      <c r="CH52" s="168"/>
      <c r="CI52" s="168"/>
      <c r="CJ52" s="168"/>
      <c r="CK52" s="168"/>
      <c r="CL52" s="168"/>
      <c r="CM52" s="168"/>
      <c r="CN52" s="168"/>
      <c r="CO52" s="168"/>
      <c r="CP52" s="168"/>
      <c r="CQ52" s="168"/>
      <c r="CR52" s="168"/>
      <c r="CS52" s="168"/>
      <c r="CT52" s="168"/>
      <c r="CU52" s="168"/>
      <c r="CV52" s="168"/>
    </row>
    <row r="53" spans="1:100" s="155" customFormat="1" ht="10.5" customHeight="1" x14ac:dyDescent="0.5">
      <c r="A53" s="168"/>
      <c r="B53" s="168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77"/>
      <c r="AC53" s="168"/>
      <c r="AD53" s="168"/>
      <c r="AE53" s="168"/>
      <c r="AF53" s="316" t="str">
        <f>AA20</f>
        <v>Atlanta Hawks</v>
      </c>
      <c r="AG53" s="317"/>
      <c r="AH53" s="317"/>
      <c r="AI53" s="318"/>
      <c r="AJ53" s="331">
        <f>L17+IF(L17=4,J17,0)+IF(AND(L17=4,J17=4),H29,0)+IF(AND(L17=4,J17=4,H29=4),$G$64,0)</f>
        <v>3</v>
      </c>
      <c r="AK53" s="325">
        <f>AA23+IF(AA23=4,Y11,0)+IF(AND(AA23=4,Y11=4),W23,0)+IF(AND(AA23=4,Y11=4,W23=4),$V$65,0)</f>
        <v>1</v>
      </c>
      <c r="AL53" s="326">
        <f>AJ53-AK53</f>
        <v>2</v>
      </c>
      <c r="AM53" s="179"/>
      <c r="AN53" s="179"/>
      <c r="AO53" s="314">
        <v>2005</v>
      </c>
      <c r="AP53" s="314"/>
      <c r="AQ53" s="314"/>
      <c r="AR53" s="314"/>
      <c r="AS53" s="331" t="s">
        <v>165</v>
      </c>
      <c r="AT53" s="325" t="s">
        <v>165</v>
      </c>
      <c r="AU53" s="326">
        <v>16</v>
      </c>
      <c r="AV53" s="326">
        <v>16</v>
      </c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</row>
    <row r="54" spans="1:100" s="155" customFormat="1" ht="10.5" customHeight="1" x14ac:dyDescent="0.5">
      <c r="A54" s="168"/>
      <c r="B54" s="168"/>
      <c r="C54" s="168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305">
        <f>INDEX('Historical Snapshot'!$D$55:$AH$84,MATCH(V52,'Historical Snapshot'!$C$55:$C$84,0),MATCH(V63,'Historical Snapshot'!$D$54:$AH$54,0))</f>
        <v>0.6030103710342557</v>
      </c>
      <c r="W54" s="168"/>
      <c r="X54" s="168"/>
      <c r="Y54" s="168"/>
      <c r="Z54" s="168"/>
      <c r="AA54" s="168"/>
      <c r="AB54" s="177"/>
      <c r="AC54" s="168"/>
      <c r="AD54" s="168"/>
      <c r="AE54" s="168"/>
      <c r="AF54" s="319"/>
      <c r="AG54" s="320"/>
      <c r="AH54" s="320"/>
      <c r="AI54" s="321"/>
      <c r="AJ54" s="331"/>
      <c r="AK54" s="325"/>
      <c r="AL54" s="326"/>
      <c r="AM54" s="179"/>
      <c r="AN54" s="179"/>
      <c r="AO54" s="314"/>
      <c r="AP54" s="314"/>
      <c r="AQ54" s="314"/>
      <c r="AR54" s="314"/>
      <c r="AS54" s="331"/>
      <c r="AT54" s="325"/>
      <c r="AU54" s="326"/>
      <c r="AV54" s="326"/>
      <c r="AW54" s="168"/>
      <c r="AX54" s="168"/>
      <c r="AY54" s="168"/>
      <c r="AZ54" s="168"/>
      <c r="BA54" s="168"/>
      <c r="BB54" s="168"/>
      <c r="BC54" s="168"/>
      <c r="BD54" s="168"/>
      <c r="BE54" s="168"/>
      <c r="BF54" s="168"/>
      <c r="BG54" s="168"/>
      <c r="BH54" s="168"/>
      <c r="BI54" s="168"/>
      <c r="BJ54" s="168"/>
      <c r="BK54" s="168"/>
      <c r="BL54" s="168"/>
      <c r="BM54" s="168"/>
      <c r="BN54" s="168"/>
      <c r="BO54" s="168"/>
      <c r="BP54" s="168"/>
      <c r="BQ54" s="168"/>
      <c r="BR54" s="168"/>
      <c r="BS54" s="168"/>
      <c r="BT54" s="168"/>
      <c r="BU54" s="168"/>
      <c r="BV54" s="168"/>
      <c r="BW54" s="168"/>
      <c r="BX54" s="168"/>
      <c r="BY54" s="168"/>
      <c r="BZ54" s="168"/>
      <c r="CA54" s="168"/>
      <c r="CB54" s="168"/>
      <c r="CC54" s="168"/>
      <c r="CD54" s="168"/>
      <c r="CE54" s="168"/>
      <c r="CF54" s="168"/>
      <c r="CG54" s="168"/>
      <c r="CH54" s="168"/>
      <c r="CI54" s="168"/>
      <c r="CJ54" s="168"/>
      <c r="CK54" s="168"/>
      <c r="CL54" s="168"/>
      <c r="CM54" s="168"/>
      <c r="CN54" s="168"/>
      <c r="CO54" s="168"/>
      <c r="CP54" s="168"/>
      <c r="CQ54" s="168"/>
      <c r="CR54" s="168"/>
      <c r="CS54" s="168"/>
      <c r="CT54" s="168"/>
      <c r="CU54" s="168"/>
      <c r="CV54" s="168"/>
    </row>
    <row r="55" spans="1:100" s="155" customFormat="1" ht="39.75" customHeight="1" thickBot="1" x14ac:dyDescent="0.55000000000000004">
      <c r="A55" s="168"/>
      <c r="B55" s="168"/>
      <c r="C55" s="168"/>
      <c r="D55" s="168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>
        <f>IF(Q59&gt;=0.5,4,IF(AND(Q59&lt;0.5,Q59&gt;0.4),2,IF(AND(Q59&lt;0.4,Q59&gt;0.25),1,0)))</f>
        <v>4</v>
      </c>
      <c r="R55" s="168"/>
      <c r="S55" s="168"/>
      <c r="T55" s="168"/>
      <c r="U55" s="168"/>
      <c r="V55" s="306"/>
      <c r="W55" s="168"/>
      <c r="X55" s="168"/>
      <c r="Y55" s="168"/>
      <c r="Z55" s="168"/>
      <c r="AA55" s="168">
        <f>IF(AA59&gt;=0.5,4,IF(AND(AA59&lt;0.5,AA59&gt;0.4),2,IF(AND(AA59&lt;0.4,AA59&gt;0.25),1,0)))</f>
        <v>4</v>
      </c>
      <c r="AB55" s="177"/>
      <c r="AC55" s="168"/>
      <c r="AD55" s="168"/>
      <c r="AE55" s="168"/>
      <c r="AF55" s="322"/>
      <c r="AG55" s="323"/>
      <c r="AH55" s="323"/>
      <c r="AI55" s="324"/>
      <c r="AJ55" s="331"/>
      <c r="AK55" s="325"/>
      <c r="AL55" s="326"/>
      <c r="AM55" s="179"/>
      <c r="AN55" s="179"/>
      <c r="AO55" s="314"/>
      <c r="AP55" s="314"/>
      <c r="AQ55" s="314"/>
      <c r="AR55" s="314"/>
      <c r="AS55" s="331"/>
      <c r="AT55" s="325"/>
      <c r="AU55" s="326"/>
      <c r="AV55" s="326"/>
      <c r="AW55" s="168"/>
      <c r="AX55" s="168"/>
      <c r="AY55" s="168"/>
      <c r="AZ55" s="168"/>
      <c r="BA55" s="168"/>
      <c r="BB55" s="168"/>
      <c r="BC55" s="168"/>
      <c r="BD55" s="168"/>
      <c r="BE55" s="168"/>
      <c r="BF55" s="168"/>
      <c r="BG55" s="168"/>
      <c r="BH55" s="168"/>
      <c r="BI55" s="168"/>
      <c r="BJ55" s="168"/>
      <c r="BK55" s="168"/>
      <c r="BL55" s="168"/>
      <c r="BM55" s="168"/>
      <c r="BN55" s="168"/>
      <c r="BO55" s="168"/>
      <c r="BP55" s="168"/>
      <c r="BQ55" s="168"/>
      <c r="BR55" s="168"/>
      <c r="BS55" s="168"/>
      <c r="BT55" s="168"/>
      <c r="BU55" s="168"/>
      <c r="BV55" s="168"/>
      <c r="BW55" s="168"/>
      <c r="BX55" s="168"/>
      <c r="BY55" s="168"/>
      <c r="BZ55" s="168"/>
      <c r="CA55" s="168"/>
      <c r="CB55" s="168"/>
      <c r="CC55" s="168"/>
      <c r="CD55" s="168"/>
      <c r="CE55" s="168"/>
      <c r="CF55" s="168"/>
      <c r="CG55" s="168"/>
      <c r="CH55" s="168"/>
      <c r="CI55" s="168"/>
      <c r="CJ55" s="168"/>
      <c r="CK55" s="168"/>
      <c r="CL55" s="168"/>
      <c r="CM55" s="168"/>
      <c r="CN55" s="168"/>
      <c r="CO55" s="168"/>
      <c r="CP55" s="168"/>
      <c r="CQ55" s="168"/>
      <c r="CR55" s="168"/>
      <c r="CS55" s="168"/>
      <c r="CT55" s="168"/>
      <c r="CU55" s="168"/>
      <c r="CV55" s="168"/>
    </row>
    <row r="56" spans="1:100" s="155" customFormat="1" ht="10.5" customHeight="1" x14ac:dyDescent="0.5">
      <c r="A56" s="168"/>
      <c r="B56" s="168"/>
      <c r="C56" s="168"/>
      <c r="D56" s="168"/>
      <c r="E56" s="168"/>
      <c r="F56" s="168"/>
      <c r="G56" s="309" t="str">
        <f>IF(OR($B$3=2004,$B$3=2006,$B$3=2008,$B$3=2012,$B$3=2013,$B$3=2016,$B$3=2019),B3&amp;" NBA Champions: "&amp;G63,B3&amp;" NBA Champions: "&amp;G52)</f>
        <v>2014 NBA Champions: San Antonio Spurs</v>
      </c>
      <c r="H56" s="168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292" t="str">
        <f>IF(V54&gt;=0.5,V52,V63)</f>
        <v>San Antonio Spurs</v>
      </c>
      <c r="W56" s="168"/>
      <c r="X56" s="168"/>
      <c r="Y56" s="168"/>
      <c r="Z56" s="168"/>
      <c r="AA56" s="168"/>
      <c r="AB56" s="177"/>
      <c r="AC56" s="168"/>
      <c r="AD56" s="168"/>
      <c r="AE56" s="168"/>
      <c r="AF56" s="168"/>
      <c r="AG56" s="168"/>
      <c r="AH56" s="168"/>
      <c r="AI56" s="168"/>
      <c r="AJ56" s="168"/>
      <c r="AK56" s="168"/>
      <c r="AL56" s="168"/>
      <c r="AM56" s="168"/>
      <c r="AN56" s="168"/>
      <c r="AO56" s="314">
        <v>2004</v>
      </c>
      <c r="AP56" s="314"/>
      <c r="AQ56" s="314"/>
      <c r="AR56" s="314"/>
      <c r="AS56" s="331" t="s">
        <v>165</v>
      </c>
      <c r="AT56" s="325" t="s">
        <v>148</v>
      </c>
      <c r="AU56" s="326">
        <v>6</v>
      </c>
      <c r="AV56" s="326">
        <v>14</v>
      </c>
      <c r="AW56" s="168"/>
      <c r="AX56" s="168"/>
      <c r="AY56" s="168"/>
      <c r="AZ56" s="168"/>
      <c r="BA56" s="168"/>
      <c r="BB56" s="168"/>
      <c r="BC56" s="168"/>
      <c r="BD56" s="168"/>
      <c r="BE56" s="168"/>
      <c r="BF56" s="168"/>
      <c r="BG56" s="168"/>
      <c r="BH56" s="168"/>
      <c r="BI56" s="168"/>
      <c r="BJ56" s="168"/>
      <c r="BK56" s="168"/>
      <c r="BL56" s="168"/>
      <c r="BM56" s="168"/>
      <c r="BN56" s="168"/>
      <c r="BO56" s="168"/>
      <c r="BP56" s="168"/>
      <c r="BQ56" s="168"/>
      <c r="BR56" s="168"/>
      <c r="BS56" s="168"/>
      <c r="BT56" s="168"/>
      <c r="BU56" s="168"/>
      <c r="BV56" s="168"/>
      <c r="BW56" s="168"/>
      <c r="BX56" s="168"/>
      <c r="BY56" s="168"/>
      <c r="BZ56" s="168"/>
      <c r="CA56" s="168"/>
      <c r="CB56" s="168"/>
      <c r="CC56" s="168"/>
      <c r="CD56" s="168"/>
      <c r="CE56" s="168"/>
      <c r="CF56" s="168"/>
      <c r="CG56" s="168"/>
      <c r="CH56" s="168"/>
      <c r="CI56" s="168"/>
      <c r="CJ56" s="168"/>
      <c r="CK56" s="168"/>
      <c r="CL56" s="168"/>
      <c r="CM56" s="168"/>
      <c r="CN56" s="168"/>
      <c r="CO56" s="168"/>
      <c r="CP56" s="168"/>
      <c r="CQ56" s="168"/>
      <c r="CR56" s="168"/>
      <c r="CS56" s="168"/>
      <c r="CT56" s="168"/>
      <c r="CU56" s="168"/>
      <c r="CV56" s="168"/>
    </row>
    <row r="57" spans="1:100" s="155" customFormat="1" ht="10.5" customHeight="1" x14ac:dyDescent="0.5">
      <c r="A57" s="168"/>
      <c r="B57" s="168"/>
      <c r="C57" s="168"/>
      <c r="D57" s="168"/>
      <c r="E57" s="168"/>
      <c r="F57" s="168"/>
      <c r="G57" s="310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293"/>
      <c r="W57" s="168"/>
      <c r="X57" s="168"/>
      <c r="Y57" s="168"/>
      <c r="Z57" s="168"/>
      <c r="AA57" s="168"/>
      <c r="AB57" s="177"/>
      <c r="AC57" s="168"/>
      <c r="AD57" s="168"/>
      <c r="AE57" s="168"/>
      <c r="AF57" s="168"/>
      <c r="AG57" s="168"/>
      <c r="AH57" s="168"/>
      <c r="AI57" s="168"/>
      <c r="AJ57" s="168"/>
      <c r="AK57" s="168"/>
      <c r="AL57" s="168"/>
      <c r="AM57" s="168"/>
      <c r="AN57" s="168"/>
      <c r="AO57" s="314"/>
      <c r="AP57" s="314"/>
      <c r="AQ57" s="314"/>
      <c r="AR57" s="314"/>
      <c r="AS57" s="331"/>
      <c r="AT57" s="325"/>
      <c r="AU57" s="326"/>
      <c r="AV57" s="326"/>
      <c r="AW57" s="168"/>
      <c r="AX57" s="168"/>
      <c r="AY57" s="168"/>
      <c r="AZ57" s="168"/>
      <c r="BA57" s="168"/>
      <c r="BB57" s="168"/>
      <c r="BC57" s="168"/>
      <c r="BD57" s="168"/>
      <c r="BE57" s="168"/>
      <c r="BF57" s="168"/>
      <c r="BG57" s="168"/>
      <c r="BH57" s="168"/>
      <c r="BI57" s="168"/>
      <c r="BJ57" s="168"/>
      <c r="BK57" s="168"/>
      <c r="BL57" s="168"/>
      <c r="BM57" s="168"/>
      <c r="BN57" s="168"/>
      <c r="BO57" s="168"/>
      <c r="BP57" s="168"/>
      <c r="BQ57" s="168"/>
      <c r="BR57" s="168"/>
      <c r="BS57" s="168"/>
      <c r="BT57" s="168"/>
      <c r="BU57" s="168"/>
      <c r="BV57" s="168"/>
      <c r="BW57" s="168"/>
      <c r="BX57" s="168"/>
      <c r="BY57" s="168"/>
      <c r="BZ57" s="168"/>
      <c r="CA57" s="168"/>
      <c r="CB57" s="168"/>
      <c r="CC57" s="168"/>
      <c r="CD57" s="168"/>
      <c r="CE57" s="168"/>
      <c r="CF57" s="168"/>
      <c r="CG57" s="168"/>
      <c r="CH57" s="168"/>
      <c r="CI57" s="168"/>
      <c r="CJ57" s="168"/>
      <c r="CK57" s="168"/>
      <c r="CL57" s="168"/>
      <c r="CM57" s="168"/>
      <c r="CN57" s="168"/>
      <c r="CO57" s="168"/>
      <c r="CP57" s="168"/>
      <c r="CQ57" s="168"/>
      <c r="CR57" s="168"/>
      <c r="CS57" s="168"/>
      <c r="CT57" s="168"/>
      <c r="CU57" s="168"/>
      <c r="CV57" s="168"/>
    </row>
    <row r="58" spans="1:100" s="155" customFormat="1" ht="39.75" customHeight="1" thickBot="1" x14ac:dyDescent="0.55000000000000004">
      <c r="A58" s="177">
        <v>3</v>
      </c>
      <c r="B58" s="156" t="str">
        <f>IF(OR($B$3=2014,$B$3=2015),"Los Angeles Clippers",IF(OR($B$3=2005,$B$3=2016),"Oklahoma City Thunder",IF($B$3=2017,"Houston Rockets",IF(OR($B$3=2018,$B$3=2019),"Portland Trail Blazers",IF(OR($B$3=2020,$B$3=2013,$B$3=2006),"Denver Nuggets",IF(OR($B$3=2011,$B$3=2003),"Dallas Mavericks",IF($B$3=2010,"Phoenix Suns",IF($B$3=2012,"Los Angeles Lakers","San Antonio Spurs"))))))))</f>
        <v>Los Angeles Clippers</v>
      </c>
      <c r="C58" s="168"/>
      <c r="D58" s="168"/>
      <c r="E58" s="168"/>
      <c r="F58" s="168"/>
      <c r="G58" s="310"/>
      <c r="H58" s="168"/>
      <c r="I58" s="168"/>
      <c r="J58" s="168"/>
      <c r="K58" s="168"/>
      <c r="L58" s="157" t="str">
        <f>IF(OR($B$3=2007,$B$3=2017,$B$3=2014),"Toronto Raptors",IF($B$3=2015,"Chicago Bulls",IF($B$3=2016,"Miami Heat",IF(OR($B$3=2019,$B$3=2018),"Philadelphia 76ers",IF(OR($B$3=2011,$B$3=2005,$B$3=2020),"Boston Celtics",IF($B$3=2010,"Atlanta Hawks",IF(OR($B$3=2008,$B$3=2009),"Orlando Magic",IF($B$3=2006,"Brooklyn Nets",IF($B$3=2004,"Detroit Pistons","Indiana Pacers")))))))))</f>
        <v>Toronto Raptors</v>
      </c>
      <c r="M58" s="177">
        <v>3</v>
      </c>
      <c r="N58" s="168"/>
      <c r="O58" s="168"/>
      <c r="P58" s="177">
        <v>3</v>
      </c>
      <c r="Q58" s="156" t="str">
        <f>B58</f>
        <v>Los Angeles Clippers</v>
      </c>
      <c r="R58" s="168"/>
      <c r="S58" s="168"/>
      <c r="T58" s="168"/>
      <c r="U58" s="168"/>
      <c r="V58" s="294"/>
      <c r="W58" s="168"/>
      <c r="X58" s="168"/>
      <c r="Y58" s="168"/>
      <c r="Z58" s="168"/>
      <c r="AA58" s="157" t="str">
        <f>L58</f>
        <v>Toronto Raptors</v>
      </c>
      <c r="AB58" s="177">
        <v>3</v>
      </c>
      <c r="AC58" s="168"/>
      <c r="AD58" s="168"/>
      <c r="AE58" s="168"/>
      <c r="AF58" s="168"/>
      <c r="AG58" s="168"/>
      <c r="AH58" s="168"/>
      <c r="AI58" s="168"/>
      <c r="AJ58" s="168"/>
      <c r="AK58" s="168"/>
      <c r="AL58" s="168"/>
      <c r="AM58" s="168"/>
      <c r="AN58" s="168"/>
      <c r="AO58" s="314"/>
      <c r="AP58" s="314"/>
      <c r="AQ58" s="314"/>
      <c r="AR58" s="314"/>
      <c r="AS58" s="331"/>
      <c r="AT58" s="325"/>
      <c r="AU58" s="326"/>
      <c r="AV58" s="326"/>
      <c r="AW58" s="168"/>
      <c r="AX58" s="168"/>
      <c r="AY58" s="168"/>
      <c r="AZ58" s="168"/>
      <c r="BA58" s="168"/>
      <c r="BB58" s="168"/>
      <c r="BC58" s="168"/>
      <c r="BD58" s="168"/>
      <c r="BE58" s="168"/>
      <c r="BF58" s="168"/>
      <c r="BG58" s="168"/>
      <c r="BH58" s="168"/>
      <c r="BI58" s="168"/>
      <c r="BJ58" s="168"/>
      <c r="BK58" s="168"/>
      <c r="BL58" s="168"/>
      <c r="BM58" s="168"/>
      <c r="BN58" s="168"/>
      <c r="BO58" s="168"/>
      <c r="BP58" s="168"/>
      <c r="BQ58" s="168"/>
      <c r="BR58" s="168"/>
      <c r="BS58" s="168"/>
      <c r="BT58" s="168"/>
      <c r="BU58" s="168"/>
      <c r="BV58" s="168"/>
      <c r="BW58" s="168"/>
      <c r="BX58" s="168"/>
      <c r="BY58" s="168"/>
      <c r="BZ58" s="168"/>
      <c r="CA58" s="168"/>
      <c r="CB58" s="168"/>
      <c r="CC58" s="168"/>
      <c r="CD58" s="168"/>
      <c r="CE58" s="168"/>
      <c r="CF58" s="168"/>
      <c r="CG58" s="168"/>
      <c r="CH58" s="168"/>
      <c r="CI58" s="168"/>
      <c r="CJ58" s="168"/>
      <c r="CK58" s="168"/>
      <c r="CL58" s="168"/>
      <c r="CM58" s="168"/>
      <c r="CN58" s="168"/>
      <c r="CO58" s="168"/>
      <c r="CP58" s="168"/>
      <c r="CQ58" s="168"/>
      <c r="CR58" s="168"/>
      <c r="CS58" s="168"/>
      <c r="CT58" s="168"/>
      <c r="CU58" s="168"/>
      <c r="CV58" s="168"/>
    </row>
    <row r="59" spans="1:100" s="155" customFormat="1" ht="10.5" customHeight="1" x14ac:dyDescent="0.5">
      <c r="A59" s="168"/>
      <c r="B59" s="168"/>
      <c r="C59" s="168"/>
      <c r="D59" s="168"/>
      <c r="E59" s="168"/>
      <c r="F59" s="168"/>
      <c r="G59" s="310"/>
      <c r="H59" s="168"/>
      <c r="I59" s="168"/>
      <c r="J59" s="168"/>
      <c r="K59" s="168"/>
      <c r="L59" s="168"/>
      <c r="M59" s="168"/>
      <c r="N59" s="168"/>
      <c r="O59" s="168"/>
      <c r="P59" s="168"/>
      <c r="Q59" s="285">
        <f>INDEX('Historical Snapshot'!$D$55:$AH$84,MATCH(Q58,'Historical Snapshot'!$C$55:$C$84,0),MATCH(Q70,'Historical Snapshot'!$D$54:$AH$54,0))</f>
        <v>0.58306791001133074</v>
      </c>
      <c r="R59" s="168"/>
      <c r="S59" s="168"/>
      <c r="T59" s="168"/>
      <c r="U59" s="168"/>
      <c r="V59" s="168"/>
      <c r="W59" s="168"/>
      <c r="X59" s="168"/>
      <c r="Y59" s="168"/>
      <c r="Z59" s="168"/>
      <c r="AA59" s="285">
        <f>IFERROR(INDEX('Historical Snapshot'!$D$55:$AH$84,MATCH(AA58,'Historical Snapshot'!$C$55:$C$84,0),MATCH(AA70,'Historical Snapshot'!$D$54:$AH$54,0)),INDEX('Historical Snapshot'!$D$55:$AH$84,MATCH(AA58,'Historical Snapshot'!$C$55:$C$84,0),MATCH("Charlotte Bobcats",'Historical Snapshot'!$D$54:$AH$54,0)))</f>
        <v>0.70392178247303383</v>
      </c>
      <c r="AB59" s="177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  <c r="AM59" s="168"/>
      <c r="AN59" s="168"/>
      <c r="AO59" s="314">
        <v>2003</v>
      </c>
      <c r="AP59" s="314"/>
      <c r="AQ59" s="314"/>
      <c r="AR59" s="314"/>
      <c r="AS59" s="331" t="s">
        <v>159</v>
      </c>
      <c r="AT59" s="325" t="s">
        <v>165</v>
      </c>
      <c r="AU59" s="326">
        <v>10</v>
      </c>
      <c r="AV59" s="326">
        <v>10</v>
      </c>
      <c r="AW59" s="168"/>
      <c r="AX59" s="168"/>
      <c r="AY59" s="168"/>
      <c r="AZ59" s="168"/>
      <c r="BA59" s="168"/>
      <c r="BB59" s="168"/>
      <c r="BC59" s="168"/>
      <c r="BD59" s="168"/>
      <c r="BE59" s="168"/>
      <c r="BF59" s="168"/>
      <c r="BG59" s="168"/>
      <c r="BH59" s="168"/>
      <c r="BI59" s="168"/>
      <c r="BJ59" s="168"/>
      <c r="BK59" s="168"/>
      <c r="BL59" s="168"/>
      <c r="BM59" s="168"/>
      <c r="BN59" s="168"/>
      <c r="BO59" s="168"/>
      <c r="BP59" s="168"/>
      <c r="BQ59" s="168"/>
      <c r="BR59" s="168"/>
      <c r="BS59" s="168"/>
      <c r="BT59" s="168"/>
      <c r="BU59" s="168"/>
      <c r="BV59" s="168"/>
      <c r="BW59" s="168"/>
      <c r="BX59" s="168"/>
      <c r="BY59" s="168"/>
      <c r="BZ59" s="168"/>
      <c r="CA59" s="168"/>
      <c r="CB59" s="168"/>
      <c r="CC59" s="168"/>
      <c r="CD59" s="168"/>
      <c r="CE59" s="168"/>
      <c r="CF59" s="168"/>
      <c r="CG59" s="168"/>
      <c r="CH59" s="168"/>
      <c r="CI59" s="168"/>
      <c r="CJ59" s="168"/>
      <c r="CK59" s="168"/>
      <c r="CL59" s="168"/>
      <c r="CM59" s="168"/>
      <c r="CN59" s="168"/>
      <c r="CO59" s="168"/>
      <c r="CP59" s="168"/>
      <c r="CQ59" s="168"/>
      <c r="CR59" s="168"/>
      <c r="CS59" s="168"/>
      <c r="CT59" s="168"/>
      <c r="CU59" s="168"/>
      <c r="CV59" s="168"/>
    </row>
    <row r="60" spans="1:100" s="155" customFormat="1" ht="10.5" customHeight="1" thickBot="1" x14ac:dyDescent="0.55000000000000004">
      <c r="A60" s="168"/>
      <c r="B60" s="168"/>
      <c r="C60" s="168"/>
      <c r="D60" s="168"/>
      <c r="E60" s="168"/>
      <c r="F60" s="168"/>
      <c r="G60" s="311"/>
      <c r="H60" s="168"/>
      <c r="I60" s="168"/>
      <c r="J60" s="168"/>
      <c r="K60" s="168"/>
      <c r="L60" s="168"/>
      <c r="M60" s="168"/>
      <c r="N60" s="168"/>
      <c r="O60" s="168"/>
      <c r="P60" s="168"/>
      <c r="Q60" s="283"/>
      <c r="R60" s="168"/>
      <c r="S60" s="168"/>
      <c r="T60" s="168"/>
      <c r="U60" s="168"/>
      <c r="V60" s="168"/>
      <c r="W60" s="168"/>
      <c r="X60" s="168"/>
      <c r="Y60" s="168"/>
      <c r="Z60" s="168"/>
      <c r="AA60" s="304"/>
      <c r="AB60" s="177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314"/>
      <c r="AP60" s="314"/>
      <c r="AQ60" s="314"/>
      <c r="AR60" s="314"/>
      <c r="AS60" s="331"/>
      <c r="AT60" s="325"/>
      <c r="AU60" s="326"/>
      <c r="AV60" s="326"/>
      <c r="AW60" s="168"/>
      <c r="AX60" s="168"/>
      <c r="AY60" s="168"/>
      <c r="AZ60" s="168"/>
      <c r="BA60" s="168"/>
      <c r="BB60" s="168"/>
      <c r="BC60" s="168"/>
      <c r="BD60" s="168"/>
      <c r="BE60" s="168"/>
      <c r="BF60" s="168"/>
      <c r="BG60" s="168"/>
      <c r="BH60" s="168"/>
      <c r="BI60" s="168"/>
      <c r="BJ60" s="168"/>
      <c r="BK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</row>
    <row r="61" spans="1:100" s="155" customFormat="1" ht="39.75" customHeight="1" x14ac:dyDescent="0.5">
      <c r="A61" s="168"/>
      <c r="B61" s="168">
        <f>IF($B$3=2018,0,IF(OR($B$3=2006,$B$3=2009),1,IF($B$3=2013,2,4)))</f>
        <v>4</v>
      </c>
      <c r="C61" s="168"/>
      <c r="D61" s="168"/>
      <c r="E61" s="168"/>
      <c r="F61" s="168"/>
      <c r="G61" s="168"/>
      <c r="H61" s="168"/>
      <c r="I61" s="168"/>
      <c r="J61" s="168"/>
      <c r="K61" s="168"/>
      <c r="L61" s="168">
        <f>IF(OR($B$3=2005,$B$3=2014),3,IF(OR($B$3=2003,$B$3=2007),2,4))</f>
        <v>3</v>
      </c>
      <c r="M61" s="168"/>
      <c r="N61" s="168"/>
      <c r="O61" s="168"/>
      <c r="P61" s="168"/>
      <c r="Q61" s="283"/>
      <c r="R61" s="168"/>
      <c r="S61" s="168"/>
      <c r="T61" s="168"/>
      <c r="U61" s="168"/>
      <c r="V61" s="283">
        <f>1-V54</f>
        <v>0.3969896289657443</v>
      </c>
      <c r="W61" s="168"/>
      <c r="X61" s="168"/>
      <c r="Y61" s="168"/>
      <c r="Z61" s="168"/>
      <c r="AA61" s="304"/>
      <c r="AB61" s="177"/>
      <c r="AC61" s="168"/>
      <c r="AD61" s="168"/>
      <c r="AE61" s="168"/>
      <c r="AF61" s="168"/>
      <c r="AG61" s="168"/>
      <c r="AH61" s="168"/>
      <c r="AI61" s="168"/>
      <c r="AJ61" s="168"/>
      <c r="AK61" s="168"/>
      <c r="AL61" s="168"/>
      <c r="AM61" s="168"/>
      <c r="AN61" s="168"/>
      <c r="AO61" s="314"/>
      <c r="AP61" s="314"/>
      <c r="AQ61" s="314"/>
      <c r="AR61" s="314"/>
      <c r="AS61" s="331"/>
      <c r="AT61" s="325"/>
      <c r="AU61" s="326"/>
      <c r="AV61" s="326"/>
      <c r="AW61" s="168"/>
      <c r="AX61" s="168"/>
      <c r="AY61" s="168"/>
      <c r="AZ61" s="168"/>
      <c r="BA61" s="168"/>
      <c r="BB61" s="168"/>
      <c r="BC61" s="168"/>
      <c r="BD61" s="168"/>
      <c r="BE61" s="168"/>
      <c r="BF61" s="168"/>
      <c r="BG61" s="168"/>
      <c r="BH61" s="168"/>
      <c r="BI61" s="168"/>
      <c r="BJ61" s="168"/>
      <c r="BK61" s="168"/>
      <c r="BL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168"/>
      <c r="CQ61" s="168"/>
      <c r="CR61" s="168"/>
      <c r="CS61" s="168"/>
      <c r="CT61" s="168"/>
      <c r="CU61" s="168"/>
      <c r="CV61" s="168"/>
    </row>
    <row r="62" spans="1:100" s="155" customFormat="1" ht="10.5" customHeight="1" thickBot="1" x14ac:dyDescent="0.55000000000000004">
      <c r="A62" s="168"/>
      <c r="B62" s="16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304"/>
      <c r="W62" s="168"/>
      <c r="X62" s="168"/>
      <c r="Y62" s="168"/>
      <c r="Z62" s="168"/>
      <c r="AA62" s="168"/>
      <c r="AB62" s="177"/>
      <c r="AC62" s="168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8"/>
      <c r="AY62" s="168"/>
      <c r="AZ62" s="168"/>
      <c r="BA62" s="168"/>
      <c r="BB62" s="168"/>
      <c r="BC62" s="168"/>
      <c r="BD62" s="168"/>
      <c r="BE62" s="168"/>
      <c r="BF62" s="168"/>
      <c r="BG62" s="168"/>
      <c r="BH62" s="168"/>
      <c r="BI62" s="168"/>
      <c r="BJ62" s="168"/>
      <c r="BK62" s="168"/>
      <c r="BL62" s="168"/>
      <c r="BM62" s="168"/>
      <c r="BN62" s="168"/>
      <c r="BO62" s="168"/>
      <c r="BP62" s="168"/>
      <c r="BQ62" s="168"/>
      <c r="BR62" s="168"/>
      <c r="BS62" s="168"/>
      <c r="BT62" s="168"/>
      <c r="BU62" s="168"/>
      <c r="BV62" s="168"/>
      <c r="BW62" s="168"/>
      <c r="BX62" s="168"/>
      <c r="BY62" s="168"/>
      <c r="BZ62" s="168"/>
      <c r="CA62" s="168"/>
      <c r="CB62" s="168"/>
      <c r="CC62" s="168"/>
      <c r="CD62" s="168"/>
      <c r="CE62" s="168"/>
      <c r="CF62" s="168"/>
      <c r="CG62" s="168"/>
      <c r="CH62" s="168"/>
      <c r="CI62" s="168"/>
      <c r="CJ62" s="168"/>
      <c r="CK62" s="168"/>
      <c r="CL62" s="168"/>
      <c r="CM62" s="168"/>
      <c r="CN62" s="168"/>
      <c r="CO62" s="168"/>
      <c r="CP62" s="168"/>
      <c r="CQ62" s="168"/>
      <c r="CR62" s="168"/>
      <c r="CS62" s="168"/>
      <c r="CT62" s="168"/>
      <c r="CU62" s="168"/>
      <c r="CV62" s="168"/>
    </row>
    <row r="63" spans="1:100" s="155" customFormat="1" ht="39" customHeight="1" thickBot="1" x14ac:dyDescent="0.55000000000000004">
      <c r="A63" s="168"/>
      <c r="B63" s="168"/>
      <c r="C63" s="168"/>
      <c r="D63" s="168"/>
      <c r="E63" s="168"/>
      <c r="F63" s="168"/>
      <c r="G63" s="175" t="str">
        <f>IF(OR($B$3=2013,$B$3=2018,$B$3=2020,$B$3=2016,$B$3=2010,$B$3=2008),H26,H76)</f>
        <v>Miami Heat</v>
      </c>
      <c r="H63" s="168"/>
      <c r="I63" s="168"/>
      <c r="J63" s="174"/>
      <c r="K63" s="168"/>
      <c r="L63" s="168"/>
      <c r="M63" s="168"/>
      <c r="N63" s="168"/>
      <c r="O63" s="168"/>
      <c r="P63" s="168"/>
      <c r="Q63" s="168"/>
      <c r="R63" s="168"/>
      <c r="S63" s="168">
        <f>IF(S65&gt;=0.5,4,IF(AND(S65&lt;0.5,S65&gt;0.4),2,IF(AND(S65&lt;0.4,S65&gt;0.25),1,0)))</f>
        <v>4</v>
      </c>
      <c r="T63" s="168"/>
      <c r="U63" s="168"/>
      <c r="V63" s="175" t="str">
        <f>IF(W28&gt;=0.5,W26,W76)</f>
        <v>Miami Heat</v>
      </c>
      <c r="W63" s="168"/>
      <c r="X63" s="168"/>
      <c r="Y63" s="168">
        <f>IF(Y66&gt;=0.5,4,IF(AND(Y66&lt;0.5,Y66&gt;0.4),2,IF(AND(Y66&lt;0.4,Y66&gt;0.25),1,0)))</f>
        <v>2</v>
      </c>
      <c r="Z63" s="168"/>
      <c r="AA63" s="168"/>
      <c r="AB63" s="177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168"/>
      <c r="BD63" s="168"/>
      <c r="BE63" s="168"/>
      <c r="BF63" s="168"/>
      <c r="BG63" s="168"/>
      <c r="BH63" s="168"/>
      <c r="BI63" s="168"/>
      <c r="BJ63" s="168"/>
      <c r="BK63" s="168"/>
      <c r="BL63" s="168"/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168"/>
      <c r="CQ63" s="168"/>
      <c r="CR63" s="168"/>
      <c r="CS63" s="168"/>
      <c r="CT63" s="168"/>
      <c r="CU63" s="168"/>
      <c r="CV63" s="168"/>
    </row>
    <row r="64" spans="1:100" s="155" customFormat="1" ht="39.75" customHeight="1" x14ac:dyDescent="0.5">
      <c r="A64" s="168"/>
      <c r="B64" s="168"/>
      <c r="C64" s="168"/>
      <c r="D64" s="156" t="str">
        <f>IF(OR($B$3=2013,$B$3=2009,$B$3=2006,$B$3=2018),B70,B58)</f>
        <v>Los Angeles Clippers</v>
      </c>
      <c r="E64" s="168"/>
      <c r="F64" s="168"/>
      <c r="G64" s="168">
        <f>IF(OR($B$3=2007,$B$3=2018),0,IF(OR($B$3=2003,$B$3=2011,$B$3=2015,$B$3=2020),2,IF(OR($B$3=2009,$B$3=2014,$B$3=2017),1,IF(OR($B$3=2005,$B$3=2010),3,4))))</f>
        <v>1</v>
      </c>
      <c r="H64" s="168"/>
      <c r="I64" s="168"/>
      <c r="J64" s="157" t="str">
        <f>IF(OR($B$3=2003,$B$3=2005,$B$3=2007,$B$3=2014),L70,L58)</f>
        <v>Brooklyn Nets</v>
      </c>
      <c r="K64" s="168"/>
      <c r="L64" s="168"/>
      <c r="M64" s="168"/>
      <c r="N64" s="168"/>
      <c r="O64" s="168"/>
      <c r="P64" s="168"/>
      <c r="Q64" s="168"/>
      <c r="R64" s="168"/>
      <c r="S64" s="156" t="str">
        <f>IF(Q59&gt;=0.5,Q58,Q70)</f>
        <v>Los Angeles Clippers</v>
      </c>
      <c r="T64" s="168"/>
      <c r="U64" s="168"/>
      <c r="V64" s="168"/>
      <c r="W64" s="168"/>
      <c r="X64" s="168"/>
      <c r="Y64" s="158" t="str">
        <f>IF(AA59&gt;=0.5,AA58,AA70)</f>
        <v>Toronto Raptors</v>
      </c>
      <c r="Z64" s="168"/>
      <c r="AA64" s="168"/>
      <c r="AB64" s="177"/>
      <c r="AC64" s="168"/>
      <c r="AD64" s="168"/>
      <c r="AE64" s="168"/>
      <c r="AF64" s="168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S64" s="168"/>
      <c r="AT64" s="168"/>
      <c r="AU64" s="168"/>
      <c r="AV64" s="168"/>
      <c r="AW64" s="168"/>
      <c r="AX64" s="168"/>
      <c r="AY64" s="168"/>
      <c r="AZ64" s="168"/>
      <c r="BA64" s="168"/>
      <c r="BB64" s="168"/>
      <c r="BC64" s="168"/>
      <c r="BD64" s="168"/>
      <c r="BE64" s="168"/>
      <c r="BF64" s="168"/>
      <c r="BG64" s="168"/>
      <c r="BH64" s="168"/>
      <c r="BI64" s="168"/>
      <c r="BJ64" s="168"/>
      <c r="BK64" s="168"/>
      <c r="BL64" s="168"/>
      <c r="BM64" s="168"/>
      <c r="BN64" s="168"/>
      <c r="BO64" s="168"/>
      <c r="BP64" s="168"/>
      <c r="BQ64" s="168"/>
      <c r="BR64" s="168"/>
      <c r="BS64" s="168"/>
      <c r="BT64" s="168"/>
      <c r="BU64" s="168"/>
      <c r="BV64" s="168"/>
      <c r="BW64" s="168"/>
      <c r="BX64" s="168"/>
      <c r="BY64" s="168"/>
      <c r="BZ64" s="168"/>
      <c r="CA64" s="168"/>
      <c r="CB64" s="168"/>
      <c r="CC64" s="168"/>
      <c r="CD64" s="168"/>
      <c r="CE64" s="168"/>
      <c r="CF64" s="168"/>
      <c r="CG64" s="168"/>
      <c r="CH64" s="168"/>
      <c r="CI64" s="168"/>
      <c r="CJ64" s="168"/>
      <c r="CK64" s="168"/>
      <c r="CL64" s="168"/>
      <c r="CM64" s="168"/>
      <c r="CN64" s="168"/>
      <c r="CO64" s="168"/>
      <c r="CP64" s="168"/>
      <c r="CQ64" s="168"/>
      <c r="CR64" s="168"/>
      <c r="CS64" s="168"/>
      <c r="CT64" s="168"/>
      <c r="CU64" s="168"/>
      <c r="CV64" s="168"/>
    </row>
    <row r="65" spans="1:100" s="155" customFormat="1" ht="10.5" customHeight="1" x14ac:dyDescent="0.5">
      <c r="A65" s="168"/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285">
        <f>INDEX('Historical Snapshot'!$D$55:$AH$84,MATCH(S64,'Historical Snapshot'!$C$55:$C$84,0),MATCH(S88,'Historical Snapshot'!$D$54:$AH$54,0))</f>
        <v>0.53708817070976911</v>
      </c>
      <c r="T65" s="168"/>
      <c r="U65" s="168"/>
      <c r="V65" s="312">
        <f>IF(V61&gt;=0.5,4,IF(AND(V61&lt;0.5,V61&gt;0.4),2,IF(AND(V61&lt;0.4,V61&gt;0.25),1,0)))</f>
        <v>1</v>
      </c>
      <c r="W65" s="168"/>
      <c r="X65" s="168"/>
      <c r="Y65" s="168"/>
      <c r="Z65" s="168"/>
      <c r="AA65" s="168"/>
      <c r="AB65" s="177"/>
      <c r="AC65" s="168"/>
      <c r="AD65" s="168"/>
      <c r="AE65" s="168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S65" s="168"/>
      <c r="AT65" s="168"/>
      <c r="AU65" s="168"/>
      <c r="AV65" s="168"/>
      <c r="AW65" s="168"/>
      <c r="AX65" s="168"/>
      <c r="AY65" s="168"/>
      <c r="AZ65" s="168"/>
      <c r="BA65" s="168"/>
      <c r="BB65" s="168"/>
      <c r="BC65" s="168"/>
      <c r="BD65" s="168"/>
      <c r="BE65" s="168"/>
      <c r="BF65" s="168"/>
      <c r="BG65" s="168"/>
      <c r="BH65" s="168"/>
      <c r="BI65" s="168"/>
      <c r="BJ65" s="168"/>
      <c r="BK65" s="168"/>
      <c r="BL65" s="168"/>
      <c r="BM65" s="168"/>
      <c r="BN65" s="168"/>
      <c r="BO65" s="168"/>
      <c r="BP65" s="168"/>
      <c r="BQ65" s="168"/>
      <c r="BR65" s="168"/>
      <c r="BS65" s="168"/>
      <c r="BT65" s="168"/>
      <c r="BU65" s="168"/>
      <c r="BV65" s="168"/>
      <c r="BW65" s="168"/>
      <c r="BX65" s="168"/>
      <c r="BY65" s="168"/>
      <c r="BZ65" s="168"/>
      <c r="CA65" s="168"/>
      <c r="CB65" s="168"/>
      <c r="CC65" s="168"/>
      <c r="CD65" s="168"/>
      <c r="CE65" s="168"/>
      <c r="CF65" s="168"/>
      <c r="CG65" s="168"/>
      <c r="CH65" s="168"/>
      <c r="CI65" s="168"/>
      <c r="CJ65" s="168"/>
      <c r="CK65" s="168"/>
      <c r="CL65" s="168"/>
      <c r="CM65" s="168"/>
      <c r="CN65" s="168"/>
      <c r="CO65" s="168"/>
      <c r="CP65" s="168"/>
      <c r="CQ65" s="168"/>
      <c r="CR65" s="168"/>
      <c r="CS65" s="168"/>
      <c r="CT65" s="168"/>
      <c r="CU65" s="168"/>
      <c r="CV65" s="168"/>
    </row>
    <row r="66" spans="1:100" s="155" customFormat="1" ht="10.5" customHeight="1" x14ac:dyDescent="0.5">
      <c r="A66" s="168"/>
      <c r="B66" s="168"/>
      <c r="C66" s="168"/>
      <c r="D66" s="168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283"/>
      <c r="T66" s="168"/>
      <c r="U66" s="168"/>
      <c r="V66" s="312">
        <f t="shared" ref="V66:V67" si="0">IF(V60&gt;=0.5,4,IF(AND(V60&lt;0.5,V60&gt;0.4),2,IF(AND(V60&lt;0.4,V60&gt;0.25),1,0)))</f>
        <v>0</v>
      </c>
      <c r="W66" s="168"/>
      <c r="X66" s="168"/>
      <c r="Y66" s="283">
        <f>IF(Y64="Charlotte Hornets",'Historical Snapshot'!AF24,INDEX('Historical Snapshot'!$D$55:$AH$84,MATCH(Y64,'Historical Snapshot'!$C$55:$C$84,0),MATCH(Y88,'Historical Snapshot'!$D$54:$AH$54,0)))</f>
        <v>0.44431506631218387</v>
      </c>
      <c r="Z66" s="168"/>
      <c r="AA66" s="168"/>
      <c r="AB66" s="177"/>
      <c r="AC66" s="168"/>
      <c r="AD66" s="168"/>
      <c r="AE66" s="168"/>
      <c r="AF66" s="168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S66" s="168"/>
      <c r="AT66" s="168"/>
      <c r="AU66" s="168"/>
      <c r="AV66" s="168"/>
      <c r="AW66" s="168"/>
      <c r="AX66" s="168"/>
      <c r="AY66" s="168"/>
      <c r="AZ66" s="168"/>
      <c r="BA66" s="168"/>
      <c r="BB66" s="168"/>
      <c r="BC66" s="168"/>
      <c r="BD66" s="168"/>
      <c r="BE66" s="168"/>
      <c r="BF66" s="168"/>
      <c r="BG66" s="168"/>
      <c r="BH66" s="168"/>
      <c r="BI66" s="168"/>
      <c r="BJ66" s="168"/>
      <c r="BK66" s="168"/>
      <c r="BL66" s="168"/>
      <c r="BM66" s="168"/>
      <c r="BN66" s="168"/>
      <c r="BO66" s="168"/>
      <c r="BP66" s="168"/>
      <c r="BQ66" s="168"/>
      <c r="BR66" s="168"/>
      <c r="BS66" s="168"/>
      <c r="BT66" s="168"/>
      <c r="BU66" s="168"/>
      <c r="BV66" s="168"/>
      <c r="BW66" s="168"/>
      <c r="BX66" s="168"/>
      <c r="BY66" s="168"/>
      <c r="BZ66" s="168"/>
      <c r="CA66" s="168"/>
      <c r="CB66" s="168"/>
      <c r="CC66" s="168"/>
      <c r="CD66" s="168"/>
      <c r="CE66" s="168"/>
      <c r="CF66" s="168"/>
      <c r="CG66" s="168"/>
      <c r="CH66" s="168"/>
      <c r="CI66" s="168"/>
      <c r="CJ66" s="168"/>
      <c r="CK66" s="168"/>
      <c r="CL66" s="168"/>
      <c r="CM66" s="168"/>
      <c r="CN66" s="168"/>
      <c r="CO66" s="168"/>
      <c r="CP66" s="168"/>
      <c r="CQ66" s="168"/>
      <c r="CR66" s="168"/>
      <c r="CS66" s="168"/>
      <c r="CT66" s="168"/>
      <c r="CU66" s="168"/>
      <c r="CV66" s="168"/>
    </row>
    <row r="67" spans="1:100" s="155" customFormat="1" ht="39.75" customHeight="1" x14ac:dyDescent="0.5">
      <c r="A67" s="168"/>
      <c r="B67" s="168">
        <f>IF(OR($B$3=2013,$B$3=2009,$B$3=2006,$B$3=2018),4,IF(OR($B$3=2012,$B$3=2003,$B$3=2014,$B$3=2015,$B$3=2020),3,IF($B$3=2004,0,IF(OR($B$3=2011,$B$3=2010),2,1))))</f>
        <v>3</v>
      </c>
      <c r="C67" s="168"/>
      <c r="D67" s="168">
        <f>IF(OR($B$3=2012,$B$3=2009,$B$3=2018),1,IF(OR($B$3=2006,$B$3=2015),3,IF(OR($B$3=2013,$B$3=2004,$B$3=2005,$B$3=2014,$B$3=2017),2,4)))</f>
        <v>2</v>
      </c>
      <c r="E67" s="168"/>
      <c r="F67" s="168"/>
      <c r="G67" s="168"/>
      <c r="H67" s="168"/>
      <c r="I67" s="168"/>
      <c r="J67" s="168">
        <f>IF(OR($B$3=2003,$B$3=2010,$B$3=2017),0,IF(OR($B$3=2005,$B$3=2007,$B$3=2012,$B$3=2015),2,IF(OR($B$3=2013,$B$3=2009,$B$3=2004,$B$3=2020),4,IF(OR($B$3=2006,$B$3=2008,$B$3=2011,$B$3=2014,$B$3=2018),1,3))))</f>
        <v>1</v>
      </c>
      <c r="K67" s="168"/>
      <c r="L67" s="168">
        <f>IF(OR($B$3=2011,$B$3=2020),0,IF(OR($B$3=2010,$B$3=2016),3,IF(OR($B$3=2003,$B$3=2005,$B$3=2007,$B$3=2014),4,IF(OR($B$3=2004,$B$3=2008,$B$3=2012,$B$3=2019,$B$3=2018),1,2))))</f>
        <v>4</v>
      </c>
      <c r="M67" s="168"/>
      <c r="N67" s="168"/>
      <c r="O67" s="168"/>
      <c r="P67" s="168"/>
      <c r="Q67" s="283">
        <f>1-Q59</f>
        <v>0.41693208998866926</v>
      </c>
      <c r="R67" s="168"/>
      <c r="S67" s="283"/>
      <c r="T67" s="168"/>
      <c r="U67" s="168"/>
      <c r="V67" s="312">
        <f t="shared" si="0"/>
        <v>1</v>
      </c>
      <c r="W67" s="168"/>
      <c r="X67" s="168"/>
      <c r="Y67" s="283"/>
      <c r="Z67" s="168"/>
      <c r="AA67" s="283">
        <f>1-AA59</f>
        <v>0.29607821752696617</v>
      </c>
      <c r="AB67" s="177"/>
      <c r="AC67" s="168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8"/>
      <c r="AW67" s="168"/>
      <c r="AX67" s="168"/>
      <c r="AY67" s="168"/>
      <c r="AZ67" s="168"/>
      <c r="BA67" s="168"/>
      <c r="BB67" s="168"/>
      <c r="BC67" s="168"/>
      <c r="BD67" s="168"/>
      <c r="BE67" s="168"/>
      <c r="BF67" s="168"/>
      <c r="BG67" s="168"/>
      <c r="BH67" s="168"/>
      <c r="BI67" s="168"/>
      <c r="BJ67" s="168"/>
      <c r="BK67" s="168"/>
      <c r="BL67" s="168"/>
      <c r="BM67" s="168"/>
      <c r="BN67" s="168"/>
      <c r="BO67" s="168"/>
      <c r="BP67" s="168"/>
      <c r="BQ67" s="168"/>
      <c r="BR67" s="168"/>
      <c r="BS67" s="168"/>
      <c r="BT67" s="168"/>
      <c r="BU67" s="168"/>
      <c r="BV67" s="168"/>
      <c r="BW67" s="168"/>
      <c r="BX67" s="168"/>
      <c r="BY67" s="168"/>
      <c r="BZ67" s="168"/>
      <c r="CA67" s="168"/>
      <c r="CB67" s="168"/>
      <c r="CC67" s="168"/>
      <c r="CD67" s="168"/>
      <c r="CE67" s="168"/>
      <c r="CF67" s="168"/>
      <c r="CG67" s="168"/>
      <c r="CH67" s="168"/>
      <c r="CI67" s="168"/>
      <c r="CJ67" s="168"/>
      <c r="CK67" s="168"/>
      <c r="CL67" s="168"/>
      <c r="CM67" s="168"/>
      <c r="CN67" s="168"/>
      <c r="CO67" s="168"/>
      <c r="CP67" s="168"/>
      <c r="CQ67" s="168"/>
      <c r="CR67" s="168"/>
      <c r="CS67" s="168"/>
      <c r="CT67" s="168"/>
      <c r="CU67" s="168"/>
      <c r="CV67" s="168"/>
    </row>
    <row r="68" spans="1:100" s="155" customFormat="1" ht="10.5" customHeight="1" x14ac:dyDescent="0.5">
      <c r="A68" s="168"/>
      <c r="B68" s="168"/>
      <c r="C68" s="168"/>
      <c r="D68" s="168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283"/>
      <c r="R68" s="168"/>
      <c r="S68" s="168"/>
      <c r="T68" s="168"/>
      <c r="U68" s="168"/>
      <c r="V68" s="168"/>
      <c r="W68" s="168"/>
      <c r="X68" s="168"/>
      <c r="Y68" s="172"/>
      <c r="Z68" s="168"/>
      <c r="AA68" s="283"/>
      <c r="AB68" s="177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S68" s="168"/>
      <c r="AT68" s="168"/>
      <c r="AU68" s="168"/>
      <c r="AV68" s="168"/>
      <c r="AW68" s="168"/>
      <c r="AX68" s="168"/>
      <c r="AY68" s="168"/>
      <c r="AZ68" s="168"/>
      <c r="BA68" s="168"/>
      <c r="BB68" s="168"/>
      <c r="BC68" s="168"/>
      <c r="BD68" s="168"/>
      <c r="BE68" s="168"/>
      <c r="BF68" s="168"/>
      <c r="BG68" s="168"/>
      <c r="BH68" s="168"/>
      <c r="BI68" s="168"/>
      <c r="BJ68" s="168"/>
      <c r="BK68" s="168"/>
      <c r="BL68" s="168"/>
      <c r="BM68" s="168"/>
      <c r="BN68" s="168"/>
      <c r="BO68" s="168"/>
      <c r="BP68" s="168"/>
      <c r="BQ68" s="168"/>
      <c r="BR68" s="168"/>
      <c r="BS68" s="168"/>
      <c r="BT68" s="168"/>
      <c r="BU68" s="168"/>
      <c r="BV68" s="168"/>
      <c r="BW68" s="168"/>
      <c r="BX68" s="168"/>
      <c r="BY68" s="168"/>
      <c r="BZ68" s="168"/>
      <c r="CA68" s="168"/>
      <c r="CB68" s="168"/>
      <c r="CC68" s="168"/>
      <c r="CD68" s="168"/>
      <c r="CE68" s="168"/>
      <c r="CF68" s="168"/>
      <c r="CG68" s="168"/>
      <c r="CH68" s="168"/>
      <c r="CI68" s="168"/>
      <c r="CJ68" s="168"/>
      <c r="CK68" s="168"/>
      <c r="CL68" s="168"/>
      <c r="CM68" s="168"/>
      <c r="CN68" s="168"/>
      <c r="CO68" s="168"/>
      <c r="CP68" s="168"/>
      <c r="CQ68" s="168"/>
      <c r="CR68" s="168"/>
      <c r="CS68" s="168"/>
      <c r="CT68" s="168"/>
      <c r="CU68" s="168"/>
      <c r="CV68" s="168"/>
    </row>
    <row r="69" spans="1:100" s="155" customFormat="1" ht="10.5" customHeight="1" x14ac:dyDescent="0.5">
      <c r="A69" s="168"/>
      <c r="B69" s="168"/>
      <c r="C69" s="168"/>
      <c r="D69" s="168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284"/>
      <c r="R69" s="168"/>
      <c r="S69" s="168"/>
      <c r="T69" s="168"/>
      <c r="U69" s="168"/>
      <c r="V69" s="168"/>
      <c r="W69" s="168"/>
      <c r="X69" s="168"/>
      <c r="Y69" s="172"/>
      <c r="Z69" s="168"/>
      <c r="AA69" s="284"/>
      <c r="AB69" s="177"/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S69" s="168"/>
      <c r="AT69" s="168"/>
      <c r="AU69" s="168"/>
      <c r="AV69" s="168"/>
      <c r="AW69" s="168"/>
      <c r="AX69" s="168"/>
      <c r="AY69" s="168"/>
      <c r="AZ69" s="168"/>
      <c r="BA69" s="168"/>
      <c r="BB69" s="168"/>
      <c r="BC69" s="168"/>
      <c r="BD69" s="168"/>
      <c r="BE69" s="168"/>
      <c r="BF69" s="168"/>
      <c r="BG69" s="168"/>
      <c r="BH69" s="168"/>
      <c r="BI69" s="168"/>
      <c r="BJ69" s="168"/>
      <c r="BK69" s="168"/>
      <c r="BL69" s="168"/>
      <c r="BM69" s="168"/>
      <c r="BN69" s="168"/>
      <c r="BO69" s="168"/>
      <c r="BP69" s="168"/>
      <c r="BQ69" s="168"/>
      <c r="BR69" s="168"/>
      <c r="BS69" s="168"/>
      <c r="BT69" s="168"/>
      <c r="BU69" s="168"/>
      <c r="BV69" s="168"/>
      <c r="BW69" s="168"/>
      <c r="BX69" s="168"/>
      <c r="BY69" s="168"/>
      <c r="BZ69" s="168"/>
      <c r="CA69" s="168"/>
      <c r="CB69" s="168"/>
      <c r="CC69" s="168"/>
      <c r="CD69" s="168"/>
      <c r="CE69" s="168"/>
      <c r="CF69" s="168"/>
      <c r="CG69" s="168"/>
      <c r="CH69" s="168"/>
      <c r="CI69" s="168"/>
      <c r="CJ69" s="168"/>
      <c r="CK69" s="168"/>
      <c r="CL69" s="168"/>
      <c r="CM69" s="168"/>
      <c r="CN69" s="168"/>
      <c r="CO69" s="168"/>
      <c r="CP69" s="168"/>
      <c r="CQ69" s="168"/>
      <c r="CR69" s="168"/>
      <c r="CS69" s="168"/>
      <c r="CT69" s="168"/>
      <c r="CU69" s="168"/>
      <c r="CV69" s="168"/>
    </row>
    <row r="70" spans="1:100" s="155" customFormat="1" ht="39.75" customHeight="1" x14ac:dyDescent="0.5">
      <c r="A70" s="177">
        <v>6</v>
      </c>
      <c r="B70" s="156" t="str">
        <f>IF(OR($B$3=2013,$B$3=2014),"Golden State Warriors",IF($B$3=2015,"San Antonio Spurs",IF($B$3=2016,"Dallas Mavericks",IF(OR($B$3=2019,$B$3=2017),"Oklahoma City Thunder",IF($B$3=2018,"New Orleans Pelicans",IF($B$3=2020,"Utah Jazz",IF(OR($B$3=2007,$B$3=2012),"Denver Nuggets",IF($B$3=2009,"Dallas Mavericks",IF($B$3=2005,"Sacramento Kings",IF($B$3=2008,"Phoenix Suns",IF($B$3=2006,"Los Angeles Clippers",IF($B$3=2004,"Memphis Grizzlies","Portland Trail Blazers"))))))))))))</f>
        <v>Golden State Warriors</v>
      </c>
      <c r="C70" s="168"/>
      <c r="D70" s="168"/>
      <c r="E70" s="168"/>
      <c r="F70" s="168"/>
      <c r="G70" s="168"/>
      <c r="H70" s="168"/>
      <c r="I70" s="168"/>
      <c r="J70" s="168"/>
      <c r="K70" s="168"/>
      <c r="L70" s="157" t="str">
        <f>IF(OR($B$3=2007,$B$3=2019,$B$3=2014),"Brooklyn Nets",IF($B$3=2016,"Charlotte Hornets",IF($B$3=2018,"Miami Heat",IF(OR($B$3=2009,$B$3=2020),"Philadelphia 76ers",IF($B$3=2013,"Atlanta Hawks",IF($B$3=2012,"Orlando Magic",IF($B$3=2011,"New York Knicks",IF($B$3=2008,"Toronto Raptors",IF(OR($B$3=2005,$B$3=2006),"Indiana Pacers",IF($B$3=2003,"Boston Celtics","Milwaukee Bucks"))))))))))</f>
        <v>Brooklyn Nets</v>
      </c>
      <c r="M70" s="177">
        <v>6</v>
      </c>
      <c r="N70" s="168"/>
      <c r="O70" s="168"/>
      <c r="P70" s="177">
        <v>6</v>
      </c>
      <c r="Q70" s="156" t="str">
        <f>B70</f>
        <v>Golden State Warriors</v>
      </c>
      <c r="R70" s="168"/>
      <c r="S70" s="168"/>
      <c r="T70" s="168"/>
      <c r="U70" s="168"/>
      <c r="V70" s="168"/>
      <c r="W70" s="168"/>
      <c r="X70" s="168"/>
      <c r="Y70" s="172"/>
      <c r="Z70" s="168"/>
      <c r="AA70" s="157" t="str">
        <f>L70</f>
        <v>Brooklyn Nets</v>
      </c>
      <c r="AB70" s="177">
        <v>6</v>
      </c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S70" s="168"/>
      <c r="AT70" s="168"/>
      <c r="AU70" s="168"/>
      <c r="AV70" s="168"/>
      <c r="AW70" s="168"/>
      <c r="AX70" s="168"/>
      <c r="AY70" s="168"/>
      <c r="AZ70" s="168"/>
      <c r="BA70" s="168"/>
      <c r="BB70" s="168"/>
      <c r="BC70" s="168"/>
      <c r="BD70" s="168"/>
      <c r="BE70" s="168"/>
      <c r="BF70" s="168"/>
      <c r="BG70" s="168"/>
      <c r="BH70" s="168"/>
      <c r="BI70" s="168"/>
      <c r="BJ70" s="168"/>
      <c r="BK70" s="168"/>
      <c r="BL70" s="168"/>
      <c r="BM70" s="168"/>
      <c r="BN70" s="168"/>
      <c r="BO70" s="168"/>
      <c r="BP70" s="168"/>
      <c r="BQ70" s="168"/>
      <c r="BR70" s="168"/>
      <c r="BS70" s="168"/>
      <c r="BT70" s="168"/>
      <c r="BU70" s="168"/>
      <c r="BV70" s="168"/>
      <c r="BW70" s="168"/>
      <c r="BX70" s="168"/>
      <c r="BY70" s="168"/>
      <c r="BZ70" s="168"/>
      <c r="CA70" s="168"/>
      <c r="CB70" s="168"/>
      <c r="CC70" s="168"/>
      <c r="CD70" s="168"/>
      <c r="CE70" s="168"/>
      <c r="CF70" s="168"/>
      <c r="CG70" s="168"/>
      <c r="CH70" s="168"/>
      <c r="CI70" s="168"/>
      <c r="CJ70" s="168"/>
      <c r="CK70" s="168"/>
      <c r="CL70" s="168"/>
      <c r="CM70" s="168"/>
      <c r="CN70" s="168"/>
      <c r="CO70" s="168"/>
      <c r="CP70" s="168"/>
      <c r="CQ70" s="168"/>
      <c r="CR70" s="168"/>
      <c r="CS70" s="168"/>
      <c r="CT70" s="168"/>
      <c r="CU70" s="168"/>
      <c r="CV70" s="168"/>
    </row>
    <row r="71" spans="1:100" s="155" customFormat="1" ht="10.5" customHeight="1" x14ac:dyDescent="0.5">
      <c r="A71" s="168"/>
      <c r="B71" s="168"/>
      <c r="C71" s="168"/>
      <c r="D71" s="168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72"/>
      <c r="Z71" s="168"/>
      <c r="AA71" s="168"/>
      <c r="AB71" s="177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8"/>
      <c r="AT71" s="168"/>
      <c r="AU71" s="168"/>
      <c r="AV71" s="168"/>
      <c r="AW71" s="168"/>
      <c r="AX71" s="168"/>
      <c r="AY71" s="168"/>
      <c r="AZ71" s="168"/>
      <c r="BA71" s="168"/>
      <c r="BB71" s="168"/>
      <c r="BC71" s="168"/>
      <c r="BD71" s="168"/>
      <c r="BE71" s="168"/>
      <c r="BF71" s="168"/>
      <c r="BG71" s="168"/>
      <c r="BH71" s="168"/>
      <c r="BI71" s="168"/>
      <c r="BJ71" s="168"/>
      <c r="BK71" s="168"/>
      <c r="BL71" s="168"/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168"/>
      <c r="CQ71" s="168"/>
      <c r="CR71" s="168"/>
      <c r="CS71" s="168"/>
      <c r="CT71" s="168"/>
      <c r="CU71" s="168"/>
      <c r="CV71" s="168"/>
    </row>
    <row r="72" spans="1:100" s="155" customFormat="1" ht="10.5" customHeight="1" x14ac:dyDescent="0.5">
      <c r="A72" s="168"/>
      <c r="B72" s="168"/>
      <c r="C72" s="168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72"/>
      <c r="Z72" s="168"/>
      <c r="AA72" s="168"/>
      <c r="AB72" s="177"/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8"/>
      <c r="AY72" s="168"/>
      <c r="AZ72" s="168"/>
      <c r="BA72" s="168"/>
      <c r="BB72" s="168"/>
      <c r="BC72" s="168"/>
      <c r="BD72" s="168"/>
      <c r="BE72" s="168"/>
      <c r="BF72" s="168"/>
      <c r="BG72" s="168"/>
      <c r="BH72" s="168"/>
      <c r="BI72" s="168"/>
      <c r="BJ72" s="168"/>
      <c r="BK72" s="168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Q72" s="168"/>
      <c r="CR72" s="168"/>
      <c r="CS72" s="168"/>
      <c r="CT72" s="168"/>
      <c r="CU72" s="168"/>
      <c r="CV72" s="168"/>
    </row>
    <row r="73" spans="1:100" s="155" customFormat="1" ht="39.75" customHeight="1" x14ac:dyDescent="0.5">
      <c r="A73" s="168"/>
      <c r="B73" s="168"/>
      <c r="C73" s="168"/>
      <c r="D73" s="168"/>
      <c r="E73" s="168"/>
      <c r="F73" s="168">
        <f>IF(OR($B$3=2016),3,IF(OR($B$3=2019,$B$3=2017),0,IF(OR($B$3=2014,$B$3=2010,$B$3=2009,$B$3=2006,$B$3=2003),2,IF(OR($B$3=2008,$B$3=2020,$B$3=2015),1,4))))</f>
        <v>2</v>
      </c>
      <c r="G73" s="168"/>
      <c r="H73" s="168">
        <f>IF(OR($B$3=2013,$B$3=2018),3,IF(OR($B$3=2008,$B$3=2010,$B$3=2020,$B$3=2016),2,4))</f>
        <v>4</v>
      </c>
      <c r="I73" s="168"/>
      <c r="J73" s="168"/>
      <c r="K73" s="168"/>
      <c r="L73" s="168"/>
      <c r="M73" s="168"/>
      <c r="N73" s="168"/>
      <c r="O73" s="168"/>
      <c r="P73" s="168"/>
      <c r="Q73" s="168">
        <f>IF(Q67&gt;=0.5,4,IF(AND(Q67&lt;0.5,Q67&gt;0.4),2,IF(AND(Q67&lt;0.4,Q67&gt;0.25),1,0)))</f>
        <v>2</v>
      </c>
      <c r="R73" s="168"/>
      <c r="S73" s="168"/>
      <c r="T73" s="168"/>
      <c r="U73" s="283">
        <f>1-U28</f>
        <v>0.49876738171936297</v>
      </c>
      <c r="V73" s="168"/>
      <c r="W73" s="283">
        <f>1-W28</f>
        <v>0.51300789380041445</v>
      </c>
      <c r="X73" s="168"/>
      <c r="Y73" s="172"/>
      <c r="Z73" s="168"/>
      <c r="AA73" s="168">
        <f>IF(AA67&gt;=0.5,4,IF(AND(AA67&lt;0.5,AA67&gt;0.4),2,IF(AND(AA67&lt;0.4,AA67&gt;0.25),1,0)))</f>
        <v>1</v>
      </c>
      <c r="AB73" s="177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8"/>
      <c r="AY73" s="168"/>
      <c r="AZ73" s="168"/>
      <c r="BA73" s="168"/>
      <c r="BB73" s="168"/>
      <c r="BC73" s="168"/>
      <c r="BD73" s="168"/>
      <c r="BE73" s="168"/>
      <c r="BF73" s="168"/>
      <c r="BG73" s="168"/>
      <c r="BH73" s="168"/>
      <c r="BI73" s="168"/>
      <c r="BJ73" s="168"/>
      <c r="BK73" s="168"/>
      <c r="BL73" s="168"/>
      <c r="BM73" s="168"/>
      <c r="BN73" s="168"/>
      <c r="BO73" s="168"/>
      <c r="BP73" s="168"/>
      <c r="BQ73" s="168"/>
      <c r="BR73" s="168"/>
      <c r="BS73" s="168"/>
      <c r="BT73" s="168"/>
      <c r="BU73" s="168"/>
      <c r="BV73" s="168"/>
      <c r="BW73" s="168"/>
      <c r="BX73" s="168"/>
      <c r="BY73" s="168"/>
      <c r="BZ73" s="168"/>
      <c r="CA73" s="168"/>
      <c r="CB73" s="168"/>
      <c r="CC73" s="168"/>
      <c r="CD73" s="168"/>
      <c r="CE73" s="168"/>
      <c r="CF73" s="168"/>
      <c r="CG73" s="168"/>
      <c r="CH73" s="168"/>
      <c r="CI73" s="168"/>
      <c r="CJ73" s="168"/>
      <c r="CK73" s="168"/>
      <c r="CL73" s="168"/>
      <c r="CM73" s="168"/>
      <c r="CN73" s="168"/>
      <c r="CO73" s="168"/>
      <c r="CP73" s="168"/>
      <c r="CQ73" s="168"/>
      <c r="CR73" s="168"/>
      <c r="CS73" s="168"/>
      <c r="CT73" s="168"/>
      <c r="CU73" s="168"/>
      <c r="CV73" s="168"/>
    </row>
    <row r="74" spans="1:100" s="155" customFormat="1" ht="10.5" customHeight="1" x14ac:dyDescent="0.5">
      <c r="A74" s="168"/>
      <c r="B74" s="168"/>
      <c r="C74" s="168"/>
      <c r="D74" s="168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283"/>
      <c r="V74" s="168"/>
      <c r="W74" s="283"/>
      <c r="X74" s="168"/>
      <c r="Y74" s="172"/>
      <c r="Z74" s="168"/>
      <c r="AA74" s="168"/>
      <c r="AB74" s="177"/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8"/>
      <c r="AY74" s="168"/>
      <c r="AZ74" s="168"/>
      <c r="BA74" s="168"/>
      <c r="BB74" s="168"/>
      <c r="BC74" s="168"/>
      <c r="BD74" s="168"/>
      <c r="BE74" s="168"/>
      <c r="BF74" s="168"/>
      <c r="BG74" s="168"/>
      <c r="BH74" s="168"/>
      <c r="BI74" s="168"/>
      <c r="BJ74" s="168"/>
      <c r="BK74" s="168"/>
      <c r="BL74" s="168"/>
      <c r="BM74" s="168"/>
      <c r="BN74" s="168"/>
      <c r="BO74" s="168"/>
      <c r="BP74" s="168"/>
      <c r="BQ74" s="168"/>
      <c r="BR74" s="168"/>
      <c r="BS74" s="168"/>
      <c r="BT74" s="168"/>
      <c r="BU74" s="168"/>
      <c r="BV74" s="168"/>
      <c r="BW74" s="168"/>
      <c r="BX74" s="168"/>
      <c r="BY74" s="168"/>
      <c r="BZ74" s="168"/>
      <c r="CA74" s="168"/>
      <c r="CB74" s="168"/>
      <c r="CC74" s="168"/>
      <c r="CD74" s="168"/>
      <c r="CE74" s="168"/>
      <c r="CF74" s="168"/>
      <c r="CG74" s="168"/>
      <c r="CH74" s="168"/>
      <c r="CI74" s="168"/>
      <c r="CJ74" s="168"/>
      <c r="CK74" s="168"/>
      <c r="CL74" s="168"/>
      <c r="CM74" s="168"/>
      <c r="CN74" s="168"/>
      <c r="CO74" s="168"/>
      <c r="CP74" s="168"/>
      <c r="CQ74" s="168"/>
      <c r="CR74" s="168"/>
      <c r="CS74" s="168"/>
      <c r="CT74" s="168"/>
      <c r="CU74" s="168"/>
      <c r="CV74" s="168"/>
    </row>
    <row r="75" spans="1:100" s="155" customFormat="1" ht="10.5" customHeight="1" x14ac:dyDescent="0.5">
      <c r="A75" s="168"/>
      <c r="B75" s="16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284"/>
      <c r="V75" s="168"/>
      <c r="W75" s="168"/>
      <c r="X75" s="168"/>
      <c r="Y75" s="172"/>
      <c r="Z75" s="168"/>
      <c r="AA75" s="168"/>
      <c r="AB75" s="177"/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S75" s="168"/>
      <c r="AT75" s="168"/>
      <c r="AU75" s="168"/>
      <c r="AV75" s="168"/>
      <c r="AW75" s="168"/>
      <c r="AX75" s="168"/>
      <c r="AY75" s="168"/>
      <c r="AZ75" s="168"/>
      <c r="BA75" s="168"/>
      <c r="BB75" s="168"/>
      <c r="BC75" s="168"/>
      <c r="BD75" s="168"/>
      <c r="BE75" s="168"/>
      <c r="BF75" s="168"/>
      <c r="BG75" s="168"/>
      <c r="BH75" s="168"/>
      <c r="BI75" s="168"/>
      <c r="BJ75" s="168"/>
      <c r="BK75" s="168"/>
      <c r="BL75" s="168"/>
      <c r="BM75" s="168"/>
      <c r="BN75" s="168"/>
      <c r="BO75" s="168"/>
      <c r="BP75" s="168"/>
      <c r="BQ75" s="168"/>
      <c r="BR75" s="168"/>
      <c r="BS75" s="168"/>
      <c r="BT75" s="168"/>
      <c r="BU75" s="168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168"/>
      <c r="CM75" s="168"/>
      <c r="CN75" s="168"/>
      <c r="CO75" s="168"/>
      <c r="CP75" s="168"/>
      <c r="CQ75" s="168"/>
      <c r="CR75" s="168"/>
      <c r="CS75" s="168"/>
      <c r="CT75" s="168"/>
      <c r="CU75" s="168"/>
      <c r="CV75" s="168"/>
    </row>
    <row r="76" spans="1:100" s="155" customFormat="1" ht="39.75" customHeight="1" x14ac:dyDescent="0.5">
      <c r="A76" s="168"/>
      <c r="B76" s="168"/>
      <c r="C76" s="168"/>
      <c r="D76" s="168"/>
      <c r="E76" s="168"/>
      <c r="F76" s="156" t="str">
        <f>IF(OR($B$3=2011,$B$3=2010,$B$3=2008,$B$3=2007,$B$3=2003,$B$3=2020,$B$3=2016),D64,D88)</f>
        <v>Oklahoma City Thunder</v>
      </c>
      <c r="G76" s="168"/>
      <c r="H76" s="157" t="str">
        <f>IF(OR($B$3=2004,$B$3=2009,$B$3=2013,$B$3=2020),J64,J88)</f>
        <v>Miami Heat</v>
      </c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56" t="str">
        <f>IF(S65&gt;=0.5,S64,S88)</f>
        <v>Los Angeles Clippers</v>
      </c>
      <c r="V76" s="168"/>
      <c r="W76" s="157" t="str">
        <f>IF(Y66&gt;=0.5,Y64,Y88)</f>
        <v>Miami Heat</v>
      </c>
      <c r="X76" s="168"/>
      <c r="Y76" s="172"/>
      <c r="Z76" s="168"/>
      <c r="AA76" s="168"/>
      <c r="AB76" s="177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168"/>
      <c r="BD76" s="168"/>
      <c r="BE76" s="168"/>
      <c r="BF76" s="168"/>
      <c r="BG76" s="168"/>
      <c r="BH76" s="168"/>
      <c r="BI76" s="168"/>
      <c r="BJ76" s="168"/>
      <c r="BK76" s="168"/>
      <c r="BL76" s="168"/>
      <c r="BM76" s="168"/>
      <c r="BN76" s="168"/>
      <c r="BO76" s="168"/>
      <c r="BP76" s="168"/>
      <c r="BQ76" s="168"/>
      <c r="BR76" s="168"/>
      <c r="BS76" s="168"/>
      <c r="BT76" s="168"/>
      <c r="BU76" s="168"/>
      <c r="BV76" s="168"/>
      <c r="BW76" s="168"/>
      <c r="BX76" s="168"/>
      <c r="BY76" s="168"/>
      <c r="BZ76" s="168"/>
      <c r="CA76" s="168"/>
      <c r="CB76" s="168"/>
      <c r="CC76" s="168"/>
      <c r="CD76" s="168"/>
      <c r="CE76" s="168"/>
      <c r="CF76" s="168"/>
      <c r="CG76" s="168"/>
      <c r="CH76" s="168"/>
      <c r="CI76" s="168"/>
      <c r="CJ76" s="168"/>
      <c r="CK76" s="168"/>
      <c r="CL76" s="168"/>
      <c r="CM76" s="168"/>
      <c r="CN76" s="168"/>
      <c r="CO76" s="168"/>
      <c r="CP76" s="168"/>
      <c r="CQ76" s="168"/>
      <c r="CR76" s="168"/>
      <c r="CS76" s="168"/>
      <c r="CT76" s="168"/>
      <c r="CU76" s="168"/>
      <c r="CV76" s="168"/>
    </row>
    <row r="77" spans="1:100" s="155" customFormat="1" ht="10.5" customHeight="1" x14ac:dyDescent="0.5">
      <c r="A77" s="168"/>
      <c r="B77" s="168"/>
      <c r="C77" s="168"/>
      <c r="D77" s="168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72"/>
      <c r="Z77" s="168"/>
      <c r="AA77" s="168"/>
      <c r="AB77" s="177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168"/>
      <c r="AX77" s="168"/>
      <c r="AY77" s="168"/>
      <c r="AZ77" s="168"/>
      <c r="BA77" s="168"/>
      <c r="BB77" s="168"/>
      <c r="BC77" s="168"/>
      <c r="BD77" s="168"/>
      <c r="BE77" s="168"/>
      <c r="BF77" s="168"/>
      <c r="BG77" s="168"/>
      <c r="BH77" s="168"/>
      <c r="BI77" s="168"/>
      <c r="BJ77" s="168"/>
      <c r="BK77" s="168"/>
      <c r="BL77" s="168"/>
      <c r="BM77" s="168"/>
      <c r="BN77" s="168"/>
      <c r="BO77" s="168"/>
      <c r="BP77" s="168"/>
      <c r="BQ77" s="168"/>
      <c r="BR77" s="168"/>
      <c r="BS77" s="168"/>
      <c r="BT77" s="168"/>
      <c r="BU77" s="168"/>
      <c r="BV77" s="168"/>
      <c r="BW77" s="168"/>
      <c r="BX77" s="168"/>
      <c r="BY77" s="168"/>
      <c r="BZ77" s="168"/>
      <c r="CA77" s="168"/>
      <c r="CB77" s="168"/>
      <c r="CC77" s="168"/>
      <c r="CD77" s="168"/>
      <c r="CE77" s="168"/>
      <c r="CF77" s="168"/>
      <c r="CG77" s="168"/>
      <c r="CH77" s="168"/>
      <c r="CI77" s="168"/>
      <c r="CJ77" s="168"/>
      <c r="CK77" s="168"/>
      <c r="CL77" s="168"/>
      <c r="CM77" s="168"/>
      <c r="CN77" s="168"/>
      <c r="CO77" s="168"/>
      <c r="CP77" s="168"/>
      <c r="CQ77" s="168"/>
      <c r="CR77" s="168"/>
      <c r="CS77" s="168"/>
      <c r="CT77" s="168"/>
      <c r="CU77" s="168"/>
      <c r="CV77" s="168"/>
    </row>
    <row r="78" spans="1:100" s="155" customFormat="1" ht="10.5" customHeight="1" x14ac:dyDescent="0.5">
      <c r="A78" s="168"/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72"/>
      <c r="Z78" s="168"/>
      <c r="AA78" s="168"/>
      <c r="AB78" s="177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68"/>
      <c r="BF78" s="168"/>
      <c r="BG78" s="168"/>
      <c r="BH78" s="168"/>
      <c r="BI78" s="168"/>
      <c r="BJ78" s="168"/>
      <c r="BK78" s="168"/>
      <c r="BL78" s="168"/>
      <c r="BM78" s="168"/>
      <c r="BN78" s="168"/>
      <c r="BO78" s="168"/>
      <c r="BP78" s="168"/>
      <c r="BQ78" s="168"/>
      <c r="BR78" s="168"/>
      <c r="BS78" s="168"/>
      <c r="BT78" s="168"/>
      <c r="BU78" s="168"/>
      <c r="BV78" s="168"/>
      <c r="BW78" s="168"/>
      <c r="BX78" s="168"/>
      <c r="BY78" s="168"/>
      <c r="BZ78" s="168"/>
      <c r="CA78" s="168"/>
      <c r="CB78" s="168"/>
      <c r="CC78" s="168"/>
      <c r="CD78" s="168"/>
      <c r="CE78" s="168"/>
      <c r="CF78" s="168"/>
      <c r="CG78" s="168"/>
      <c r="CH78" s="168"/>
      <c r="CI78" s="168"/>
      <c r="CJ78" s="168"/>
      <c r="CK78" s="168"/>
      <c r="CL78" s="168"/>
      <c r="CM78" s="168"/>
      <c r="CN78" s="168"/>
      <c r="CO78" s="168"/>
      <c r="CP78" s="168"/>
      <c r="CQ78" s="168"/>
      <c r="CR78" s="168"/>
      <c r="CS78" s="168"/>
      <c r="CT78" s="168"/>
      <c r="CU78" s="168"/>
      <c r="CV78" s="168"/>
    </row>
    <row r="79" spans="1:100" s="155" customFormat="1" ht="39.75" customHeight="1" x14ac:dyDescent="0.5">
      <c r="A79" s="168"/>
      <c r="B79" s="168"/>
      <c r="C79" s="168"/>
      <c r="D79" s="168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>
        <f>IF(Q83&gt;=0.5,4,IF(AND(Q83&lt;0.5,Q83&gt;0.4),2,IF(AND(Q83&lt;0.4,Q83&gt;0.25),1,0)))</f>
        <v>4</v>
      </c>
      <c r="R79" s="168"/>
      <c r="S79" s="168"/>
      <c r="T79" s="168"/>
      <c r="U79" s="168">
        <f>IF(U73&gt;=0.5,4,IF(AND(U73&lt;0.5,U73&gt;0.4),2,IF(AND(U73&lt;0.4,U73&gt;0.25),1,0)))</f>
        <v>2</v>
      </c>
      <c r="V79" s="168"/>
      <c r="W79" s="168">
        <f>IF(W73&gt;=0.5,4,IF(AND(W73&lt;0.5,W73&gt;0.4),2,IF(AND(W73&lt;0.4,W73&gt;0.25),1,0)))</f>
        <v>4</v>
      </c>
      <c r="X79" s="168"/>
      <c r="Y79" s="172"/>
      <c r="Z79" s="168"/>
      <c r="AA79" s="168">
        <f>IF(AA83&gt;=0.5,4,IF(AND(AA83&lt;0.5,AA83&gt;0.4),2,IF(AND(AA83&lt;0.4,AA83&gt;0.25),1,0)))</f>
        <v>4</v>
      </c>
      <c r="AB79" s="177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8"/>
      <c r="AY79" s="168"/>
      <c r="AZ79" s="168"/>
      <c r="BA79" s="168"/>
      <c r="BB79" s="168"/>
      <c r="BC79" s="168"/>
      <c r="BD79" s="168"/>
      <c r="BE79" s="168"/>
      <c r="BF79" s="168"/>
      <c r="BG79" s="168"/>
      <c r="BH79" s="168"/>
      <c r="BI79" s="168"/>
      <c r="BJ79" s="168"/>
      <c r="BK79" s="168"/>
      <c r="BL79" s="168"/>
      <c r="BM79" s="168"/>
      <c r="BN79" s="168"/>
      <c r="BO79" s="168"/>
      <c r="BP79" s="168"/>
      <c r="BQ79" s="168"/>
      <c r="BR79" s="168"/>
      <c r="BS79" s="168"/>
      <c r="BT79" s="168"/>
      <c r="BU79" s="168"/>
      <c r="BV79" s="168"/>
      <c r="BW79" s="168"/>
      <c r="BX79" s="168"/>
      <c r="BY79" s="168"/>
      <c r="BZ79" s="168"/>
      <c r="CA79" s="168"/>
      <c r="CB79" s="168"/>
      <c r="CC79" s="168"/>
      <c r="CD79" s="168"/>
      <c r="CE79" s="168"/>
      <c r="CF79" s="168"/>
      <c r="CG79" s="168"/>
      <c r="CH79" s="168"/>
      <c r="CI79" s="168"/>
      <c r="CJ79" s="168"/>
      <c r="CK79" s="168"/>
      <c r="CL79" s="168"/>
      <c r="CM79" s="168"/>
      <c r="CN79" s="168"/>
      <c r="CO79" s="168"/>
      <c r="CP79" s="168"/>
      <c r="CQ79" s="168"/>
      <c r="CR79" s="168"/>
      <c r="CS79" s="168"/>
      <c r="CT79" s="168"/>
      <c r="CU79" s="168"/>
      <c r="CV79" s="168"/>
    </row>
    <row r="80" spans="1:100" s="155" customFormat="1" ht="10.5" customHeight="1" x14ac:dyDescent="0.5">
      <c r="A80" s="168"/>
      <c r="B80" s="168"/>
      <c r="C80" s="168"/>
      <c r="D80" s="168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72"/>
      <c r="Z80" s="168"/>
      <c r="AA80" s="168"/>
      <c r="AB80" s="177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S80" s="168"/>
      <c r="AT80" s="168"/>
      <c r="AU80" s="168"/>
      <c r="AV80" s="168"/>
      <c r="AW80" s="168"/>
      <c r="AX80" s="168"/>
      <c r="AY80" s="168"/>
      <c r="AZ80" s="168"/>
      <c r="BA80" s="168"/>
      <c r="BB80" s="168"/>
      <c r="BC80" s="168"/>
      <c r="BD80" s="168"/>
      <c r="BE80" s="168"/>
      <c r="BF80" s="168"/>
      <c r="BG80" s="168"/>
      <c r="BH80" s="168"/>
      <c r="BI80" s="168"/>
      <c r="BJ80" s="168"/>
      <c r="BK80" s="168"/>
      <c r="BL80" s="168"/>
      <c r="BM80" s="168"/>
      <c r="BN80" s="168"/>
      <c r="BO80" s="168"/>
      <c r="BP80" s="168"/>
      <c r="BQ80" s="168"/>
      <c r="BR80" s="168"/>
      <c r="BS80" s="168"/>
      <c r="BT80" s="168"/>
      <c r="BU80" s="168"/>
      <c r="BV80" s="168"/>
      <c r="BW80" s="168"/>
      <c r="BX80" s="168"/>
      <c r="BY80" s="168"/>
      <c r="BZ80" s="168"/>
      <c r="CA80" s="168"/>
      <c r="CB80" s="168"/>
      <c r="CC80" s="168"/>
      <c r="CD80" s="168"/>
      <c r="CE80" s="168"/>
      <c r="CF80" s="168"/>
      <c r="CG80" s="168"/>
      <c r="CH80" s="168"/>
      <c r="CI80" s="168"/>
      <c r="CJ80" s="168"/>
      <c r="CK80" s="168"/>
      <c r="CL80" s="168"/>
      <c r="CM80" s="168"/>
      <c r="CN80" s="168"/>
      <c r="CO80" s="168"/>
      <c r="CP80" s="168"/>
      <c r="CQ80" s="168"/>
      <c r="CR80" s="168"/>
      <c r="CS80" s="168"/>
      <c r="CT80" s="168"/>
      <c r="CU80" s="168"/>
      <c r="CV80" s="168"/>
    </row>
    <row r="81" spans="1:100" s="155" customFormat="1" ht="10.5" customHeight="1" x14ac:dyDescent="0.5">
      <c r="A81" s="168"/>
      <c r="B81" s="168"/>
      <c r="C81" s="168"/>
      <c r="D81" s="168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72"/>
      <c r="Z81" s="168"/>
      <c r="AA81" s="168"/>
      <c r="AB81" s="177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C81" s="168"/>
      <c r="BD81" s="168"/>
      <c r="BE81" s="168"/>
      <c r="BF81" s="168"/>
      <c r="BG81" s="168"/>
      <c r="BH81" s="168"/>
      <c r="BI81" s="168"/>
      <c r="BJ81" s="168"/>
      <c r="BK81" s="168"/>
      <c r="BL81" s="168"/>
      <c r="BM81" s="168"/>
      <c r="BN81" s="168"/>
      <c r="BO81" s="168"/>
      <c r="BP81" s="168"/>
      <c r="BQ81" s="168"/>
      <c r="BR81" s="168"/>
      <c r="BS81" s="168"/>
      <c r="BT81" s="168"/>
      <c r="BU81" s="168"/>
      <c r="BV81" s="168"/>
      <c r="BW81" s="168"/>
      <c r="BX81" s="168"/>
      <c r="BY81" s="168"/>
      <c r="BZ81" s="168"/>
      <c r="CA81" s="168"/>
      <c r="CB81" s="168"/>
      <c r="CC81" s="168"/>
      <c r="CD81" s="168"/>
      <c r="CE81" s="168"/>
      <c r="CF81" s="168"/>
      <c r="CG81" s="168"/>
      <c r="CH81" s="168"/>
      <c r="CI81" s="168"/>
      <c r="CJ81" s="168"/>
      <c r="CK81" s="168"/>
      <c r="CL81" s="168"/>
      <c r="CM81" s="168"/>
      <c r="CN81" s="168"/>
      <c r="CO81" s="168"/>
      <c r="CP81" s="168"/>
      <c r="CQ81" s="168"/>
      <c r="CR81" s="168"/>
      <c r="CS81" s="168"/>
      <c r="CT81" s="168"/>
      <c r="CU81" s="168"/>
      <c r="CV81" s="168"/>
    </row>
    <row r="82" spans="1:100" s="155" customFormat="1" ht="39.75" customHeight="1" x14ac:dyDescent="0.5">
      <c r="A82" s="177">
        <v>2</v>
      </c>
      <c r="B82" s="156" t="str">
        <f>IF(OR($B$3=2012,$B$3=2014),"Oklahoma City Thunder",IF($B$3=2015,"Houston Rockets",IF($B$3=2018,"Golden State Warriors",IF(OR($B$3=2009,$B$3=2019),"Denver Nuggets",IF($B$3=2020,"Los Angeles Clippers",IF(OR($B$3=2007,$B$3=2006),"Phoenix Suns",IF(OR($B$3=2004,$B$3=2011),"Los Angeles Lakers",IF($B$3=2010,"Dallas Mavericks",IF($B$3=2003,"Sacramento Kings",IF($B$3=2008,"New Orleans Pelicans","San Antonio Spurs"))))))))))</f>
        <v>Oklahoma City Thunder</v>
      </c>
      <c r="C82" s="168"/>
      <c r="D82" s="168"/>
      <c r="E82" s="168"/>
      <c r="F82" s="168"/>
      <c r="G82" s="168"/>
      <c r="H82" s="168"/>
      <c r="I82" s="168"/>
      <c r="J82" s="168"/>
      <c r="K82" s="168"/>
      <c r="L82" s="157" t="str">
        <f>IF(OR($B$3=2007,$B$3=2017,$B$3=2015),"Cleveland Cavaliers",IF(OR($B$3=2009,$B$3=2018),"Boston Celtics",IF(OR($B$3=2016,$B$3=2020,$B$3=2019),"Toronto Raptors",IF($B$3=2013,"New York Knicks", IF($B$3=2010,"Orlando Magic", IF(OR($B$3=2008,$B$3=2005),"Detroit Pistons",IF(OR($B$3=2004,$B$3=2003),"Brooklyn Nets","Miami Heat")))))))</f>
        <v>Miami Heat</v>
      </c>
      <c r="M82" s="177">
        <v>2</v>
      </c>
      <c r="N82" s="168"/>
      <c r="O82" s="168"/>
      <c r="P82" s="177">
        <v>2</v>
      </c>
      <c r="Q82" s="156" t="str">
        <f>B82</f>
        <v>Oklahoma City Thunder</v>
      </c>
      <c r="R82" s="168"/>
      <c r="S82" s="168"/>
      <c r="T82" s="168"/>
      <c r="U82" s="168"/>
      <c r="V82" s="168"/>
      <c r="W82" s="168"/>
      <c r="X82" s="168"/>
      <c r="Y82" s="172"/>
      <c r="Z82" s="168"/>
      <c r="AA82" s="157" t="str">
        <f>L82</f>
        <v>Miami Heat</v>
      </c>
      <c r="AB82" s="177">
        <v>2</v>
      </c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T82" s="168"/>
      <c r="AU82" s="168"/>
      <c r="AV82" s="168"/>
      <c r="AW82" s="168"/>
      <c r="AX82" s="168"/>
      <c r="AY82" s="168"/>
      <c r="AZ82" s="168"/>
      <c r="BA82" s="168"/>
      <c r="BB82" s="168"/>
      <c r="BC82" s="168"/>
      <c r="BD82" s="168"/>
      <c r="BE82" s="168"/>
      <c r="BF82" s="168"/>
      <c r="BG82" s="168"/>
      <c r="BH82" s="168"/>
      <c r="BI82" s="168"/>
      <c r="BJ82" s="168"/>
      <c r="BK82" s="168"/>
      <c r="BL82" s="168"/>
      <c r="BM82" s="168"/>
      <c r="BN82" s="168"/>
      <c r="BO82" s="168"/>
      <c r="BP82" s="168"/>
      <c r="BQ82" s="168"/>
      <c r="BR82" s="168"/>
      <c r="BS82" s="168"/>
      <c r="BT82" s="168"/>
      <c r="BU82" s="168"/>
      <c r="BV82" s="168"/>
      <c r="BW82" s="168"/>
      <c r="BX82" s="168"/>
      <c r="BY82" s="168"/>
      <c r="BZ82" s="168"/>
      <c r="CA82" s="168"/>
      <c r="CB82" s="168"/>
      <c r="CC82" s="168"/>
      <c r="CD82" s="168"/>
      <c r="CE82" s="168"/>
      <c r="CF82" s="168"/>
      <c r="CG82" s="168"/>
      <c r="CH82" s="168"/>
      <c r="CI82" s="168"/>
      <c r="CJ82" s="168"/>
      <c r="CK82" s="168"/>
      <c r="CL82" s="168"/>
      <c r="CM82" s="168"/>
      <c r="CN82" s="168"/>
      <c r="CO82" s="168"/>
      <c r="CP82" s="168"/>
      <c r="CQ82" s="168"/>
      <c r="CR82" s="168"/>
      <c r="CS82" s="168"/>
      <c r="CT82" s="168"/>
      <c r="CU82" s="168"/>
      <c r="CV82" s="168"/>
    </row>
    <row r="83" spans="1:100" s="155" customFormat="1" ht="10.5" customHeight="1" x14ac:dyDescent="0.5">
      <c r="A83" s="168"/>
      <c r="B83" s="168"/>
      <c r="C83" s="168"/>
      <c r="D83" s="168"/>
      <c r="E83" s="168"/>
      <c r="F83" s="168"/>
      <c r="G83" s="168"/>
      <c r="H83" s="168"/>
      <c r="I83" s="168"/>
      <c r="J83" s="168"/>
      <c r="K83" s="168"/>
      <c r="L83" s="168"/>
      <c r="M83" s="177"/>
      <c r="N83" s="168"/>
      <c r="O83" s="168"/>
      <c r="P83" s="177"/>
      <c r="Q83" s="285">
        <f>INDEX('Historical Snapshot'!$D$55:$AH$84,MATCH(Q82,'Historical Snapshot'!$C$55:$C$84,0),MATCH(Q94,'Historical Snapshot'!$D$54:$AH$54,0))</f>
        <v>0.65377962881644403</v>
      </c>
      <c r="R83" s="168"/>
      <c r="S83" s="168"/>
      <c r="T83" s="168"/>
      <c r="U83" s="168"/>
      <c r="V83" s="168"/>
      <c r="W83" s="168"/>
      <c r="X83" s="168"/>
      <c r="Y83" s="172"/>
      <c r="Z83" s="168"/>
      <c r="AA83" s="285">
        <f>IFERROR(INDEX('Historical Snapshot'!$D$55:$AH$84,MATCH(AA82,'Historical Snapshot'!$C$55:$C$84,0),MATCH(AA94,'Historical Snapshot'!$D$54:$AH$54,0)),INDEX('Historical Snapshot'!$D$55:$AH$84,MATCH(AA82,'Historical Snapshot'!$C$55:$C$84,0),MATCH("Charlotte Bobcats",'Historical Snapshot'!$D$54:$AH$54,0)))</f>
        <v>0.71856698298230026</v>
      </c>
      <c r="AB83" s="177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T83" s="168"/>
      <c r="AU83" s="168"/>
      <c r="AV83" s="168"/>
      <c r="AW83" s="168"/>
      <c r="AX83" s="168"/>
      <c r="AY83" s="168"/>
      <c r="AZ83" s="168"/>
      <c r="BA83" s="168"/>
      <c r="BB83" s="168"/>
      <c r="BC83" s="168"/>
      <c r="BD83" s="168"/>
      <c r="BE83" s="168"/>
      <c r="BF83" s="168"/>
      <c r="BG83" s="168"/>
      <c r="BH83" s="168"/>
      <c r="BI83" s="168"/>
      <c r="BJ83" s="168"/>
      <c r="BK83" s="168"/>
      <c r="BL83" s="168"/>
      <c r="BM83" s="168"/>
      <c r="BN83" s="168"/>
      <c r="BO83" s="168"/>
      <c r="BP83" s="168"/>
      <c r="BQ83" s="168"/>
      <c r="BR83" s="168"/>
      <c r="BS83" s="168"/>
      <c r="BT83" s="168"/>
      <c r="BU83" s="168"/>
      <c r="BV83" s="168"/>
      <c r="BW83" s="168"/>
      <c r="BX83" s="168"/>
      <c r="BY83" s="168"/>
      <c r="BZ83" s="168"/>
      <c r="CA83" s="168"/>
      <c r="CB83" s="168"/>
      <c r="CC83" s="168"/>
      <c r="CD83" s="168"/>
      <c r="CE83" s="168"/>
      <c r="CF83" s="168"/>
      <c r="CG83" s="168"/>
      <c r="CH83" s="168"/>
      <c r="CI83" s="168"/>
      <c r="CJ83" s="168"/>
      <c r="CK83" s="168"/>
      <c r="CL83" s="168"/>
      <c r="CM83" s="168"/>
      <c r="CN83" s="168"/>
      <c r="CO83" s="168"/>
      <c r="CP83" s="168"/>
      <c r="CQ83" s="168"/>
      <c r="CR83" s="168"/>
      <c r="CS83" s="168"/>
      <c r="CT83" s="168"/>
      <c r="CU83" s="168"/>
      <c r="CV83" s="168"/>
    </row>
    <row r="84" spans="1:100" s="155" customFormat="1" ht="10.5" customHeight="1" x14ac:dyDescent="0.5">
      <c r="A84" s="168"/>
      <c r="B84" s="168"/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77"/>
      <c r="N84" s="168"/>
      <c r="O84" s="168"/>
      <c r="P84" s="177"/>
      <c r="Q84" s="283"/>
      <c r="R84" s="168"/>
      <c r="S84" s="168"/>
      <c r="T84" s="168"/>
      <c r="U84" s="168"/>
      <c r="V84" s="168"/>
      <c r="W84" s="168"/>
      <c r="X84" s="168"/>
      <c r="Y84" s="172"/>
      <c r="Z84" s="168"/>
      <c r="AA84" s="283"/>
      <c r="AB84" s="177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T84" s="168"/>
      <c r="AU84" s="168"/>
      <c r="AV84" s="168"/>
      <c r="AW84" s="168"/>
      <c r="AX84" s="168"/>
      <c r="AY84" s="168"/>
      <c r="AZ84" s="168"/>
      <c r="BA84" s="168"/>
      <c r="BB84" s="168"/>
      <c r="BC84" s="168"/>
      <c r="BD84" s="168"/>
      <c r="BE84" s="168"/>
      <c r="BF84" s="168"/>
      <c r="BG84" s="168"/>
      <c r="BH84" s="168"/>
      <c r="BI84" s="168"/>
      <c r="BJ84" s="168"/>
      <c r="BK84" s="168"/>
      <c r="BL84" s="168"/>
      <c r="BM84" s="168"/>
      <c r="BN84" s="168"/>
      <c r="BO84" s="168"/>
      <c r="BP84" s="168"/>
      <c r="BQ84" s="168"/>
      <c r="BR84" s="168"/>
      <c r="BS84" s="168"/>
      <c r="BT84" s="168"/>
      <c r="BU84" s="168"/>
      <c r="BV84" s="168"/>
      <c r="BW84" s="168"/>
      <c r="BX84" s="168"/>
      <c r="BY84" s="168"/>
      <c r="BZ84" s="168"/>
      <c r="CA84" s="168"/>
      <c r="CB84" s="168"/>
      <c r="CC84" s="168"/>
      <c r="CD84" s="168"/>
      <c r="CE84" s="168"/>
      <c r="CF84" s="168"/>
      <c r="CG84" s="168"/>
      <c r="CH84" s="168"/>
      <c r="CI84" s="168"/>
      <c r="CJ84" s="168"/>
      <c r="CK84" s="168"/>
      <c r="CL84" s="168"/>
      <c r="CM84" s="168"/>
      <c r="CN84" s="168"/>
      <c r="CO84" s="168"/>
      <c r="CP84" s="168"/>
      <c r="CQ84" s="168"/>
      <c r="CR84" s="168"/>
      <c r="CS84" s="168"/>
      <c r="CT84" s="168"/>
      <c r="CU84" s="168"/>
      <c r="CV84" s="168"/>
    </row>
    <row r="85" spans="1:100" s="155" customFormat="1" ht="39.75" customHeight="1" x14ac:dyDescent="0.5">
      <c r="A85" s="168"/>
      <c r="B85" s="168">
        <f>IF($B$3=2010,2,4)</f>
        <v>4</v>
      </c>
      <c r="C85" s="168"/>
      <c r="D85" s="168">
        <f>IF(OR($B$3=2007,$B$3=2016),2,IF(OR($B$3=2011,$B$3=2010),0,IF(OR($B$3=2003,$B$3=2008,$B$3=2020,$B$3=2019),3,4)))</f>
        <v>4</v>
      </c>
      <c r="E85" s="168"/>
      <c r="F85" s="168"/>
      <c r="G85" s="168"/>
      <c r="H85" s="168"/>
      <c r="I85" s="168"/>
      <c r="J85" s="168">
        <f>IF(OR($B$3=2004,$B$3=2009,$B$3=2020),3,IF($B$3=2013,2,4))</f>
        <v>4</v>
      </c>
      <c r="K85" s="168"/>
      <c r="L85" s="168">
        <v>4</v>
      </c>
      <c r="M85" s="177"/>
      <c r="N85" s="168"/>
      <c r="O85" s="168"/>
      <c r="P85" s="177"/>
      <c r="Q85" s="283"/>
      <c r="R85" s="168"/>
      <c r="S85" s="283">
        <f>1-S65</f>
        <v>0.46291182929023089</v>
      </c>
      <c r="T85" s="168"/>
      <c r="U85" s="168"/>
      <c r="V85" s="168"/>
      <c r="W85" s="168"/>
      <c r="X85" s="168"/>
      <c r="Y85" s="283">
        <f>1-Y66</f>
        <v>0.55568493368781613</v>
      </c>
      <c r="Z85" s="168"/>
      <c r="AA85" s="283"/>
      <c r="AB85" s="177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T85" s="168"/>
      <c r="AU85" s="168"/>
      <c r="AV85" s="168"/>
      <c r="AW85" s="168"/>
      <c r="AX85" s="168"/>
      <c r="AY85" s="168"/>
      <c r="AZ85" s="168"/>
      <c r="BA85" s="168"/>
      <c r="BB85" s="168"/>
      <c r="BC85" s="168"/>
      <c r="BD85" s="168"/>
      <c r="BE85" s="168"/>
      <c r="BF85" s="168"/>
      <c r="BG85" s="168"/>
      <c r="BH85" s="168"/>
      <c r="BI85" s="168"/>
      <c r="BJ85" s="168"/>
      <c r="BK85" s="168"/>
      <c r="BL85" s="168"/>
      <c r="BM85" s="168"/>
      <c r="BN85" s="168"/>
      <c r="BO85" s="168"/>
      <c r="BP85" s="168"/>
      <c r="BQ85" s="168"/>
      <c r="BR85" s="168"/>
      <c r="BS85" s="168"/>
      <c r="BT85" s="168"/>
      <c r="BU85" s="168"/>
      <c r="BV85" s="168"/>
      <c r="BW85" s="168"/>
      <c r="BX85" s="168"/>
      <c r="BY85" s="168"/>
      <c r="BZ85" s="168"/>
      <c r="CA85" s="168"/>
      <c r="CB85" s="168"/>
      <c r="CC85" s="168"/>
      <c r="CD85" s="168"/>
      <c r="CE85" s="168"/>
      <c r="CF85" s="168"/>
      <c r="CG85" s="168"/>
      <c r="CH85" s="168"/>
      <c r="CI85" s="168"/>
      <c r="CJ85" s="168"/>
      <c r="CK85" s="168"/>
      <c r="CL85" s="168"/>
      <c r="CM85" s="168"/>
      <c r="CN85" s="168"/>
      <c r="CO85" s="168"/>
      <c r="CP85" s="168"/>
      <c r="CQ85" s="168"/>
      <c r="CR85" s="168"/>
      <c r="CS85" s="168"/>
      <c r="CT85" s="168"/>
      <c r="CU85" s="168"/>
      <c r="CV85" s="168"/>
    </row>
    <row r="86" spans="1:100" s="155" customFormat="1" ht="10.5" customHeight="1" x14ac:dyDescent="0.5">
      <c r="A86" s="168"/>
      <c r="B86" s="168"/>
      <c r="C86" s="168"/>
      <c r="D86" s="168"/>
      <c r="E86" s="168"/>
      <c r="F86" s="168"/>
      <c r="G86" s="168"/>
      <c r="H86" s="168"/>
      <c r="I86" s="168"/>
      <c r="J86" s="168"/>
      <c r="K86" s="168"/>
      <c r="L86" s="168"/>
      <c r="M86" s="177"/>
      <c r="N86" s="168"/>
      <c r="O86" s="168"/>
      <c r="P86" s="177"/>
      <c r="Q86" s="168"/>
      <c r="R86" s="168"/>
      <c r="S86" s="283"/>
      <c r="T86" s="168"/>
      <c r="U86" s="168"/>
      <c r="V86" s="168"/>
      <c r="W86" s="168"/>
      <c r="X86" s="168"/>
      <c r="Y86" s="283"/>
      <c r="Z86" s="168"/>
      <c r="AA86" s="168"/>
      <c r="AB86" s="177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8"/>
      <c r="AT86" s="168"/>
      <c r="AU86" s="168"/>
      <c r="AV86" s="168"/>
      <c r="AW86" s="168"/>
      <c r="AX86" s="168"/>
      <c r="AY86" s="168"/>
      <c r="AZ86" s="168"/>
      <c r="BA86" s="168"/>
      <c r="BB86" s="168"/>
      <c r="BC86" s="168"/>
      <c r="BD86" s="168"/>
      <c r="BE86" s="168"/>
      <c r="BF86" s="168"/>
      <c r="BG86" s="168"/>
      <c r="BH86" s="168"/>
      <c r="BI86" s="168"/>
      <c r="BJ86" s="168"/>
      <c r="BK86" s="168"/>
      <c r="BL86" s="168"/>
      <c r="BM86" s="168"/>
      <c r="BN86" s="168"/>
      <c r="BO86" s="168"/>
      <c r="BP86" s="168"/>
      <c r="BQ86" s="168"/>
      <c r="BR86" s="168"/>
      <c r="BS86" s="168"/>
      <c r="BT86" s="168"/>
      <c r="BU86" s="168"/>
      <c r="BV86" s="168"/>
      <c r="BW86" s="168"/>
      <c r="BX86" s="168"/>
      <c r="BY86" s="168"/>
      <c r="BZ86" s="168"/>
      <c r="CA86" s="168"/>
      <c r="CB86" s="168"/>
      <c r="CC86" s="168"/>
      <c r="CD86" s="168"/>
      <c r="CE86" s="168"/>
      <c r="CF86" s="168"/>
      <c r="CG86" s="168"/>
      <c r="CH86" s="168"/>
      <c r="CI86" s="168"/>
      <c r="CJ86" s="168"/>
      <c r="CK86" s="168"/>
      <c r="CL86" s="168"/>
      <c r="CM86" s="168"/>
      <c r="CN86" s="168"/>
      <c r="CO86" s="168"/>
      <c r="CP86" s="168"/>
      <c r="CQ86" s="168"/>
      <c r="CR86" s="168"/>
      <c r="CS86" s="168"/>
      <c r="CT86" s="168"/>
      <c r="CU86" s="168"/>
      <c r="CV86" s="168"/>
    </row>
    <row r="87" spans="1:100" s="155" customFormat="1" ht="10.5" customHeight="1" x14ac:dyDescent="0.5">
      <c r="A87" s="168"/>
      <c r="B87" s="168"/>
      <c r="C87" s="168"/>
      <c r="D87" s="168"/>
      <c r="E87" s="168"/>
      <c r="F87" s="168"/>
      <c r="G87" s="168"/>
      <c r="H87" s="168"/>
      <c r="I87" s="168"/>
      <c r="J87" s="168"/>
      <c r="K87" s="168"/>
      <c r="L87" s="168"/>
      <c r="M87" s="177"/>
      <c r="N87" s="168"/>
      <c r="O87" s="168"/>
      <c r="P87" s="177"/>
      <c r="Q87" s="168"/>
      <c r="R87" s="168"/>
      <c r="S87" s="284"/>
      <c r="T87" s="168"/>
      <c r="U87" s="168"/>
      <c r="V87" s="168"/>
      <c r="W87" s="168"/>
      <c r="X87" s="168"/>
      <c r="Y87" s="172"/>
      <c r="Z87" s="168"/>
      <c r="AA87" s="168"/>
      <c r="AB87" s="177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8"/>
      <c r="AT87" s="168"/>
      <c r="AU87" s="168"/>
      <c r="AV87" s="168"/>
      <c r="AW87" s="168"/>
      <c r="AX87" s="168"/>
      <c r="AY87" s="168"/>
      <c r="AZ87" s="168"/>
      <c r="BA87" s="168"/>
      <c r="BB87" s="168"/>
      <c r="BC87" s="168"/>
      <c r="BD87" s="168"/>
      <c r="BE87" s="168"/>
      <c r="BF87" s="168"/>
      <c r="BG87" s="168"/>
      <c r="BH87" s="168"/>
      <c r="BI87" s="168"/>
      <c r="BJ87" s="168"/>
      <c r="BK87" s="168"/>
      <c r="BL87" s="168"/>
      <c r="BM87" s="168"/>
      <c r="BN87" s="168"/>
      <c r="BO87" s="168"/>
      <c r="BP87" s="168"/>
      <c r="BQ87" s="168"/>
      <c r="BR87" s="168"/>
      <c r="BS87" s="168"/>
      <c r="BT87" s="168"/>
      <c r="BU87" s="168"/>
      <c r="BV87" s="168"/>
      <c r="BW87" s="168"/>
      <c r="BX87" s="168"/>
      <c r="BY87" s="168"/>
      <c r="BZ87" s="168"/>
      <c r="CA87" s="168"/>
      <c r="CB87" s="168"/>
      <c r="CC87" s="168"/>
      <c r="CD87" s="168"/>
      <c r="CE87" s="168"/>
      <c r="CF87" s="168"/>
      <c r="CG87" s="168"/>
      <c r="CH87" s="168"/>
      <c r="CI87" s="168"/>
      <c r="CJ87" s="168"/>
      <c r="CK87" s="168"/>
      <c r="CL87" s="168"/>
      <c r="CM87" s="168"/>
      <c r="CN87" s="168"/>
      <c r="CO87" s="168"/>
      <c r="CP87" s="168"/>
      <c r="CQ87" s="168"/>
      <c r="CR87" s="168"/>
      <c r="CS87" s="168"/>
      <c r="CT87" s="168"/>
      <c r="CU87" s="168"/>
      <c r="CV87" s="168"/>
    </row>
    <row r="88" spans="1:100" s="155" customFormat="1" ht="39.75" customHeight="1" x14ac:dyDescent="0.5">
      <c r="A88" s="168"/>
      <c r="B88" s="168"/>
      <c r="C88" s="168"/>
      <c r="D88" s="156" t="str">
        <f>IF($B$3=2010,B94,B82)</f>
        <v>Oklahoma City Thunder</v>
      </c>
      <c r="E88" s="168"/>
      <c r="F88" s="168"/>
      <c r="G88" s="168"/>
      <c r="H88" s="168"/>
      <c r="I88" s="168"/>
      <c r="J88" s="157" t="str">
        <f>L82</f>
        <v>Miami Heat</v>
      </c>
      <c r="K88" s="168"/>
      <c r="L88" s="168"/>
      <c r="M88" s="177"/>
      <c r="N88" s="168"/>
      <c r="O88" s="168"/>
      <c r="P88" s="177"/>
      <c r="Q88" s="168"/>
      <c r="R88" s="168"/>
      <c r="S88" s="156" t="str">
        <f>IF(Q83&gt;=0.5,Q82,Q94)</f>
        <v>Oklahoma City Thunder</v>
      </c>
      <c r="T88" s="168"/>
      <c r="U88" s="168"/>
      <c r="V88" s="168"/>
      <c r="W88" s="168"/>
      <c r="X88" s="168"/>
      <c r="Y88" s="158" t="str">
        <f>IF(AA83&gt;=0.5,AA82,AA94)</f>
        <v>Miami Heat</v>
      </c>
      <c r="Z88" s="168"/>
      <c r="AA88" s="168"/>
      <c r="AB88" s="177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T88" s="168"/>
      <c r="AU88" s="168"/>
      <c r="AV88" s="168"/>
      <c r="AW88" s="168"/>
      <c r="AX88" s="168"/>
      <c r="AY88" s="168"/>
      <c r="AZ88" s="168"/>
      <c r="BA88" s="168"/>
      <c r="BB88" s="168"/>
      <c r="BC88" s="168"/>
      <c r="BD88" s="168"/>
      <c r="BE88" s="168"/>
      <c r="BF88" s="168"/>
      <c r="BG88" s="168"/>
      <c r="BH88" s="168"/>
      <c r="BI88" s="168"/>
      <c r="BJ88" s="168"/>
      <c r="BK88" s="168"/>
      <c r="BL88" s="168"/>
      <c r="BM88" s="168"/>
      <c r="BN88" s="168"/>
      <c r="BO88" s="168"/>
      <c r="BP88" s="168"/>
      <c r="BQ88" s="168"/>
      <c r="BR88" s="168"/>
      <c r="BS88" s="168"/>
      <c r="BT88" s="168"/>
      <c r="BU88" s="168"/>
      <c r="BV88" s="168"/>
      <c r="BW88" s="168"/>
      <c r="BX88" s="168"/>
      <c r="BY88" s="168"/>
      <c r="BZ88" s="168"/>
      <c r="CA88" s="168"/>
      <c r="CB88" s="168"/>
      <c r="CC88" s="168"/>
      <c r="CD88" s="168"/>
      <c r="CE88" s="168"/>
      <c r="CF88" s="168"/>
      <c r="CG88" s="168"/>
      <c r="CH88" s="168"/>
      <c r="CI88" s="168"/>
      <c r="CJ88" s="168"/>
      <c r="CK88" s="168"/>
      <c r="CL88" s="168"/>
      <c r="CM88" s="168"/>
      <c r="CN88" s="168"/>
      <c r="CO88" s="168"/>
      <c r="CP88" s="168"/>
      <c r="CQ88" s="168"/>
      <c r="CR88" s="168"/>
      <c r="CS88" s="168"/>
      <c r="CT88" s="168"/>
      <c r="CU88" s="168"/>
      <c r="CV88" s="168"/>
    </row>
    <row r="89" spans="1:100" s="155" customFormat="1" ht="10.5" customHeight="1" x14ac:dyDescent="0.5">
      <c r="A89" s="168"/>
      <c r="B89" s="168"/>
      <c r="C89" s="168"/>
      <c r="D89" s="168"/>
      <c r="E89" s="168"/>
      <c r="F89" s="168"/>
      <c r="G89" s="168"/>
      <c r="H89" s="168"/>
      <c r="I89" s="168"/>
      <c r="J89" s="168"/>
      <c r="K89" s="168"/>
      <c r="L89" s="168"/>
      <c r="M89" s="177"/>
      <c r="N89" s="168"/>
      <c r="O89" s="168"/>
      <c r="P89" s="177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77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T89" s="168"/>
      <c r="AU89" s="168"/>
      <c r="AV89" s="168"/>
      <c r="AW89" s="168"/>
      <c r="AX89" s="168"/>
      <c r="AY89" s="168"/>
      <c r="AZ89" s="168"/>
      <c r="BA89" s="168"/>
      <c r="BB89" s="168"/>
      <c r="BC89" s="168"/>
      <c r="BD89" s="168"/>
      <c r="BE89" s="168"/>
      <c r="BF89" s="168"/>
      <c r="BG89" s="168"/>
      <c r="BH89" s="168"/>
      <c r="BI89" s="168"/>
      <c r="BJ89" s="168"/>
      <c r="BK89" s="168"/>
      <c r="BL89" s="168"/>
      <c r="BM89" s="168"/>
      <c r="BN89" s="168"/>
      <c r="BO89" s="168"/>
      <c r="BP89" s="168"/>
      <c r="BQ89" s="168"/>
      <c r="BR89" s="168"/>
      <c r="BS89" s="168"/>
      <c r="BT89" s="168"/>
      <c r="BU89" s="168"/>
      <c r="BV89" s="168"/>
      <c r="BW89" s="168"/>
      <c r="BX89" s="168"/>
      <c r="BY89" s="168"/>
      <c r="BZ89" s="168"/>
      <c r="CA89" s="168"/>
      <c r="CB89" s="168"/>
      <c r="CC89" s="168"/>
      <c r="CD89" s="168"/>
      <c r="CE89" s="168"/>
      <c r="CF89" s="168"/>
      <c r="CG89" s="168"/>
      <c r="CH89" s="168"/>
      <c r="CI89" s="168"/>
      <c r="CJ89" s="168"/>
      <c r="CK89" s="168"/>
      <c r="CL89" s="168"/>
      <c r="CM89" s="168"/>
      <c r="CN89" s="168"/>
      <c r="CO89" s="168"/>
      <c r="CP89" s="168"/>
      <c r="CQ89" s="168"/>
      <c r="CR89" s="168"/>
      <c r="CS89" s="168"/>
      <c r="CT89" s="168"/>
      <c r="CU89" s="168"/>
      <c r="CV89" s="168"/>
    </row>
    <row r="90" spans="1:100" s="155" customFormat="1" ht="10.5" customHeight="1" x14ac:dyDescent="0.5">
      <c r="A90" s="168"/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77"/>
      <c r="N90" s="168"/>
      <c r="O90" s="168"/>
      <c r="P90" s="177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77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8"/>
      <c r="BJ90" s="168"/>
      <c r="BK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</row>
    <row r="91" spans="1:100" s="155" customFormat="1" ht="39.75" customHeight="1" x14ac:dyDescent="0.5">
      <c r="A91" s="168"/>
      <c r="B91" s="168">
        <f>IF(OR($B$3=2012,$B$3=2013,$B$3=2016),0,IF($B$3=2010,4,IF(OR($B$3=2019,$B$3=2014,$B$3=2006),3,IF(OR($B$3=2011,$B$3=2020,$B$3=2017),2,1))))</f>
        <v>3</v>
      </c>
      <c r="C91" s="168"/>
      <c r="D91" s="168"/>
      <c r="E91" s="168"/>
      <c r="F91" s="168"/>
      <c r="G91" s="168"/>
      <c r="H91" s="168"/>
      <c r="I91" s="168"/>
      <c r="J91" s="168"/>
      <c r="K91" s="168"/>
      <c r="L91" s="168">
        <f>IF(OR($B$3=2005,$B$3=2011,$B$3=2005,$B$3=2019),1,IF(OR($B$3=2013,$B$3=2008,$B$3=2006,$B$3=2003),2,IF(OR($B$3=2016,$B$3=2018),3,0)))</f>
        <v>0</v>
      </c>
      <c r="M91" s="177"/>
      <c r="N91" s="168"/>
      <c r="O91" s="168"/>
      <c r="P91" s="177"/>
      <c r="Q91" s="283">
        <f>1-Q83</f>
        <v>0.34622037118355597</v>
      </c>
      <c r="R91" s="168"/>
      <c r="S91" s="168">
        <f>IF(S85&gt;=0.5,4,IF(AND(S85&lt;0.5,S85&gt;0.4),2,IF(AND(S85&lt;0.4,S85&gt;0.25),1,0)))</f>
        <v>2</v>
      </c>
      <c r="T91" s="168"/>
      <c r="U91" s="168"/>
      <c r="V91" s="168"/>
      <c r="W91" s="168"/>
      <c r="X91" s="168"/>
      <c r="Y91" s="168">
        <f>IF(Y85&gt;=0.5,4,IF(AND(Y85&lt;0.5,Y85&gt;0.4),2,IF(AND(Y85&lt;0.4,Y85&gt;0.25),1,0)))</f>
        <v>4</v>
      </c>
      <c r="Z91" s="168"/>
      <c r="AA91" s="283">
        <f>1-AA83</f>
        <v>0.28143301701769974</v>
      </c>
      <c r="AB91" s="177"/>
      <c r="AC91" s="168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68"/>
      <c r="BI91" s="168"/>
      <c r="BJ91" s="168"/>
      <c r="BK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</row>
    <row r="92" spans="1:100" s="155" customFormat="1" ht="10.5" customHeight="1" x14ac:dyDescent="0.5">
      <c r="A92" s="168"/>
      <c r="B92" s="168"/>
      <c r="C92" s="168"/>
      <c r="D92" s="168"/>
      <c r="E92" s="168"/>
      <c r="F92" s="168"/>
      <c r="G92" s="168"/>
      <c r="H92" s="168"/>
      <c r="I92" s="168"/>
      <c r="J92" s="168"/>
      <c r="K92" s="168"/>
      <c r="L92" s="168"/>
      <c r="M92" s="177"/>
      <c r="N92" s="168"/>
      <c r="O92" s="168"/>
      <c r="P92" s="177"/>
      <c r="Q92" s="283"/>
      <c r="R92" s="168"/>
      <c r="S92" s="168"/>
      <c r="T92" s="168"/>
      <c r="U92" s="168"/>
      <c r="V92" s="168"/>
      <c r="W92" s="168"/>
      <c r="X92" s="168"/>
      <c r="Y92" s="168"/>
      <c r="Z92" s="168"/>
      <c r="AA92" s="283"/>
      <c r="AB92" s="177"/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68"/>
      <c r="BI92" s="168"/>
      <c r="BJ92" s="168"/>
      <c r="BK92" s="168"/>
      <c r="BL92" s="168"/>
      <c r="BM92" s="168"/>
      <c r="BN92" s="168"/>
      <c r="BO92" s="168"/>
      <c r="BP92" s="168"/>
      <c r="BQ92" s="168"/>
      <c r="BR92" s="168"/>
      <c r="BS92" s="168"/>
      <c r="BT92" s="168"/>
      <c r="BU92" s="168"/>
      <c r="BV92" s="168"/>
      <c r="BW92" s="168"/>
      <c r="BX92" s="168"/>
      <c r="BY92" s="168"/>
      <c r="BZ92" s="168"/>
      <c r="CA92" s="168"/>
      <c r="CB92" s="168"/>
      <c r="CC92" s="168"/>
      <c r="CD92" s="168"/>
      <c r="CE92" s="168"/>
      <c r="CF92" s="168"/>
      <c r="CG92" s="168"/>
      <c r="CH92" s="168"/>
      <c r="CI92" s="168"/>
      <c r="CJ92" s="168"/>
      <c r="CK92" s="168"/>
      <c r="CL92" s="168"/>
      <c r="CM92" s="168"/>
      <c r="CN92" s="168"/>
      <c r="CO92" s="168"/>
      <c r="CP92" s="168"/>
      <c r="CQ92" s="168"/>
      <c r="CR92" s="168"/>
      <c r="CS92" s="168"/>
      <c r="CT92" s="168"/>
      <c r="CU92" s="168"/>
      <c r="CV92" s="168"/>
    </row>
    <row r="93" spans="1:100" s="155" customFormat="1" ht="10.5" customHeight="1" x14ac:dyDescent="0.5">
      <c r="A93" s="168"/>
      <c r="B93" s="16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77"/>
      <c r="N93" s="168"/>
      <c r="O93" s="168"/>
      <c r="P93" s="177"/>
      <c r="Q93" s="284"/>
      <c r="R93" s="168"/>
      <c r="S93" s="168"/>
      <c r="T93" s="168"/>
      <c r="U93" s="168"/>
      <c r="V93" s="168"/>
      <c r="W93" s="168"/>
      <c r="X93" s="168"/>
      <c r="Y93" s="168"/>
      <c r="Z93" s="168"/>
      <c r="AA93" s="284"/>
      <c r="AB93" s="177"/>
      <c r="AC93" s="168"/>
      <c r="AD93" s="168"/>
      <c r="AE93" s="168"/>
      <c r="AF93" s="168"/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68"/>
      <c r="BI93" s="168"/>
      <c r="BJ93" s="168"/>
      <c r="BK93" s="168"/>
      <c r="BL93" s="168"/>
      <c r="BM93" s="168"/>
      <c r="BN93" s="168"/>
      <c r="BO93" s="168"/>
      <c r="BP93" s="168"/>
      <c r="BQ93" s="168"/>
      <c r="BR93" s="168"/>
      <c r="BS93" s="168"/>
      <c r="BT93" s="168"/>
      <c r="BU93" s="168"/>
      <c r="BV93" s="168"/>
      <c r="BW93" s="168"/>
      <c r="BX93" s="168"/>
      <c r="BY93" s="168"/>
      <c r="BZ93" s="168"/>
      <c r="CA93" s="168"/>
      <c r="CB93" s="168"/>
      <c r="CC93" s="168"/>
      <c r="CD93" s="168"/>
      <c r="CE93" s="168"/>
      <c r="CF93" s="168"/>
      <c r="CG93" s="168"/>
      <c r="CH93" s="168"/>
      <c r="CI93" s="168"/>
      <c r="CJ93" s="168"/>
      <c r="CK93" s="168"/>
      <c r="CL93" s="168"/>
      <c r="CM93" s="168"/>
      <c r="CN93" s="168"/>
      <c r="CO93" s="168"/>
      <c r="CP93" s="168"/>
      <c r="CQ93" s="168"/>
      <c r="CR93" s="168"/>
      <c r="CS93" s="168"/>
      <c r="CT93" s="168"/>
      <c r="CU93" s="168"/>
      <c r="CV93" s="168"/>
    </row>
    <row r="94" spans="1:100" s="155" customFormat="1" ht="39.75" customHeight="1" x14ac:dyDescent="0.5">
      <c r="A94" s="177">
        <v>7</v>
      </c>
      <c r="B94" s="156" t="str">
        <f>IF(OR($B$3=2016,$B$3=2017,$B$3=2014),"Memphis Grizzlies",IF(OR($B$3=2020,$B$3=2015,$B$3=2012,$B$3=2008),"Dallas Mavericks",IF(OR($B$3=2019,$B$3=2018,$B$3=2010),"San Antonio Spurs",IF(OR($B$3=2011,$B$3=2009),"New Orleans Pelicans",IF($B$3=2005,"Denver Nuggets",IF($B$3=2004,"Houston Rockets",IF($B$3=2003,"Utah Jazz","Los Angeles Lakers")))))))</f>
        <v>Memphis Grizzlies</v>
      </c>
      <c r="C94" s="168"/>
      <c r="D94" s="168"/>
      <c r="E94" s="168"/>
      <c r="F94" s="168"/>
      <c r="G94" s="168"/>
      <c r="H94" s="168"/>
      <c r="I94" s="168"/>
      <c r="J94" s="168"/>
      <c r="K94" s="168"/>
      <c r="L94" s="157" t="str">
        <f>IF(OR($B$3=2010,$B$3=2014),"Charlotte Hornets",IF(OR($B$3=2013,$B$3=2015),"Boston Celtics",IF(OR($B$3=2017,$B$3=2016),"Indiana Pacers",IF(OR($B$3=2003,$B$3=2018),"Milwaukee Bucks",IF($B$3=2019,"Orlando Magic",IF($B$3=2020,"Brooklyn Nets",IF(OR($B$3=2012,$B$3=2004),"New York Knicks",IF(OR($B$3=2009,$B$3=2006),"Chicago Bulls",IF($B$3=2007,"Washington Wizards","Philadelphia 76ers")))))))))</f>
        <v>Charlotte Hornets</v>
      </c>
      <c r="M94" s="177">
        <v>7</v>
      </c>
      <c r="N94" s="168"/>
      <c r="O94" s="168"/>
      <c r="P94" s="177">
        <v>7</v>
      </c>
      <c r="Q94" s="156" t="str">
        <f>B94</f>
        <v>Memphis Grizzlies</v>
      </c>
      <c r="R94" s="168"/>
      <c r="S94" s="168"/>
      <c r="T94" s="168"/>
      <c r="U94" s="168"/>
      <c r="V94" s="168"/>
      <c r="W94" s="168"/>
      <c r="X94" s="168"/>
      <c r="Y94" s="168"/>
      <c r="Z94" s="168"/>
      <c r="AA94" s="157" t="str">
        <f>L94</f>
        <v>Charlotte Hornets</v>
      </c>
      <c r="AB94" s="177">
        <v>7</v>
      </c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  <c r="AV94" s="168"/>
      <c r="AW94" s="168"/>
      <c r="AX94" s="168"/>
      <c r="AY94" s="168"/>
      <c r="AZ94" s="168"/>
      <c r="BA94" s="168"/>
      <c r="BB94" s="168"/>
      <c r="BC94" s="168"/>
      <c r="BD94" s="168"/>
      <c r="BE94" s="168"/>
      <c r="BF94" s="168"/>
      <c r="BG94" s="168"/>
      <c r="BH94" s="168"/>
      <c r="BI94" s="168"/>
      <c r="BJ94" s="168"/>
      <c r="BK94" s="168"/>
      <c r="BL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168"/>
      <c r="CQ94" s="168"/>
      <c r="CR94" s="168"/>
      <c r="CS94" s="168"/>
      <c r="CT94" s="168"/>
      <c r="CU94" s="168"/>
      <c r="CV94" s="168"/>
    </row>
    <row r="95" spans="1:100" s="155" customFormat="1" ht="10.5" customHeight="1" x14ac:dyDescent="0.5">
      <c r="A95" s="168"/>
      <c r="B95" s="16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  <c r="AA95" s="168"/>
      <c r="AB95" s="168"/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  <c r="BI95" s="168"/>
      <c r="BJ95" s="168"/>
      <c r="BK95" s="168"/>
      <c r="BL95" s="168"/>
      <c r="BM95" s="168"/>
      <c r="BN95" s="168"/>
      <c r="BO95" s="168"/>
      <c r="BP95" s="168"/>
      <c r="BQ95" s="168"/>
      <c r="BR95" s="168"/>
      <c r="BS95" s="168"/>
      <c r="BT95" s="168"/>
      <c r="BU95" s="168"/>
      <c r="BV95" s="168"/>
      <c r="BW95" s="168"/>
      <c r="BX95" s="168"/>
      <c r="BY95" s="168"/>
      <c r="BZ95" s="168"/>
      <c r="CA95" s="168"/>
      <c r="CB95" s="168"/>
      <c r="CC95" s="168"/>
      <c r="CD95" s="168"/>
      <c r="CE95" s="168"/>
      <c r="CF95" s="168"/>
      <c r="CG95" s="168"/>
      <c r="CH95" s="168"/>
      <c r="CI95" s="168"/>
      <c r="CJ95" s="168"/>
      <c r="CK95" s="168"/>
      <c r="CL95" s="168"/>
      <c r="CM95" s="168"/>
      <c r="CN95" s="168"/>
      <c r="CO95" s="168"/>
      <c r="CP95" s="168"/>
      <c r="CQ95" s="168"/>
      <c r="CR95" s="168"/>
      <c r="CS95" s="168"/>
      <c r="CT95" s="168"/>
      <c r="CU95" s="168"/>
      <c r="CV95" s="168"/>
    </row>
    <row r="96" spans="1:100" s="155" customFormat="1" ht="10.5" customHeight="1" x14ac:dyDescent="0.5">
      <c r="A96" s="168"/>
      <c r="B96" s="168"/>
      <c r="C96" s="168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68"/>
      <c r="AE96" s="168"/>
      <c r="AF96" s="168"/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  <c r="AV96" s="168"/>
      <c r="AW96" s="168"/>
      <c r="AX96" s="168"/>
      <c r="AY96" s="168"/>
      <c r="AZ96" s="168"/>
      <c r="BA96" s="168"/>
      <c r="BB96" s="168"/>
      <c r="BC96" s="168"/>
      <c r="BD96" s="168"/>
      <c r="BE96" s="168"/>
      <c r="BF96" s="168"/>
      <c r="BG96" s="168"/>
      <c r="BH96" s="168"/>
      <c r="BI96" s="168"/>
      <c r="BJ96" s="168"/>
      <c r="BK96" s="168"/>
      <c r="BL96" s="168"/>
      <c r="BM96" s="168"/>
      <c r="BN96" s="168"/>
      <c r="BO96" s="168"/>
      <c r="BP96" s="168"/>
      <c r="BQ96" s="168"/>
      <c r="BR96" s="168"/>
      <c r="BS96" s="168"/>
      <c r="BT96" s="168"/>
      <c r="BU96" s="168"/>
      <c r="BV96" s="168"/>
      <c r="BW96" s="168"/>
      <c r="BX96" s="168"/>
      <c r="BY96" s="168"/>
      <c r="BZ96" s="168"/>
      <c r="CA96" s="168"/>
      <c r="CB96" s="168"/>
      <c r="CC96" s="168"/>
      <c r="CD96" s="168"/>
      <c r="CE96" s="168"/>
      <c r="CF96" s="168"/>
      <c r="CG96" s="168"/>
      <c r="CH96" s="168"/>
      <c r="CI96" s="168"/>
      <c r="CJ96" s="168"/>
      <c r="CK96" s="168"/>
      <c r="CL96" s="168"/>
      <c r="CM96" s="168"/>
      <c r="CN96" s="168"/>
      <c r="CO96" s="168"/>
      <c r="CP96" s="168"/>
      <c r="CQ96" s="168"/>
      <c r="CR96" s="168"/>
      <c r="CS96" s="168"/>
      <c r="CT96" s="168"/>
      <c r="CU96" s="168"/>
      <c r="CV96" s="168"/>
    </row>
    <row r="97" spans="1:100" s="155" customFormat="1" ht="39.75" customHeight="1" x14ac:dyDescent="0.5">
      <c r="A97" s="168"/>
      <c r="B97" s="168"/>
      <c r="C97" s="168"/>
      <c r="D97" s="168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>
        <f>IF(Q91&gt;=0.5,4,IF(AND(Q91&lt;0.5,Q91&gt;0.4),2,IF(AND(Q91&lt;0.4,Q91&gt;0.25),1,0)))</f>
        <v>1</v>
      </c>
      <c r="R97" s="168"/>
      <c r="S97" s="168"/>
      <c r="T97" s="168"/>
      <c r="U97" s="168"/>
      <c r="V97" s="168"/>
      <c r="W97" s="168"/>
      <c r="X97" s="168"/>
      <c r="Y97" s="168"/>
      <c r="Z97" s="168"/>
      <c r="AA97" s="168">
        <f>IF(AA91&gt;=0.5,4,IF(AND(AA91&lt;0.5,AA91&gt;0.4),2,IF(AND(AA91&lt;0.4,AA91&gt;0.25),1,0)))</f>
        <v>1</v>
      </c>
      <c r="AB97" s="168"/>
      <c r="AC97" s="168"/>
      <c r="AD97" s="168"/>
      <c r="AE97" s="168"/>
      <c r="AF97" s="168"/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  <c r="AV97" s="168"/>
      <c r="AW97" s="168"/>
      <c r="AX97" s="168"/>
      <c r="AY97" s="168"/>
      <c r="AZ97" s="168"/>
      <c r="BA97" s="168"/>
      <c r="BB97" s="168"/>
      <c r="BC97" s="168"/>
      <c r="BD97" s="168"/>
      <c r="BE97" s="168"/>
      <c r="BF97" s="168"/>
      <c r="BG97" s="168"/>
      <c r="BH97" s="168"/>
      <c r="BI97" s="168"/>
      <c r="BJ97" s="168"/>
      <c r="BK97" s="168"/>
      <c r="BL97" s="168"/>
      <c r="BM97" s="168"/>
      <c r="BN97" s="168"/>
      <c r="BO97" s="168"/>
      <c r="BP97" s="168"/>
      <c r="BQ97" s="168"/>
      <c r="BR97" s="168"/>
      <c r="BS97" s="168"/>
      <c r="BT97" s="168"/>
      <c r="BU97" s="168"/>
      <c r="BV97" s="168"/>
      <c r="BW97" s="168"/>
      <c r="BX97" s="168"/>
      <c r="BY97" s="168"/>
      <c r="BZ97" s="168"/>
      <c r="CA97" s="168"/>
      <c r="CB97" s="168"/>
      <c r="CC97" s="168"/>
      <c r="CD97" s="168"/>
      <c r="CE97" s="168"/>
      <c r="CF97" s="168"/>
      <c r="CG97" s="168"/>
      <c r="CH97" s="168"/>
      <c r="CI97" s="168"/>
      <c r="CJ97" s="168"/>
      <c r="CK97" s="168"/>
      <c r="CL97" s="168"/>
      <c r="CM97" s="168"/>
      <c r="CN97" s="168"/>
      <c r="CO97" s="168"/>
      <c r="CP97" s="168"/>
      <c r="CQ97" s="168"/>
      <c r="CR97" s="168"/>
      <c r="CS97" s="168"/>
      <c r="CT97" s="168"/>
      <c r="CU97" s="168"/>
      <c r="CV97" s="168"/>
    </row>
    <row r="98" spans="1:100" s="154" customFormat="1" ht="39.75" customHeight="1" x14ac:dyDescent="0.2">
      <c r="A98" s="167"/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  <c r="AM98" s="167"/>
      <c r="AN98" s="167"/>
      <c r="AO98" s="167"/>
      <c r="AP98" s="167"/>
      <c r="AQ98" s="167"/>
      <c r="AR98" s="167"/>
      <c r="AS98" s="167"/>
      <c r="AT98" s="167"/>
      <c r="AU98" s="167"/>
      <c r="AV98" s="167"/>
      <c r="AW98" s="167"/>
      <c r="AX98" s="167"/>
      <c r="AY98" s="167"/>
      <c r="AZ98" s="167"/>
      <c r="BA98" s="167"/>
      <c r="BB98" s="167"/>
      <c r="BC98" s="167"/>
      <c r="BD98" s="167"/>
      <c r="BE98" s="167"/>
      <c r="BF98" s="167"/>
      <c r="BG98" s="167"/>
      <c r="BH98" s="167"/>
      <c r="BI98" s="167"/>
      <c r="BJ98" s="167"/>
      <c r="BK98" s="167"/>
      <c r="BL98" s="167"/>
      <c r="BM98" s="167"/>
      <c r="BN98" s="167"/>
      <c r="BO98" s="167"/>
      <c r="BP98" s="167"/>
      <c r="BQ98" s="167"/>
      <c r="BR98" s="167"/>
      <c r="BS98" s="167"/>
      <c r="BT98" s="167"/>
      <c r="BU98" s="167"/>
      <c r="BV98" s="167"/>
      <c r="BW98" s="167"/>
      <c r="BX98" s="167"/>
      <c r="BY98" s="167"/>
      <c r="BZ98" s="167"/>
      <c r="CA98" s="167"/>
      <c r="CB98" s="167"/>
      <c r="CC98" s="167"/>
      <c r="CD98" s="167"/>
      <c r="CE98" s="167"/>
      <c r="CF98" s="167"/>
      <c r="CG98" s="167"/>
      <c r="CH98" s="167"/>
      <c r="CI98" s="167"/>
      <c r="CJ98" s="167"/>
      <c r="CK98" s="167"/>
      <c r="CL98" s="167"/>
      <c r="CM98" s="167"/>
      <c r="CN98" s="167"/>
      <c r="CO98" s="167"/>
      <c r="CP98" s="167"/>
      <c r="CQ98" s="167"/>
      <c r="CR98" s="167"/>
      <c r="CS98" s="167"/>
      <c r="CT98" s="167"/>
      <c r="CU98" s="167"/>
      <c r="CV98" s="167"/>
    </row>
    <row r="99" spans="1:100" s="154" customFormat="1" ht="39.75" customHeight="1" x14ac:dyDescent="0.2">
      <c r="A99" s="167"/>
      <c r="B99" s="167"/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  <c r="AM99" s="167"/>
      <c r="AN99" s="167"/>
      <c r="AO99" s="167"/>
      <c r="AP99" s="167"/>
      <c r="AQ99" s="167"/>
      <c r="AR99" s="167"/>
      <c r="AS99" s="167"/>
      <c r="AT99" s="167"/>
      <c r="AU99" s="167"/>
      <c r="AV99" s="167"/>
      <c r="AW99" s="167"/>
      <c r="AX99" s="167"/>
      <c r="AY99" s="167"/>
      <c r="AZ99" s="167"/>
      <c r="BA99" s="167"/>
      <c r="BB99" s="167"/>
      <c r="BC99" s="167"/>
      <c r="BD99" s="167"/>
      <c r="BE99" s="167"/>
      <c r="BF99" s="167"/>
      <c r="BG99" s="167"/>
      <c r="BH99" s="167"/>
      <c r="BI99" s="167"/>
      <c r="BJ99" s="167"/>
      <c r="BK99" s="167"/>
      <c r="BL99" s="167"/>
      <c r="BM99" s="167"/>
      <c r="BN99" s="167"/>
      <c r="BO99" s="167"/>
      <c r="BP99" s="167"/>
      <c r="BQ99" s="167"/>
      <c r="BR99" s="167"/>
      <c r="BS99" s="167"/>
      <c r="BT99" s="167"/>
      <c r="BU99" s="167"/>
      <c r="BV99" s="167"/>
      <c r="BW99" s="167"/>
      <c r="BX99" s="167"/>
      <c r="BY99" s="167"/>
      <c r="BZ99" s="167"/>
      <c r="CA99" s="167"/>
      <c r="CB99" s="167"/>
      <c r="CC99" s="167"/>
      <c r="CD99" s="167"/>
      <c r="CE99" s="167"/>
      <c r="CF99" s="167"/>
      <c r="CG99" s="167"/>
      <c r="CH99" s="167"/>
      <c r="CI99" s="167"/>
      <c r="CJ99" s="167"/>
      <c r="CK99" s="167"/>
      <c r="CL99" s="167"/>
      <c r="CM99" s="167"/>
      <c r="CN99" s="167"/>
      <c r="CO99" s="167"/>
      <c r="CP99" s="167"/>
      <c r="CQ99" s="167"/>
      <c r="CR99" s="167"/>
      <c r="CS99" s="167"/>
      <c r="CT99" s="167"/>
      <c r="CU99" s="167"/>
      <c r="CV99" s="167"/>
    </row>
    <row r="100" spans="1:100" ht="39.75" customHeight="1" x14ac:dyDescent="0.2">
      <c r="A100" s="160"/>
      <c r="B100" s="160"/>
      <c r="C100" s="160"/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0"/>
      <c r="W100" s="160"/>
      <c r="X100" s="160"/>
      <c r="Y100" s="160"/>
      <c r="Z100" s="160"/>
      <c r="AA100" s="160"/>
      <c r="AB100" s="160"/>
      <c r="AC100" s="160"/>
      <c r="AD100" s="160"/>
      <c r="AE100" s="160"/>
      <c r="AF100" s="160"/>
      <c r="AG100" s="160"/>
      <c r="AH100" s="160"/>
      <c r="AI100" s="160"/>
      <c r="AJ100" s="160"/>
      <c r="AK100" s="160"/>
      <c r="AL100" s="160"/>
      <c r="AM100" s="160"/>
      <c r="AN100" s="160"/>
      <c r="AO100" s="160"/>
      <c r="AP100" s="160"/>
      <c r="AQ100" s="160"/>
      <c r="AR100" s="160"/>
      <c r="AS100" s="160"/>
      <c r="AT100" s="160"/>
      <c r="AU100" s="160"/>
      <c r="AV100" s="160"/>
      <c r="AW100" s="160"/>
      <c r="AX100" s="160"/>
      <c r="AY100" s="160"/>
      <c r="AZ100" s="160"/>
      <c r="BA100" s="160"/>
      <c r="BB100" s="160"/>
      <c r="BC100" s="160"/>
      <c r="BD100" s="160"/>
      <c r="BE100" s="160"/>
      <c r="BF100" s="160"/>
      <c r="BG100" s="160"/>
      <c r="BH100" s="160"/>
      <c r="BI100" s="160"/>
      <c r="BJ100" s="160"/>
      <c r="BK100" s="160"/>
      <c r="BL100" s="160"/>
      <c r="BM100" s="160"/>
      <c r="BN100" s="160"/>
      <c r="BO100" s="160"/>
      <c r="BP100" s="160"/>
      <c r="BQ100" s="160"/>
      <c r="BR100" s="160"/>
      <c r="BS100" s="160"/>
      <c r="BT100" s="160"/>
      <c r="BU100" s="160"/>
      <c r="BV100" s="160"/>
      <c r="BW100" s="160"/>
      <c r="BX100" s="160"/>
      <c r="BY100" s="160"/>
      <c r="BZ100" s="160"/>
      <c r="CA100" s="160"/>
      <c r="CB100" s="160"/>
      <c r="CC100" s="160"/>
      <c r="CD100" s="160"/>
      <c r="CE100" s="160"/>
      <c r="CF100" s="160"/>
      <c r="CG100" s="160"/>
      <c r="CH100" s="160"/>
      <c r="CI100" s="160"/>
      <c r="CJ100" s="160"/>
      <c r="CK100" s="160"/>
      <c r="CL100" s="160"/>
      <c r="CM100" s="160"/>
      <c r="CN100" s="160"/>
      <c r="CO100" s="160"/>
      <c r="CP100" s="160"/>
      <c r="CQ100" s="160"/>
      <c r="CR100" s="160"/>
      <c r="CS100" s="160"/>
      <c r="CT100" s="160"/>
      <c r="CU100" s="160"/>
      <c r="CV100" s="160"/>
    </row>
    <row r="101" spans="1:100" ht="39.75" customHeight="1" x14ac:dyDescent="0.2">
      <c r="A101" s="160"/>
      <c r="B101" s="160"/>
      <c r="C101" s="160"/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0"/>
      <c r="W101" s="160"/>
      <c r="X101" s="160"/>
      <c r="Y101" s="160"/>
      <c r="Z101" s="160"/>
      <c r="AA101" s="160"/>
      <c r="AB101" s="160"/>
      <c r="AC101" s="160"/>
      <c r="AD101" s="160"/>
      <c r="AE101" s="160"/>
      <c r="AF101" s="160"/>
      <c r="AG101" s="160"/>
      <c r="AH101" s="160"/>
      <c r="AI101" s="160"/>
      <c r="AJ101" s="160"/>
      <c r="AK101" s="160"/>
      <c r="AL101" s="160"/>
      <c r="AM101" s="160"/>
      <c r="AN101" s="160"/>
      <c r="AO101" s="160"/>
      <c r="AP101" s="160"/>
      <c r="AQ101" s="160"/>
      <c r="AR101" s="160"/>
      <c r="AS101" s="160"/>
      <c r="AT101" s="160"/>
      <c r="AU101" s="160"/>
      <c r="AV101" s="160"/>
      <c r="AW101" s="160"/>
      <c r="AX101" s="160"/>
      <c r="AY101" s="160"/>
      <c r="AZ101" s="160"/>
      <c r="BA101" s="160"/>
      <c r="BB101" s="160"/>
      <c r="BC101" s="160"/>
      <c r="BD101" s="160"/>
      <c r="BE101" s="160"/>
      <c r="BF101" s="160"/>
      <c r="BG101" s="160"/>
      <c r="BH101" s="160"/>
      <c r="BI101" s="160"/>
      <c r="BJ101" s="160"/>
      <c r="BK101" s="160"/>
      <c r="BL101" s="160"/>
      <c r="BM101" s="160"/>
      <c r="BN101" s="160"/>
      <c r="BO101" s="160"/>
      <c r="BP101" s="160"/>
      <c r="BQ101" s="160"/>
      <c r="BR101" s="160"/>
      <c r="BS101" s="160"/>
      <c r="BT101" s="160"/>
      <c r="BU101" s="160"/>
      <c r="BV101" s="160"/>
      <c r="BW101" s="160"/>
      <c r="BX101" s="160"/>
      <c r="BY101" s="160"/>
      <c r="BZ101" s="160"/>
      <c r="CA101" s="160"/>
      <c r="CB101" s="160"/>
      <c r="CC101" s="160"/>
      <c r="CD101" s="160"/>
      <c r="CE101" s="160"/>
      <c r="CF101" s="160"/>
      <c r="CG101" s="160"/>
      <c r="CH101" s="160"/>
      <c r="CI101" s="160"/>
      <c r="CJ101" s="160"/>
      <c r="CK101" s="160"/>
      <c r="CL101" s="160"/>
      <c r="CM101" s="160"/>
      <c r="CN101" s="160"/>
      <c r="CO101" s="160"/>
      <c r="CP101" s="160"/>
      <c r="CQ101" s="160"/>
      <c r="CR101" s="160"/>
      <c r="CS101" s="160"/>
      <c r="CT101" s="160"/>
      <c r="CU101" s="160"/>
      <c r="CV101" s="160"/>
    </row>
    <row r="102" spans="1:100" ht="39.75" customHeight="1" x14ac:dyDescent="0.2">
      <c r="A102" s="160"/>
      <c r="B102" s="160"/>
      <c r="C102" s="160"/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0"/>
      <c r="W102" s="160"/>
      <c r="X102" s="160"/>
      <c r="Y102" s="160"/>
      <c r="Z102" s="160"/>
      <c r="AA102" s="160"/>
      <c r="AB102" s="160"/>
      <c r="AC102" s="160"/>
      <c r="AD102" s="160"/>
      <c r="AE102" s="160"/>
      <c r="AF102" s="160"/>
      <c r="AG102" s="160"/>
      <c r="AH102" s="160"/>
      <c r="AI102" s="160"/>
      <c r="AJ102" s="160"/>
      <c r="AK102" s="160"/>
      <c r="AL102" s="160"/>
      <c r="AM102" s="160"/>
      <c r="AN102" s="160"/>
      <c r="AO102" s="160"/>
      <c r="AP102" s="160"/>
      <c r="AQ102" s="160"/>
      <c r="AR102" s="160"/>
      <c r="AS102" s="160"/>
      <c r="AT102" s="160"/>
      <c r="AU102" s="160"/>
      <c r="AV102" s="160"/>
      <c r="AW102" s="160"/>
      <c r="AX102" s="160"/>
      <c r="AY102" s="160"/>
      <c r="AZ102" s="160"/>
      <c r="BA102" s="160"/>
      <c r="BB102" s="160"/>
      <c r="BC102" s="160"/>
      <c r="BD102" s="160"/>
      <c r="BE102" s="160"/>
      <c r="BF102" s="160"/>
      <c r="BG102" s="160"/>
      <c r="BH102" s="160"/>
      <c r="BI102" s="160"/>
      <c r="BJ102" s="160"/>
      <c r="BK102" s="160"/>
      <c r="BL102" s="160"/>
      <c r="BM102" s="160"/>
      <c r="BN102" s="160"/>
      <c r="BO102" s="160"/>
      <c r="BP102" s="160"/>
      <c r="BQ102" s="160"/>
      <c r="BR102" s="160"/>
      <c r="BS102" s="160"/>
      <c r="BT102" s="160"/>
      <c r="BU102" s="160"/>
      <c r="BV102" s="160"/>
      <c r="BW102" s="160"/>
      <c r="BX102" s="160"/>
      <c r="BY102" s="160"/>
      <c r="BZ102" s="160"/>
      <c r="CA102" s="160"/>
      <c r="CB102" s="160"/>
      <c r="CC102" s="160"/>
      <c r="CD102" s="160"/>
      <c r="CE102" s="160"/>
      <c r="CF102" s="160"/>
      <c r="CG102" s="160"/>
      <c r="CH102" s="160"/>
      <c r="CI102" s="160"/>
      <c r="CJ102" s="160"/>
      <c r="CK102" s="160"/>
      <c r="CL102" s="160"/>
      <c r="CM102" s="160"/>
      <c r="CN102" s="160"/>
      <c r="CO102" s="160"/>
      <c r="CP102" s="160"/>
      <c r="CQ102" s="160"/>
      <c r="CR102" s="160"/>
      <c r="CS102" s="160"/>
      <c r="CT102" s="160"/>
      <c r="CU102" s="160"/>
      <c r="CV102" s="160"/>
    </row>
    <row r="103" spans="1:100" ht="39.75" customHeight="1" x14ac:dyDescent="0.2">
      <c r="A103" s="160"/>
      <c r="B103" s="160"/>
      <c r="C103" s="160"/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  <c r="AI103" s="160"/>
      <c r="AJ103" s="160"/>
      <c r="AK103" s="160"/>
      <c r="AL103" s="160"/>
      <c r="AM103" s="160"/>
      <c r="AN103" s="160"/>
      <c r="AO103" s="160"/>
      <c r="AP103" s="160"/>
      <c r="AQ103" s="160"/>
      <c r="AR103" s="160"/>
      <c r="AS103" s="160"/>
      <c r="AT103" s="160"/>
      <c r="AU103" s="160"/>
      <c r="AV103" s="160"/>
      <c r="AW103" s="160"/>
      <c r="AX103" s="160"/>
      <c r="AY103" s="160"/>
      <c r="AZ103" s="160"/>
      <c r="BA103" s="160"/>
      <c r="BB103" s="160"/>
      <c r="BC103" s="160"/>
      <c r="BD103" s="160"/>
      <c r="BE103" s="160"/>
      <c r="BF103" s="160"/>
      <c r="BG103" s="160"/>
      <c r="BH103" s="160"/>
      <c r="BI103" s="160"/>
      <c r="BJ103" s="160"/>
      <c r="BK103" s="160"/>
      <c r="BL103" s="160"/>
      <c r="BM103" s="160"/>
      <c r="BN103" s="160"/>
      <c r="BO103" s="160"/>
      <c r="BP103" s="160"/>
      <c r="BQ103" s="160"/>
      <c r="BR103" s="160"/>
      <c r="BS103" s="160"/>
      <c r="BT103" s="160"/>
      <c r="BU103" s="160"/>
      <c r="BV103" s="160"/>
      <c r="BW103" s="160"/>
      <c r="BX103" s="160"/>
      <c r="BY103" s="160"/>
      <c r="BZ103" s="160"/>
      <c r="CA103" s="160"/>
      <c r="CB103" s="160"/>
      <c r="CC103" s="160"/>
      <c r="CD103" s="160"/>
      <c r="CE103" s="160"/>
      <c r="CF103" s="160"/>
      <c r="CG103" s="160"/>
      <c r="CH103" s="160"/>
      <c r="CI103" s="160"/>
      <c r="CJ103" s="160"/>
      <c r="CK103" s="160"/>
      <c r="CL103" s="160"/>
      <c r="CM103" s="160"/>
      <c r="CN103" s="160"/>
      <c r="CO103" s="160"/>
      <c r="CP103" s="160"/>
      <c r="CQ103" s="160"/>
      <c r="CR103" s="160"/>
      <c r="CS103" s="160"/>
      <c r="CT103" s="160"/>
      <c r="CU103" s="160"/>
      <c r="CV103" s="160"/>
    </row>
    <row r="104" spans="1:100" ht="39.75" customHeight="1" x14ac:dyDescent="0.2">
      <c r="A104" s="160"/>
      <c r="B104" s="160"/>
      <c r="C104" s="160"/>
      <c r="D104" s="160"/>
      <c r="E104" s="160"/>
      <c r="F104" s="160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0"/>
      <c r="AE104" s="160"/>
      <c r="AF104" s="160"/>
      <c r="AG104" s="160"/>
      <c r="AH104" s="160"/>
      <c r="AI104" s="160"/>
      <c r="AJ104" s="160"/>
      <c r="AK104" s="160"/>
      <c r="AL104" s="160"/>
      <c r="AM104" s="160"/>
      <c r="AN104" s="160"/>
      <c r="AO104" s="160"/>
      <c r="AP104" s="160"/>
      <c r="AQ104" s="160"/>
      <c r="AR104" s="160"/>
      <c r="AS104" s="160"/>
      <c r="AT104" s="160"/>
      <c r="AU104" s="160"/>
      <c r="AV104" s="160"/>
      <c r="AW104" s="160"/>
      <c r="AX104" s="160"/>
      <c r="AY104" s="160"/>
      <c r="AZ104" s="160"/>
      <c r="BA104" s="160"/>
      <c r="BB104" s="160"/>
      <c r="BC104" s="160"/>
      <c r="BD104" s="160"/>
      <c r="BE104" s="160"/>
      <c r="BF104" s="160"/>
      <c r="BG104" s="160"/>
      <c r="BH104" s="160"/>
      <c r="BI104" s="160"/>
      <c r="BJ104" s="160"/>
      <c r="BK104" s="160"/>
      <c r="BL104" s="160"/>
      <c r="BM104" s="160"/>
      <c r="BN104" s="160"/>
      <c r="BO104" s="160"/>
      <c r="BP104" s="160"/>
      <c r="BQ104" s="160"/>
      <c r="BR104" s="160"/>
      <c r="BS104" s="160"/>
      <c r="BT104" s="160"/>
      <c r="BU104" s="160"/>
      <c r="BV104" s="160"/>
      <c r="BW104" s="160"/>
      <c r="BX104" s="160"/>
      <c r="BY104" s="160"/>
      <c r="BZ104" s="160"/>
      <c r="CA104" s="160"/>
      <c r="CB104" s="160"/>
      <c r="CC104" s="160"/>
      <c r="CD104" s="160"/>
      <c r="CE104" s="160"/>
      <c r="CF104" s="160"/>
      <c r="CG104" s="160"/>
      <c r="CH104" s="160"/>
      <c r="CI104" s="160"/>
      <c r="CJ104" s="160"/>
      <c r="CK104" s="160"/>
      <c r="CL104" s="160"/>
      <c r="CM104" s="160"/>
      <c r="CN104" s="160"/>
      <c r="CO104" s="160"/>
      <c r="CP104" s="160"/>
      <c r="CQ104" s="160"/>
      <c r="CR104" s="160"/>
      <c r="CS104" s="160"/>
      <c r="CT104" s="160"/>
      <c r="CU104" s="160"/>
      <c r="CV104" s="160"/>
    </row>
    <row r="105" spans="1:100" ht="39.75" customHeight="1" x14ac:dyDescent="0.2">
      <c r="A105" s="160"/>
      <c r="B105" s="160"/>
      <c r="C105" s="160"/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  <c r="AI105" s="160"/>
      <c r="AJ105" s="160"/>
      <c r="AK105" s="160"/>
      <c r="AL105" s="160"/>
      <c r="AM105" s="160"/>
      <c r="AN105" s="160"/>
      <c r="AO105" s="160"/>
      <c r="AP105" s="160"/>
      <c r="AQ105" s="160"/>
      <c r="AR105" s="160"/>
      <c r="AS105" s="160"/>
      <c r="AT105" s="160"/>
      <c r="AU105" s="160"/>
      <c r="AV105" s="160"/>
      <c r="AW105" s="160"/>
      <c r="AX105" s="160"/>
      <c r="AY105" s="160"/>
      <c r="AZ105" s="160"/>
      <c r="BA105" s="160"/>
      <c r="BB105" s="160"/>
      <c r="BC105" s="160"/>
      <c r="BD105" s="160"/>
      <c r="BE105" s="160"/>
      <c r="BF105" s="160"/>
      <c r="BG105" s="160"/>
      <c r="BH105" s="160"/>
      <c r="BI105" s="160"/>
      <c r="BJ105" s="160"/>
      <c r="BK105" s="160"/>
      <c r="BL105" s="160"/>
      <c r="BM105" s="160"/>
      <c r="BN105" s="160"/>
      <c r="BO105" s="160"/>
      <c r="BP105" s="160"/>
      <c r="BQ105" s="160"/>
      <c r="BR105" s="160"/>
      <c r="BS105" s="160"/>
      <c r="BT105" s="160"/>
      <c r="BU105" s="160"/>
      <c r="BV105" s="160"/>
      <c r="BW105" s="160"/>
      <c r="BX105" s="160"/>
      <c r="BY105" s="160"/>
      <c r="BZ105" s="160"/>
      <c r="CA105" s="160"/>
      <c r="CB105" s="160"/>
      <c r="CC105" s="160"/>
      <c r="CD105" s="160"/>
      <c r="CE105" s="160"/>
      <c r="CF105" s="160"/>
      <c r="CG105" s="160"/>
      <c r="CH105" s="160"/>
      <c r="CI105" s="160"/>
      <c r="CJ105" s="160"/>
      <c r="CK105" s="160"/>
      <c r="CL105" s="160"/>
      <c r="CM105" s="160"/>
      <c r="CN105" s="160"/>
      <c r="CO105" s="160"/>
      <c r="CP105" s="160"/>
      <c r="CQ105" s="160"/>
      <c r="CR105" s="160"/>
      <c r="CS105" s="160"/>
      <c r="CT105" s="160"/>
      <c r="CU105" s="160"/>
      <c r="CV105" s="160"/>
    </row>
    <row r="106" spans="1:100" ht="39.75" customHeight="1" x14ac:dyDescent="0.2">
      <c r="A106" s="160"/>
      <c r="B106" s="160"/>
      <c r="C106" s="160"/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  <c r="AI106" s="160"/>
      <c r="AJ106" s="160"/>
      <c r="AK106" s="160"/>
      <c r="AL106" s="160"/>
      <c r="AM106" s="160"/>
      <c r="AN106" s="160"/>
      <c r="AO106" s="160"/>
      <c r="AP106" s="160"/>
      <c r="AQ106" s="160"/>
      <c r="AR106" s="160"/>
      <c r="AS106" s="160"/>
      <c r="AT106" s="160"/>
      <c r="AU106" s="160"/>
      <c r="AV106" s="160"/>
      <c r="AW106" s="160"/>
      <c r="AX106" s="160"/>
      <c r="AY106" s="160"/>
      <c r="AZ106" s="160"/>
      <c r="BA106" s="160"/>
      <c r="BB106" s="160"/>
      <c r="BC106" s="160"/>
      <c r="BD106" s="160"/>
      <c r="BE106" s="160"/>
      <c r="BF106" s="160"/>
      <c r="BG106" s="160"/>
      <c r="BH106" s="160"/>
      <c r="BI106" s="160"/>
      <c r="BJ106" s="160"/>
      <c r="BK106" s="160"/>
      <c r="BL106" s="160"/>
      <c r="BM106" s="160"/>
      <c r="BN106" s="160"/>
      <c r="BO106" s="160"/>
      <c r="BP106" s="160"/>
      <c r="BQ106" s="160"/>
      <c r="BR106" s="160"/>
      <c r="BS106" s="160"/>
      <c r="BT106" s="160"/>
      <c r="BU106" s="160"/>
      <c r="BV106" s="160"/>
      <c r="BW106" s="160"/>
      <c r="BX106" s="160"/>
      <c r="BY106" s="160"/>
      <c r="BZ106" s="160"/>
      <c r="CA106" s="160"/>
      <c r="CB106" s="160"/>
      <c r="CC106" s="160"/>
      <c r="CD106" s="160"/>
      <c r="CE106" s="160"/>
      <c r="CF106" s="160"/>
      <c r="CG106" s="160"/>
      <c r="CH106" s="160"/>
      <c r="CI106" s="160"/>
      <c r="CJ106" s="160"/>
      <c r="CK106" s="160"/>
      <c r="CL106" s="160"/>
      <c r="CM106" s="160"/>
      <c r="CN106" s="160"/>
      <c r="CO106" s="160"/>
      <c r="CP106" s="160"/>
      <c r="CQ106" s="160"/>
      <c r="CR106" s="160"/>
      <c r="CS106" s="160"/>
      <c r="CT106" s="160"/>
      <c r="CU106" s="160"/>
      <c r="CV106" s="160"/>
    </row>
    <row r="107" spans="1:100" ht="39.75" customHeight="1" x14ac:dyDescent="0.2">
      <c r="A107" s="160"/>
      <c r="B107" s="160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0"/>
      <c r="W107" s="160"/>
      <c r="X107" s="160"/>
      <c r="Y107" s="160"/>
      <c r="Z107" s="160"/>
      <c r="AA107" s="160"/>
      <c r="AB107" s="160"/>
      <c r="AC107" s="160"/>
      <c r="AD107" s="160"/>
      <c r="AE107" s="160"/>
      <c r="AF107" s="160"/>
      <c r="AG107" s="160"/>
      <c r="AH107" s="160"/>
      <c r="AI107" s="160"/>
      <c r="AJ107" s="160"/>
      <c r="AK107" s="160"/>
      <c r="AL107" s="160"/>
      <c r="AM107" s="160"/>
      <c r="AN107" s="160"/>
      <c r="AO107" s="160"/>
      <c r="AP107" s="160"/>
      <c r="AQ107" s="160"/>
      <c r="AR107" s="160"/>
      <c r="AS107" s="160"/>
      <c r="AT107" s="160"/>
      <c r="AU107" s="160"/>
      <c r="AV107" s="160"/>
      <c r="AW107" s="160"/>
      <c r="AX107" s="160"/>
      <c r="AY107" s="160"/>
      <c r="AZ107" s="160"/>
      <c r="BA107" s="160"/>
      <c r="BB107" s="160"/>
      <c r="BC107" s="160"/>
      <c r="BD107" s="160"/>
      <c r="BE107" s="160"/>
      <c r="BF107" s="160"/>
      <c r="BG107" s="160"/>
      <c r="BH107" s="160"/>
      <c r="BI107" s="160"/>
      <c r="BJ107" s="160"/>
      <c r="BK107" s="160"/>
      <c r="BL107" s="160"/>
      <c r="BM107" s="160"/>
      <c r="BN107" s="160"/>
      <c r="BO107" s="160"/>
      <c r="BP107" s="160"/>
      <c r="BQ107" s="160"/>
      <c r="BR107" s="160"/>
      <c r="BS107" s="160"/>
      <c r="BT107" s="160"/>
      <c r="BU107" s="160"/>
      <c r="BV107" s="160"/>
      <c r="BW107" s="160"/>
      <c r="BX107" s="160"/>
      <c r="BY107" s="160"/>
      <c r="BZ107" s="160"/>
      <c r="CA107" s="160"/>
      <c r="CB107" s="160"/>
      <c r="CC107" s="160"/>
      <c r="CD107" s="160"/>
      <c r="CE107" s="160"/>
      <c r="CF107" s="160"/>
      <c r="CG107" s="160"/>
      <c r="CH107" s="160"/>
      <c r="CI107" s="160"/>
      <c r="CJ107" s="160"/>
      <c r="CK107" s="160"/>
      <c r="CL107" s="160"/>
      <c r="CM107" s="160"/>
      <c r="CN107" s="160"/>
      <c r="CO107" s="160"/>
      <c r="CP107" s="160"/>
      <c r="CQ107" s="160"/>
      <c r="CR107" s="160"/>
      <c r="CS107" s="160"/>
      <c r="CT107" s="160"/>
      <c r="CU107" s="160"/>
      <c r="CV107" s="160"/>
    </row>
    <row r="108" spans="1:100" ht="39.75" customHeight="1" x14ac:dyDescent="0.2">
      <c r="A108" s="160"/>
      <c r="B108" s="160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0"/>
      <c r="W108" s="160"/>
      <c r="X108" s="160"/>
      <c r="Y108" s="160"/>
      <c r="Z108" s="160"/>
      <c r="AA108" s="160"/>
      <c r="AB108" s="160"/>
      <c r="AC108" s="160"/>
      <c r="AD108" s="160"/>
      <c r="AE108" s="160"/>
      <c r="AF108" s="160"/>
      <c r="AG108" s="160"/>
      <c r="AH108" s="160"/>
      <c r="AI108" s="160"/>
      <c r="AJ108" s="160"/>
      <c r="AK108" s="160"/>
      <c r="AL108" s="160"/>
      <c r="AM108" s="160"/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160"/>
      <c r="AZ108" s="160"/>
      <c r="BA108" s="160"/>
      <c r="BB108" s="160"/>
      <c r="BC108" s="160"/>
      <c r="BD108" s="160"/>
      <c r="BE108" s="160"/>
      <c r="BF108" s="160"/>
      <c r="BG108" s="160"/>
      <c r="BH108" s="160"/>
      <c r="BI108" s="160"/>
      <c r="BJ108" s="160"/>
      <c r="BK108" s="160"/>
      <c r="BL108" s="160"/>
      <c r="BM108" s="160"/>
      <c r="BN108" s="160"/>
      <c r="BO108" s="160"/>
      <c r="BP108" s="160"/>
      <c r="BQ108" s="160"/>
      <c r="BR108" s="160"/>
      <c r="BS108" s="160"/>
      <c r="BT108" s="160"/>
      <c r="BU108" s="160"/>
      <c r="BV108" s="160"/>
      <c r="BW108" s="160"/>
      <c r="BX108" s="160"/>
      <c r="BY108" s="160"/>
      <c r="BZ108" s="160"/>
      <c r="CA108" s="160"/>
      <c r="CB108" s="160"/>
      <c r="CC108" s="160"/>
      <c r="CD108" s="160"/>
      <c r="CE108" s="160"/>
      <c r="CF108" s="160"/>
      <c r="CG108" s="160"/>
      <c r="CH108" s="160"/>
      <c r="CI108" s="160"/>
      <c r="CJ108" s="160"/>
      <c r="CK108" s="160"/>
      <c r="CL108" s="160"/>
      <c r="CM108" s="160"/>
      <c r="CN108" s="160"/>
      <c r="CO108" s="160"/>
      <c r="CP108" s="160"/>
      <c r="CQ108" s="160"/>
      <c r="CR108" s="160"/>
      <c r="CS108" s="160"/>
      <c r="CT108" s="160"/>
      <c r="CU108" s="160"/>
      <c r="CV108" s="160"/>
    </row>
    <row r="109" spans="1:100" ht="39.75" customHeight="1" x14ac:dyDescent="0.2">
      <c r="A109" s="160"/>
      <c r="B109" s="160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0"/>
      <c r="W109" s="160"/>
      <c r="X109" s="160"/>
      <c r="Y109" s="160"/>
      <c r="Z109" s="160"/>
      <c r="AA109" s="160"/>
      <c r="AB109" s="160"/>
      <c r="AC109" s="160"/>
      <c r="AD109" s="160"/>
      <c r="AE109" s="160"/>
      <c r="AF109" s="160"/>
      <c r="AG109" s="160"/>
      <c r="AH109" s="160"/>
      <c r="AI109" s="160"/>
      <c r="AJ109" s="160"/>
      <c r="AK109" s="160"/>
      <c r="AL109" s="160"/>
      <c r="AM109" s="160"/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160"/>
      <c r="AZ109" s="160"/>
      <c r="BA109" s="160"/>
      <c r="BB109" s="160"/>
      <c r="BC109" s="160"/>
      <c r="BD109" s="160"/>
      <c r="BE109" s="160"/>
      <c r="BF109" s="160"/>
      <c r="BG109" s="160"/>
      <c r="BH109" s="160"/>
      <c r="BI109" s="160"/>
      <c r="BJ109" s="160"/>
      <c r="BK109" s="160"/>
      <c r="BL109" s="160"/>
      <c r="BM109" s="160"/>
      <c r="BN109" s="160"/>
      <c r="BO109" s="160"/>
      <c r="BP109" s="160"/>
      <c r="BQ109" s="160"/>
      <c r="BR109" s="160"/>
      <c r="BS109" s="160"/>
      <c r="BT109" s="160"/>
      <c r="BU109" s="160"/>
      <c r="BV109" s="160"/>
      <c r="BW109" s="160"/>
      <c r="BX109" s="160"/>
      <c r="BY109" s="160"/>
      <c r="BZ109" s="160"/>
      <c r="CA109" s="160"/>
      <c r="CB109" s="160"/>
      <c r="CC109" s="160"/>
      <c r="CD109" s="160"/>
      <c r="CE109" s="160"/>
      <c r="CF109" s="160"/>
      <c r="CG109" s="160"/>
      <c r="CH109" s="160"/>
      <c r="CI109" s="160"/>
      <c r="CJ109" s="160"/>
      <c r="CK109" s="160"/>
      <c r="CL109" s="160"/>
      <c r="CM109" s="160"/>
      <c r="CN109" s="160"/>
      <c r="CO109" s="160"/>
      <c r="CP109" s="160"/>
      <c r="CQ109" s="160"/>
      <c r="CR109" s="160"/>
      <c r="CS109" s="160"/>
      <c r="CT109" s="160"/>
      <c r="CU109" s="160"/>
      <c r="CV109" s="160"/>
    </row>
    <row r="110" spans="1:100" ht="39.75" customHeight="1" x14ac:dyDescent="0.2">
      <c r="A110" s="160"/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0"/>
      <c r="W110" s="160"/>
      <c r="X110" s="160"/>
      <c r="Y110" s="160"/>
      <c r="Z110" s="160"/>
      <c r="AA110" s="160"/>
      <c r="AB110" s="160"/>
      <c r="AC110" s="160"/>
      <c r="AD110" s="160"/>
      <c r="AE110" s="160"/>
      <c r="AF110" s="160"/>
      <c r="AG110" s="160"/>
      <c r="AH110" s="160"/>
      <c r="AI110" s="160"/>
      <c r="AJ110" s="160"/>
      <c r="AK110" s="160"/>
      <c r="AL110" s="160"/>
      <c r="AM110" s="160"/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160"/>
      <c r="AZ110" s="160"/>
      <c r="BA110" s="160"/>
      <c r="BB110" s="160"/>
      <c r="BC110" s="160"/>
      <c r="BD110" s="160"/>
      <c r="BE110" s="160"/>
      <c r="BF110" s="160"/>
      <c r="BG110" s="160"/>
      <c r="BH110" s="160"/>
      <c r="BI110" s="160"/>
      <c r="BJ110" s="160"/>
      <c r="BK110" s="160"/>
      <c r="BL110" s="160"/>
      <c r="BM110" s="160"/>
      <c r="BN110" s="160"/>
      <c r="BO110" s="160"/>
      <c r="BP110" s="160"/>
      <c r="BQ110" s="160"/>
      <c r="BR110" s="160"/>
      <c r="BS110" s="160"/>
      <c r="BT110" s="160"/>
      <c r="BU110" s="160"/>
      <c r="BV110" s="160"/>
      <c r="BW110" s="160"/>
      <c r="BX110" s="160"/>
      <c r="BY110" s="160"/>
      <c r="BZ110" s="160"/>
      <c r="CA110" s="160"/>
      <c r="CB110" s="160"/>
      <c r="CC110" s="160"/>
      <c r="CD110" s="160"/>
      <c r="CE110" s="160"/>
      <c r="CF110" s="160"/>
      <c r="CG110" s="160"/>
      <c r="CH110" s="160"/>
      <c r="CI110" s="160"/>
      <c r="CJ110" s="160"/>
      <c r="CK110" s="160"/>
      <c r="CL110" s="160"/>
      <c r="CM110" s="160"/>
      <c r="CN110" s="160"/>
      <c r="CO110" s="160"/>
      <c r="CP110" s="160"/>
      <c r="CQ110" s="160"/>
      <c r="CR110" s="160"/>
      <c r="CS110" s="160"/>
      <c r="CT110" s="160"/>
      <c r="CU110" s="160"/>
      <c r="CV110" s="160"/>
    </row>
    <row r="111" spans="1:100" ht="39.75" customHeight="1" x14ac:dyDescent="0.2">
      <c r="A111" s="160"/>
      <c r="B111" s="160"/>
      <c r="C111" s="160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0"/>
      <c r="AE111" s="160"/>
      <c r="AF111" s="160"/>
      <c r="AG111" s="160"/>
      <c r="AH111" s="160"/>
      <c r="AI111" s="160"/>
      <c r="AJ111" s="160"/>
      <c r="AK111" s="160"/>
      <c r="AL111" s="160"/>
      <c r="AM111" s="160"/>
      <c r="AN111" s="160"/>
      <c r="AO111" s="160"/>
      <c r="AP111" s="160"/>
      <c r="AQ111" s="160"/>
      <c r="AR111" s="160"/>
      <c r="AS111" s="160"/>
      <c r="AT111" s="160"/>
      <c r="AU111" s="160"/>
      <c r="AV111" s="160"/>
      <c r="AW111" s="160"/>
      <c r="AX111" s="160"/>
      <c r="AY111" s="160"/>
      <c r="AZ111" s="160"/>
      <c r="BA111" s="160"/>
      <c r="BB111" s="160"/>
      <c r="BC111" s="160"/>
      <c r="BD111" s="160"/>
      <c r="BE111" s="160"/>
      <c r="BF111" s="160"/>
      <c r="BG111" s="160"/>
      <c r="BH111" s="160"/>
      <c r="BI111" s="160"/>
      <c r="BJ111" s="160"/>
      <c r="BK111" s="160"/>
      <c r="BL111" s="160"/>
      <c r="BM111" s="160"/>
      <c r="BN111" s="160"/>
      <c r="BO111" s="160"/>
      <c r="BP111" s="160"/>
      <c r="BQ111" s="160"/>
      <c r="BR111" s="160"/>
      <c r="BS111" s="160"/>
      <c r="BT111" s="160"/>
      <c r="BU111" s="160"/>
      <c r="BV111" s="160"/>
      <c r="BW111" s="160"/>
      <c r="BX111" s="160"/>
      <c r="BY111" s="160"/>
      <c r="BZ111" s="160"/>
      <c r="CA111" s="160"/>
      <c r="CB111" s="160"/>
      <c r="CC111" s="160"/>
      <c r="CD111" s="160"/>
      <c r="CE111" s="160"/>
      <c r="CF111" s="160"/>
      <c r="CG111" s="160"/>
      <c r="CH111" s="160"/>
      <c r="CI111" s="160"/>
      <c r="CJ111" s="160"/>
      <c r="CK111" s="160"/>
      <c r="CL111" s="160"/>
      <c r="CM111" s="160"/>
      <c r="CN111" s="160"/>
      <c r="CO111" s="160"/>
      <c r="CP111" s="160"/>
      <c r="CQ111" s="160"/>
      <c r="CR111" s="160"/>
      <c r="CS111" s="160"/>
      <c r="CT111" s="160"/>
      <c r="CU111" s="160"/>
      <c r="CV111" s="160"/>
    </row>
    <row r="112" spans="1:100" ht="39.75" customHeight="1" x14ac:dyDescent="0.2">
      <c r="A112" s="160"/>
      <c r="B112" s="160"/>
      <c r="C112" s="160"/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0"/>
      <c r="W112" s="160"/>
      <c r="X112" s="160"/>
      <c r="Y112" s="160"/>
      <c r="Z112" s="160"/>
      <c r="AA112" s="160"/>
      <c r="AB112" s="160"/>
      <c r="AC112" s="160"/>
      <c r="AD112" s="160"/>
      <c r="AE112" s="160"/>
      <c r="AF112" s="160"/>
      <c r="AG112" s="160"/>
      <c r="AH112" s="160"/>
      <c r="AI112" s="160"/>
      <c r="AJ112" s="160"/>
      <c r="AK112" s="160"/>
      <c r="AL112" s="160"/>
      <c r="AM112" s="160"/>
      <c r="AN112" s="160"/>
      <c r="AO112" s="160"/>
      <c r="AP112" s="160"/>
      <c r="AQ112" s="160"/>
      <c r="AR112" s="160"/>
      <c r="AS112" s="160"/>
      <c r="AT112" s="160"/>
      <c r="AU112" s="160"/>
      <c r="AV112" s="160"/>
      <c r="AW112" s="160"/>
      <c r="AX112" s="160"/>
      <c r="AY112" s="160"/>
      <c r="AZ112" s="160"/>
      <c r="BA112" s="160"/>
      <c r="BB112" s="160"/>
      <c r="BC112" s="160"/>
      <c r="BD112" s="160"/>
      <c r="BE112" s="160"/>
      <c r="BF112" s="160"/>
      <c r="BG112" s="160"/>
      <c r="BH112" s="160"/>
      <c r="BI112" s="160"/>
      <c r="BJ112" s="160"/>
      <c r="BK112" s="160"/>
      <c r="BL112" s="160"/>
      <c r="BM112" s="160"/>
      <c r="BN112" s="160"/>
      <c r="BO112" s="160"/>
      <c r="BP112" s="160"/>
      <c r="BQ112" s="160"/>
      <c r="BR112" s="160"/>
      <c r="BS112" s="160"/>
      <c r="BT112" s="160"/>
      <c r="BU112" s="160"/>
      <c r="BV112" s="160"/>
      <c r="BW112" s="160"/>
      <c r="BX112" s="160"/>
      <c r="BY112" s="160"/>
      <c r="BZ112" s="160"/>
      <c r="CA112" s="160"/>
      <c r="CB112" s="160"/>
      <c r="CC112" s="160"/>
      <c r="CD112" s="160"/>
      <c r="CE112" s="160"/>
      <c r="CF112" s="160"/>
      <c r="CG112" s="160"/>
      <c r="CH112" s="160"/>
      <c r="CI112" s="160"/>
      <c r="CJ112" s="160"/>
      <c r="CK112" s="160"/>
      <c r="CL112" s="160"/>
      <c r="CM112" s="160"/>
      <c r="CN112" s="160"/>
      <c r="CO112" s="160"/>
      <c r="CP112" s="160"/>
      <c r="CQ112" s="160"/>
      <c r="CR112" s="160"/>
      <c r="CS112" s="160"/>
      <c r="CT112" s="160"/>
      <c r="CU112" s="160"/>
      <c r="CV112" s="160"/>
    </row>
    <row r="113" spans="1:100" ht="39.75" customHeight="1" x14ac:dyDescent="0.2">
      <c r="A113" s="160"/>
      <c r="B113" s="160"/>
      <c r="C113" s="160"/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0"/>
      <c r="W113" s="160"/>
      <c r="X113" s="160"/>
      <c r="Y113" s="160"/>
      <c r="Z113" s="160"/>
      <c r="AA113" s="160"/>
      <c r="AB113" s="160"/>
      <c r="AC113" s="160"/>
      <c r="AD113" s="160"/>
      <c r="AE113" s="160"/>
      <c r="AF113" s="160"/>
      <c r="AG113" s="160"/>
      <c r="AH113" s="160"/>
      <c r="AI113" s="160"/>
      <c r="AJ113" s="160"/>
      <c r="AK113" s="160"/>
      <c r="AL113" s="160"/>
      <c r="AM113" s="160"/>
      <c r="AN113" s="160"/>
      <c r="AO113" s="160"/>
      <c r="AP113" s="160"/>
      <c r="AQ113" s="160"/>
      <c r="AR113" s="160"/>
      <c r="AS113" s="160"/>
      <c r="AT113" s="160"/>
      <c r="AU113" s="160"/>
      <c r="AV113" s="160"/>
      <c r="AW113" s="160"/>
      <c r="AX113" s="160"/>
      <c r="AY113" s="160"/>
      <c r="AZ113" s="160"/>
      <c r="BA113" s="160"/>
      <c r="BB113" s="160"/>
      <c r="BC113" s="160"/>
      <c r="BD113" s="160"/>
      <c r="BE113" s="160"/>
      <c r="BF113" s="160"/>
      <c r="BG113" s="160"/>
      <c r="BH113" s="160"/>
      <c r="BI113" s="160"/>
      <c r="BJ113" s="160"/>
      <c r="BK113" s="160"/>
      <c r="BL113" s="160"/>
      <c r="BM113" s="160"/>
      <c r="BN113" s="160"/>
      <c r="BO113" s="160"/>
      <c r="BP113" s="160"/>
      <c r="BQ113" s="160"/>
      <c r="BR113" s="160"/>
      <c r="BS113" s="160"/>
      <c r="BT113" s="160"/>
      <c r="BU113" s="160"/>
      <c r="BV113" s="160"/>
      <c r="BW113" s="160"/>
      <c r="BX113" s="160"/>
      <c r="BY113" s="160"/>
      <c r="BZ113" s="160"/>
      <c r="CA113" s="160"/>
      <c r="CB113" s="160"/>
      <c r="CC113" s="160"/>
      <c r="CD113" s="160"/>
      <c r="CE113" s="160"/>
      <c r="CF113" s="160"/>
      <c r="CG113" s="160"/>
      <c r="CH113" s="160"/>
      <c r="CI113" s="160"/>
      <c r="CJ113" s="160"/>
      <c r="CK113" s="160"/>
      <c r="CL113" s="160"/>
      <c r="CM113" s="160"/>
      <c r="CN113" s="160"/>
      <c r="CO113" s="160"/>
      <c r="CP113" s="160"/>
      <c r="CQ113" s="160"/>
      <c r="CR113" s="160"/>
      <c r="CS113" s="160"/>
      <c r="CT113" s="160"/>
      <c r="CU113" s="160"/>
      <c r="CV113" s="160"/>
    </row>
    <row r="114" spans="1:100" ht="39.75" customHeight="1" x14ac:dyDescent="0.2">
      <c r="A114" s="160"/>
      <c r="B114" s="160"/>
      <c r="C114" s="160"/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0"/>
      <c r="W114" s="160"/>
      <c r="X114" s="160"/>
      <c r="Y114" s="160"/>
      <c r="Z114" s="160"/>
      <c r="AA114" s="160"/>
      <c r="AB114" s="160"/>
      <c r="AC114" s="160"/>
      <c r="AD114" s="160"/>
      <c r="AE114" s="160"/>
      <c r="AF114" s="160"/>
      <c r="AG114" s="160"/>
      <c r="AH114" s="160"/>
      <c r="AI114" s="160"/>
      <c r="AJ114" s="160"/>
      <c r="AK114" s="160"/>
      <c r="AL114" s="160"/>
      <c r="AM114" s="160"/>
      <c r="AN114" s="160"/>
      <c r="AO114" s="160"/>
      <c r="AP114" s="160"/>
      <c r="AQ114" s="160"/>
      <c r="AR114" s="160"/>
      <c r="AS114" s="160"/>
      <c r="AT114" s="160"/>
      <c r="AU114" s="160"/>
      <c r="AV114" s="160"/>
      <c r="AW114" s="160"/>
      <c r="AX114" s="160"/>
      <c r="AY114" s="160"/>
      <c r="AZ114" s="160"/>
      <c r="BA114" s="160"/>
      <c r="BB114" s="160"/>
      <c r="BC114" s="160"/>
      <c r="BD114" s="160"/>
      <c r="BE114" s="160"/>
      <c r="BF114" s="160"/>
      <c r="BG114" s="160"/>
      <c r="BH114" s="160"/>
      <c r="BI114" s="160"/>
      <c r="BJ114" s="160"/>
      <c r="BK114" s="160"/>
      <c r="BL114" s="160"/>
      <c r="BM114" s="160"/>
      <c r="BN114" s="160"/>
      <c r="BO114" s="160"/>
      <c r="BP114" s="160"/>
      <c r="BQ114" s="160"/>
      <c r="BR114" s="160"/>
      <c r="BS114" s="160"/>
      <c r="BT114" s="160"/>
      <c r="BU114" s="160"/>
      <c r="BV114" s="160"/>
      <c r="BW114" s="160"/>
      <c r="BX114" s="160"/>
      <c r="BY114" s="160"/>
      <c r="BZ114" s="160"/>
      <c r="CA114" s="160"/>
      <c r="CB114" s="160"/>
      <c r="CC114" s="160"/>
      <c r="CD114" s="160"/>
      <c r="CE114" s="160"/>
      <c r="CF114" s="160"/>
      <c r="CG114" s="160"/>
      <c r="CH114" s="160"/>
      <c r="CI114" s="160"/>
      <c r="CJ114" s="160"/>
      <c r="CK114" s="160"/>
      <c r="CL114" s="160"/>
      <c r="CM114" s="160"/>
      <c r="CN114" s="160"/>
      <c r="CO114" s="160"/>
      <c r="CP114" s="160"/>
      <c r="CQ114" s="160"/>
      <c r="CR114" s="160"/>
      <c r="CS114" s="160"/>
      <c r="CT114" s="160"/>
      <c r="CU114" s="160"/>
      <c r="CV114" s="160"/>
    </row>
    <row r="115" spans="1:100" ht="39.75" customHeight="1" x14ac:dyDescent="0.2">
      <c r="A115" s="160"/>
      <c r="B115" s="160"/>
      <c r="C115" s="160"/>
      <c r="D115" s="160"/>
      <c r="E115" s="160"/>
      <c r="F115" s="160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0"/>
      <c r="AE115" s="160"/>
      <c r="AF115" s="160"/>
      <c r="AG115" s="160"/>
      <c r="AH115" s="160"/>
      <c r="AI115" s="160"/>
      <c r="AJ115" s="160"/>
      <c r="AK115" s="160"/>
      <c r="AL115" s="160"/>
      <c r="AM115" s="160"/>
      <c r="AN115" s="160"/>
      <c r="AO115" s="160"/>
      <c r="AP115" s="160"/>
      <c r="AQ115" s="160"/>
      <c r="AR115" s="160"/>
      <c r="AS115" s="160"/>
      <c r="AT115" s="160"/>
      <c r="AU115" s="160"/>
      <c r="AV115" s="160"/>
      <c r="AW115" s="160"/>
      <c r="AX115" s="160"/>
      <c r="AY115" s="160"/>
      <c r="AZ115" s="160"/>
      <c r="BA115" s="160"/>
      <c r="BB115" s="160"/>
      <c r="BC115" s="160"/>
      <c r="BD115" s="160"/>
      <c r="BE115" s="160"/>
      <c r="BF115" s="160"/>
      <c r="BG115" s="160"/>
      <c r="BH115" s="160"/>
      <c r="BI115" s="160"/>
      <c r="BJ115" s="160"/>
      <c r="BK115" s="160"/>
      <c r="BL115" s="160"/>
      <c r="BM115" s="160"/>
      <c r="BN115" s="160"/>
      <c r="BO115" s="160"/>
      <c r="BP115" s="160"/>
      <c r="BQ115" s="160"/>
      <c r="BR115" s="160"/>
      <c r="BS115" s="160"/>
      <c r="BT115" s="160"/>
      <c r="BU115" s="160"/>
      <c r="BV115" s="160"/>
      <c r="BW115" s="160"/>
      <c r="BX115" s="160"/>
      <c r="BY115" s="160"/>
      <c r="BZ115" s="160"/>
      <c r="CA115" s="160"/>
      <c r="CB115" s="160"/>
      <c r="CC115" s="160"/>
      <c r="CD115" s="160"/>
      <c r="CE115" s="160"/>
      <c r="CF115" s="160"/>
      <c r="CG115" s="160"/>
      <c r="CH115" s="160"/>
      <c r="CI115" s="160"/>
      <c r="CJ115" s="160"/>
      <c r="CK115" s="160"/>
      <c r="CL115" s="160"/>
      <c r="CM115" s="160"/>
      <c r="CN115" s="160"/>
      <c r="CO115" s="160"/>
      <c r="CP115" s="160"/>
      <c r="CQ115" s="160"/>
      <c r="CR115" s="160"/>
      <c r="CS115" s="160"/>
      <c r="CT115" s="160"/>
      <c r="CU115" s="160"/>
      <c r="CV115" s="160"/>
    </row>
    <row r="116" spans="1:100" ht="39.75" customHeight="1" x14ac:dyDescent="0.5">
      <c r="A116" s="160"/>
      <c r="B116" s="160"/>
      <c r="C116" s="181" t="s">
        <v>311</v>
      </c>
      <c r="D116" s="181" t="s">
        <v>310</v>
      </c>
      <c r="E116" s="181"/>
      <c r="F116" s="181" t="s">
        <v>309</v>
      </c>
      <c r="G116" s="181" t="s">
        <v>308</v>
      </c>
      <c r="H116" s="181" t="s">
        <v>307</v>
      </c>
      <c r="I116" s="160"/>
      <c r="J116" s="160"/>
      <c r="K116" s="183" t="b">
        <f>AND(B11=Q5,B17=Q23)</f>
        <v>0</v>
      </c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0"/>
      <c r="W116" s="160"/>
      <c r="X116" s="160"/>
      <c r="Y116" s="160"/>
      <c r="Z116" s="160"/>
      <c r="AA116" s="160"/>
      <c r="AB116" s="160"/>
      <c r="AC116" s="160"/>
      <c r="AD116" s="160"/>
      <c r="AE116" s="160"/>
      <c r="AF116" s="160"/>
      <c r="AG116" s="160"/>
      <c r="AH116" s="160"/>
      <c r="AI116" s="160"/>
      <c r="AJ116" s="160"/>
      <c r="AK116" s="160"/>
      <c r="AL116" s="160"/>
      <c r="AM116" s="160"/>
      <c r="AN116" s="160"/>
      <c r="AO116" s="160"/>
      <c r="AP116" s="160"/>
      <c r="AQ116" s="160"/>
      <c r="AR116" s="160"/>
      <c r="AS116" s="160"/>
      <c r="AT116" s="160"/>
      <c r="AU116" s="160"/>
      <c r="AV116" s="160"/>
      <c r="AW116" s="160"/>
      <c r="AX116" s="160"/>
      <c r="AY116" s="160"/>
      <c r="AZ116" s="160"/>
      <c r="BA116" s="160"/>
      <c r="BB116" s="160"/>
      <c r="BC116" s="160"/>
      <c r="BD116" s="160"/>
      <c r="BE116" s="160"/>
      <c r="BF116" s="160"/>
      <c r="BG116" s="160"/>
      <c r="BH116" s="160"/>
      <c r="BI116" s="160"/>
      <c r="BJ116" s="160"/>
      <c r="BK116" s="160"/>
      <c r="BL116" s="160"/>
      <c r="BM116" s="160"/>
      <c r="BN116" s="160"/>
      <c r="BO116" s="160"/>
      <c r="BP116" s="160"/>
      <c r="BQ116" s="160"/>
      <c r="BR116" s="160"/>
      <c r="BS116" s="160"/>
      <c r="BT116" s="160"/>
      <c r="BU116" s="160"/>
      <c r="BV116" s="160"/>
      <c r="BW116" s="160"/>
      <c r="BX116" s="160"/>
      <c r="BY116" s="160"/>
      <c r="BZ116" s="160"/>
      <c r="CA116" s="160"/>
      <c r="CB116" s="160"/>
      <c r="CC116" s="160"/>
      <c r="CD116" s="160"/>
      <c r="CE116" s="160"/>
      <c r="CF116" s="160"/>
      <c r="CG116" s="160"/>
      <c r="CH116" s="160"/>
      <c r="CI116" s="160"/>
      <c r="CJ116" s="160"/>
      <c r="CK116" s="160"/>
      <c r="CL116" s="160"/>
      <c r="CM116" s="160"/>
      <c r="CN116" s="160"/>
      <c r="CO116" s="160"/>
      <c r="CP116" s="160"/>
      <c r="CQ116" s="160"/>
      <c r="CR116" s="160"/>
      <c r="CS116" s="160"/>
      <c r="CT116" s="160"/>
      <c r="CU116" s="160"/>
      <c r="CV116" s="160"/>
    </row>
    <row r="117" spans="1:100" ht="39.75" customHeight="1" x14ac:dyDescent="0.5">
      <c r="A117" s="160"/>
      <c r="B117" s="160"/>
      <c r="C117" s="183" t="str">
        <f>IF(D117=B8,B20,B8)</f>
        <v>Dallas Mavericks</v>
      </c>
      <c r="D117" s="181" t="str">
        <f>D14</f>
        <v>San Antonio Spurs</v>
      </c>
      <c r="E117" s="181"/>
      <c r="F117" s="181" t="str">
        <f>S14</f>
        <v>San Antonio Spurs</v>
      </c>
      <c r="G117" s="181">
        <f>IF(F117=D117,1,0)</f>
        <v>1</v>
      </c>
      <c r="H117" s="184">
        <f>IF(D117=F117,MAX(Q9,Q17),MIN(Q9,Q17))</f>
        <v>0.66189518268000291</v>
      </c>
      <c r="I117" s="160"/>
      <c r="J117" s="160"/>
      <c r="K117" s="183" t="b">
        <f>AND(B35=Q29,B41=Q47)</f>
        <v>1</v>
      </c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0"/>
      <c r="W117" s="160"/>
      <c r="X117" s="160"/>
      <c r="Y117" s="160"/>
      <c r="Z117" s="160"/>
      <c r="AA117" s="160"/>
      <c r="AB117" s="160"/>
      <c r="AC117" s="160"/>
      <c r="AD117" s="160"/>
      <c r="AE117" s="160"/>
      <c r="AF117" s="160"/>
      <c r="AG117" s="160"/>
      <c r="AH117" s="160"/>
      <c r="AI117" s="160"/>
      <c r="AJ117" s="160"/>
      <c r="AK117" s="160"/>
      <c r="AL117" s="160"/>
      <c r="AM117" s="160"/>
      <c r="AN117" s="160"/>
      <c r="AO117" s="160"/>
      <c r="AP117" s="160"/>
      <c r="AQ117" s="160"/>
      <c r="AR117" s="160"/>
      <c r="AS117" s="160"/>
      <c r="AT117" s="160"/>
      <c r="AU117" s="160"/>
      <c r="AV117" s="160"/>
      <c r="AW117" s="160"/>
      <c r="AX117" s="160"/>
      <c r="AY117" s="160"/>
      <c r="AZ117" s="160"/>
      <c r="BA117" s="160"/>
      <c r="BB117" s="160"/>
      <c r="BC117" s="160"/>
      <c r="BD117" s="160"/>
      <c r="BE117" s="160"/>
      <c r="BF117" s="160"/>
      <c r="BG117" s="160"/>
      <c r="BH117" s="160"/>
      <c r="BI117" s="160"/>
      <c r="BJ117" s="160"/>
      <c r="BK117" s="160"/>
      <c r="BL117" s="160"/>
      <c r="BM117" s="160"/>
      <c r="BN117" s="160"/>
      <c r="BO117" s="160"/>
      <c r="BP117" s="160"/>
      <c r="BQ117" s="160"/>
      <c r="BR117" s="160"/>
      <c r="BS117" s="160"/>
      <c r="BT117" s="160"/>
      <c r="BU117" s="160"/>
      <c r="BV117" s="160"/>
      <c r="BW117" s="160"/>
      <c r="BX117" s="160"/>
      <c r="BY117" s="160"/>
      <c r="BZ117" s="160"/>
      <c r="CA117" s="160"/>
      <c r="CB117" s="160"/>
      <c r="CC117" s="160"/>
      <c r="CD117" s="160"/>
      <c r="CE117" s="160"/>
      <c r="CF117" s="160"/>
      <c r="CG117" s="160"/>
      <c r="CH117" s="160"/>
      <c r="CI117" s="160"/>
      <c r="CJ117" s="160"/>
      <c r="CK117" s="160"/>
      <c r="CL117" s="160"/>
      <c r="CM117" s="160"/>
      <c r="CN117" s="160"/>
      <c r="CO117" s="160"/>
      <c r="CP117" s="160"/>
      <c r="CQ117" s="160"/>
      <c r="CR117" s="160"/>
      <c r="CS117" s="160"/>
      <c r="CT117" s="160"/>
      <c r="CU117" s="160"/>
      <c r="CV117" s="160"/>
    </row>
    <row r="118" spans="1:100" ht="39.75" customHeight="1" x14ac:dyDescent="0.5">
      <c r="A118" s="160"/>
      <c r="B118" s="160"/>
      <c r="C118" s="183" t="str">
        <f>IF(D118=B32,B44,B32)</f>
        <v>Houston Rockets</v>
      </c>
      <c r="D118" s="181" t="str">
        <f>D38</f>
        <v>Portland Trail Blazers</v>
      </c>
      <c r="E118" s="181"/>
      <c r="F118" s="181" t="str">
        <f>S38</f>
        <v>Portland Trail Blazers</v>
      </c>
      <c r="G118" s="181">
        <f t="shared" ref="G118:G131" si="1">IF(F118=D118,1,0)</f>
        <v>1</v>
      </c>
      <c r="H118" s="184">
        <f>IF(D118=F118,MAX(Q33,Q41),MIN(Q33,Q41))</f>
        <v>0.50053431491171274</v>
      </c>
      <c r="I118" s="160"/>
      <c r="J118" s="160"/>
      <c r="K118" s="183" t="b">
        <f>AND(B61=Q55,B67=Q73)</f>
        <v>0</v>
      </c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</row>
    <row r="119" spans="1:100" ht="39.75" customHeight="1" x14ac:dyDescent="0.5">
      <c r="A119" s="160"/>
      <c r="B119" s="160"/>
      <c r="C119" s="183" t="str">
        <f>IF(D119=B58,B70,B58)</f>
        <v>Golden State Warriors</v>
      </c>
      <c r="D119" s="181" t="str">
        <f>D64</f>
        <v>Los Angeles Clippers</v>
      </c>
      <c r="E119" s="181"/>
      <c r="F119" s="181" t="str">
        <f>S64</f>
        <v>Los Angeles Clippers</v>
      </c>
      <c r="G119" s="181">
        <f t="shared" si="1"/>
        <v>1</v>
      </c>
      <c r="H119" s="184">
        <f>IF(D119=F119,MAX(Q59,Q67),MIN(Q59,Q67))</f>
        <v>0.58306791001133074</v>
      </c>
      <c r="I119" s="160"/>
      <c r="J119" s="160"/>
      <c r="K119" s="183" t="b">
        <f>AND(B85=Q79,B91=Q97)</f>
        <v>0</v>
      </c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</row>
    <row r="120" spans="1:100" ht="39.75" customHeight="1" x14ac:dyDescent="0.5">
      <c r="A120" s="160"/>
      <c r="B120" s="160"/>
      <c r="C120" s="183" t="str">
        <f>IF(D120=B82,B94,B82)</f>
        <v>Memphis Grizzlies</v>
      </c>
      <c r="D120" s="181" t="str">
        <f>D88</f>
        <v>Oklahoma City Thunder</v>
      </c>
      <c r="E120" s="181"/>
      <c r="F120" s="181" t="str">
        <f>S88</f>
        <v>Oklahoma City Thunder</v>
      </c>
      <c r="G120" s="181">
        <f t="shared" si="1"/>
        <v>1</v>
      </c>
      <c r="H120" s="184">
        <f>IF(D120=F120,MAX(Q83,Q91),MIN(Q83,Q91))</f>
        <v>0.65377962881644403</v>
      </c>
      <c r="I120" s="160"/>
      <c r="J120" s="160"/>
      <c r="K120" s="183" t="b">
        <f>AND(D17=S11,D35=S41,D14=S14,D38=S38)</f>
        <v>0</v>
      </c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</row>
    <row r="121" spans="1:100" ht="39.75" customHeight="1" x14ac:dyDescent="0.5">
      <c r="A121" s="160"/>
      <c r="B121" s="160"/>
      <c r="C121" s="183" t="str">
        <f>IF(D121=D14,D38,D14)</f>
        <v>Portland Trail Blazers</v>
      </c>
      <c r="D121" s="181" t="str">
        <f>F26</f>
        <v>San Antonio Spurs</v>
      </c>
      <c r="E121" s="181"/>
      <c r="F121" s="181" t="str">
        <f>U26</f>
        <v>San Antonio Spurs</v>
      </c>
      <c r="G121" s="181">
        <f t="shared" si="1"/>
        <v>1</v>
      </c>
      <c r="H121" s="184">
        <f>INDEX('Historical Snapshot'!$D$55:$AH$84,MATCH(IF(D121=D38,D38,D14),'Historical Snapshot'!$C$55:$C$84,0),MATCH(IF(D121=D38,D14,D38),'Historical Snapshot'!$D$54:$AH$54,0))</f>
        <v>0.58947681562065679</v>
      </c>
      <c r="I121" s="160"/>
      <c r="J121" s="160"/>
      <c r="K121" s="183" t="b">
        <f>AND(D67=S63,D85=S91,D64=S64,D88=S88)</f>
        <v>0</v>
      </c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</row>
    <row r="122" spans="1:100" ht="39.75" customHeight="1" x14ac:dyDescent="0.5">
      <c r="A122" s="160"/>
      <c r="B122" s="160"/>
      <c r="C122" s="183" t="str">
        <f>IF(D122=D64,D88,D64)</f>
        <v>Los Angeles Clippers</v>
      </c>
      <c r="D122" s="181" t="str">
        <f>F76</f>
        <v>Oklahoma City Thunder</v>
      </c>
      <c r="E122" s="181"/>
      <c r="F122" s="181" t="str">
        <f>U76</f>
        <v>Los Angeles Clippers</v>
      </c>
      <c r="G122" s="181">
        <f t="shared" si="1"/>
        <v>0</v>
      </c>
      <c r="H122" s="184">
        <f>INDEX('Historical Snapshot'!$D$55:$AH$84,MATCH(IF(D122=D64,D64,D88),'Historical Snapshot'!$C$55:$C$84,0),MATCH(IF(D122=D64,D88,D64),'Historical Snapshot'!$D$54:$AH$54,0))</f>
        <v>0.46291182929023089</v>
      </c>
      <c r="I122" s="160"/>
      <c r="J122" s="160"/>
      <c r="K122" s="183" t="b">
        <f>AND(F29=U23,F73=U79,F76=U76,F26=U26)</f>
        <v>0</v>
      </c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</row>
    <row r="123" spans="1:100" ht="39.75" customHeight="1" x14ac:dyDescent="0.5">
      <c r="A123" s="160"/>
      <c r="B123" s="160"/>
      <c r="C123" s="183" t="str">
        <f>IF(D123=F26,F76,F26)</f>
        <v>Oklahoma City Thunder</v>
      </c>
      <c r="D123" s="181" t="str">
        <f>G52</f>
        <v>San Antonio Spurs</v>
      </c>
      <c r="E123" s="181"/>
      <c r="F123" s="181" t="str">
        <f>V52</f>
        <v>San Antonio Spurs</v>
      </c>
      <c r="G123" s="181">
        <f t="shared" si="1"/>
        <v>1</v>
      </c>
      <c r="H123" s="184">
        <f>INDEX('Historical Snapshot'!$D$55:$AH$84,MATCH(IF(D123=F26,F26,F76),'Historical Snapshot'!$C$55:$C$84,0),MATCH(IF(D123=F26,F76,F26),'Historical Snapshot'!$D$54:$AH$54,0))</f>
        <v>0.53830513085109322</v>
      </c>
      <c r="I123" s="160"/>
      <c r="J123" s="160"/>
      <c r="K123" s="183" t="b">
        <f>AND(G48=V47,G64=V65,G52=V52,G63=V63)</f>
        <v>1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</row>
    <row r="124" spans="1:100" ht="39.75" customHeight="1" x14ac:dyDescent="0.5">
      <c r="A124" s="160"/>
      <c r="B124" s="160"/>
      <c r="C124" s="183" t="str">
        <f>IF(D124=H26,H76,H26)</f>
        <v>Indiana Pacers</v>
      </c>
      <c r="D124" s="181" t="str">
        <f>G63</f>
        <v>Miami Heat</v>
      </c>
      <c r="E124" s="181"/>
      <c r="F124" s="181" t="str">
        <f>V63</f>
        <v>Miami Heat</v>
      </c>
      <c r="G124" s="181">
        <f t="shared" si="1"/>
        <v>1</v>
      </c>
      <c r="H124" s="184">
        <f>INDEX('Historical Snapshot'!$D$55:$AH$84,MATCH(IF(D124=H26,H26,H76),'Historical Snapshot'!$C$55:$C$84,0),MATCH(IF(D124=H26,H76,H26),'Historical Snapshot'!$D$54:$AH$54,0))</f>
        <v>0.51300789380041434</v>
      </c>
      <c r="I124" s="160"/>
      <c r="J124" s="160"/>
      <c r="K124" s="183" t="b">
        <f>AND(L11=AA5,L17=AA23)</f>
        <v>0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</row>
    <row r="125" spans="1:100" ht="39.75" customHeight="1" x14ac:dyDescent="0.5">
      <c r="A125" s="160"/>
      <c r="B125" s="160"/>
      <c r="C125" s="183" t="str">
        <f>IF(D125=J14,J38,J14)</f>
        <v>Washington Wizards</v>
      </c>
      <c r="D125" s="181" t="str">
        <f>H26</f>
        <v>Indiana Pacers</v>
      </c>
      <c r="E125" s="181"/>
      <c r="F125" s="181" t="str">
        <f>W26</f>
        <v>Indiana Pacers</v>
      </c>
      <c r="G125" s="181">
        <f t="shared" si="1"/>
        <v>1</v>
      </c>
      <c r="H125" s="184">
        <f>INDEX('Historical Snapshot'!$D$55:$AH$84,MATCH(IF(D125=J14,J14,J38),'Historical Snapshot'!$C$55:$C$84,0),MATCH(IF(D125=J14,J38,J14),'Historical Snapshot'!$D$54:$AH$54,0))</f>
        <v>0.62535080835048884</v>
      </c>
      <c r="I125" s="160"/>
      <c r="J125" s="160"/>
      <c r="K125" s="183" t="b">
        <f>AND(L35=AA29,L41=AA47)</f>
        <v>0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</row>
    <row r="126" spans="1:100" ht="39.75" customHeight="1" x14ac:dyDescent="0.5">
      <c r="A126" s="160"/>
      <c r="B126" s="160"/>
      <c r="C126" s="183" t="str">
        <f>IF(D126=J64,J88,J64)</f>
        <v>Brooklyn Nets</v>
      </c>
      <c r="D126" s="181" t="str">
        <f>H76</f>
        <v>Miami Heat</v>
      </c>
      <c r="E126" s="181"/>
      <c r="F126" s="181" t="str">
        <f>W76</f>
        <v>Miami Heat</v>
      </c>
      <c r="G126" s="181">
        <f t="shared" si="1"/>
        <v>1</v>
      </c>
      <c r="H126" s="184">
        <f>INDEX('Historical Snapshot'!$D$55:$AH$84,MATCH(IF(D126=J64,J64,J88),'Historical Snapshot'!$C$55:$C$84,0),MATCH(IF(D126=J64,J88,J64),'Historical Snapshot'!$D$54:$AH$54,0))</f>
        <v>0.75027323218571729</v>
      </c>
      <c r="I126" s="160"/>
      <c r="J126" s="160"/>
      <c r="K126" s="183" t="b">
        <f>AND(L61=AA55,L67=AA73)</f>
        <v>0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0"/>
      <c r="W126" s="160"/>
      <c r="X126" s="160"/>
      <c r="Y126" s="160"/>
      <c r="Z126" s="160"/>
      <c r="AA126" s="160"/>
      <c r="AB126" s="160"/>
      <c r="AC126" s="160"/>
      <c r="AD126" s="160"/>
      <c r="AE126" s="160"/>
      <c r="AF126" s="160"/>
      <c r="AG126" s="160"/>
      <c r="AH126" s="160"/>
      <c r="AI126" s="160"/>
      <c r="AJ126" s="160"/>
      <c r="AK126" s="160"/>
      <c r="AL126" s="160"/>
      <c r="AM126" s="160"/>
      <c r="AN126" s="160"/>
      <c r="AO126" s="160"/>
      <c r="AP126" s="160"/>
      <c r="AQ126" s="160"/>
      <c r="AR126" s="160"/>
      <c r="AS126" s="160"/>
      <c r="AT126" s="160"/>
      <c r="AU126" s="160"/>
      <c r="AV126" s="160"/>
      <c r="AW126" s="160"/>
      <c r="AX126" s="160"/>
      <c r="AY126" s="160"/>
      <c r="AZ126" s="160"/>
      <c r="BA126" s="160"/>
      <c r="BB126" s="160"/>
      <c r="BC126" s="160"/>
      <c r="BD126" s="160"/>
      <c r="BE126" s="160"/>
      <c r="BF126" s="160"/>
      <c r="BG126" s="160"/>
      <c r="BH126" s="160"/>
      <c r="BI126" s="160"/>
      <c r="BJ126" s="160"/>
      <c r="BK126" s="160"/>
      <c r="BL126" s="160"/>
      <c r="BM126" s="160"/>
      <c r="BN126" s="160"/>
      <c r="BO126" s="160"/>
      <c r="BP126" s="160"/>
      <c r="BQ126" s="160"/>
      <c r="BR126" s="160"/>
      <c r="BS126" s="160"/>
      <c r="BT126" s="160"/>
      <c r="BU126" s="160"/>
      <c r="BV126" s="160"/>
      <c r="BW126" s="160"/>
      <c r="BX126" s="160"/>
      <c r="BY126" s="160"/>
      <c r="BZ126" s="160"/>
      <c r="CA126" s="160"/>
      <c r="CB126" s="160"/>
      <c r="CC126" s="160"/>
      <c r="CD126" s="160"/>
      <c r="CE126" s="160"/>
      <c r="CF126" s="160"/>
      <c r="CG126" s="160"/>
      <c r="CH126" s="160"/>
      <c r="CI126" s="160"/>
      <c r="CJ126" s="160"/>
      <c r="CK126" s="160"/>
      <c r="CL126" s="160"/>
      <c r="CM126" s="160"/>
      <c r="CN126" s="160"/>
      <c r="CO126" s="160"/>
      <c r="CP126" s="160"/>
      <c r="CQ126" s="160"/>
      <c r="CR126" s="160"/>
      <c r="CS126" s="160"/>
      <c r="CT126" s="160"/>
      <c r="CU126" s="160"/>
      <c r="CV126" s="160"/>
    </row>
    <row r="127" spans="1:100" ht="39.75" customHeight="1" x14ac:dyDescent="0.5">
      <c r="A127" s="160"/>
      <c r="B127" s="160"/>
      <c r="C127" s="183" t="str">
        <f>IF(D127=L8,L20,L8)</f>
        <v>Atlanta Hawks</v>
      </c>
      <c r="D127" s="181" t="str">
        <f>J14</f>
        <v>Indiana Pacers</v>
      </c>
      <c r="E127" s="181"/>
      <c r="F127" s="181" t="str">
        <f>Y14</f>
        <v>Indiana Pacers</v>
      </c>
      <c r="G127" s="181">
        <f t="shared" si="1"/>
        <v>1</v>
      </c>
      <c r="H127" s="184">
        <f>IF(D127=F127,MAX(AA9,AA17),MIN(AA9,AA17))</f>
        <v>0.71235284988453873</v>
      </c>
      <c r="I127" s="160"/>
      <c r="J127" s="160"/>
      <c r="K127" s="183" t="b">
        <f>AND(L85=AA79,L91=AA97)</f>
        <v>0</v>
      </c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0"/>
      <c r="AC127" s="160"/>
      <c r="AD127" s="160"/>
      <c r="AE127" s="160"/>
      <c r="AF127" s="160"/>
      <c r="AG127" s="160"/>
      <c r="AH127" s="160"/>
      <c r="AI127" s="160"/>
      <c r="AJ127" s="160"/>
      <c r="AK127" s="160"/>
      <c r="AL127" s="160"/>
      <c r="AM127" s="160"/>
      <c r="AN127" s="160"/>
      <c r="AO127" s="160"/>
      <c r="AP127" s="160"/>
      <c r="AQ127" s="160"/>
      <c r="AR127" s="160"/>
      <c r="AS127" s="160"/>
      <c r="AT127" s="160"/>
      <c r="AU127" s="160"/>
      <c r="AV127" s="160"/>
      <c r="AW127" s="160"/>
      <c r="AX127" s="160"/>
      <c r="AY127" s="160"/>
      <c r="AZ127" s="160"/>
      <c r="BA127" s="160"/>
      <c r="BB127" s="160"/>
      <c r="BC127" s="160"/>
      <c r="BD127" s="160"/>
      <c r="BE127" s="160"/>
      <c r="BF127" s="160"/>
      <c r="BG127" s="160"/>
      <c r="BH127" s="160"/>
      <c r="BI127" s="160"/>
      <c r="BJ127" s="160"/>
      <c r="BK127" s="160"/>
      <c r="BL127" s="160"/>
      <c r="BM127" s="160"/>
      <c r="BN127" s="160"/>
      <c r="BO127" s="160"/>
      <c r="BP127" s="160"/>
      <c r="BQ127" s="160"/>
      <c r="BR127" s="160"/>
      <c r="BS127" s="160"/>
      <c r="BT127" s="160"/>
      <c r="BU127" s="160"/>
      <c r="BV127" s="160"/>
      <c r="BW127" s="160"/>
      <c r="BX127" s="160"/>
      <c r="BY127" s="160"/>
      <c r="BZ127" s="160"/>
      <c r="CA127" s="160"/>
      <c r="CB127" s="160"/>
      <c r="CC127" s="160"/>
      <c r="CD127" s="160"/>
      <c r="CE127" s="160"/>
      <c r="CF127" s="160"/>
      <c r="CG127" s="160"/>
      <c r="CH127" s="160"/>
      <c r="CI127" s="160"/>
      <c r="CJ127" s="160"/>
      <c r="CK127" s="160"/>
      <c r="CL127" s="160"/>
      <c r="CM127" s="160"/>
      <c r="CN127" s="160"/>
      <c r="CO127" s="160"/>
      <c r="CP127" s="160"/>
      <c r="CQ127" s="160"/>
      <c r="CR127" s="160"/>
      <c r="CS127" s="160"/>
      <c r="CT127" s="160"/>
      <c r="CU127" s="160"/>
      <c r="CV127" s="160"/>
    </row>
    <row r="128" spans="1:100" ht="39.75" customHeight="1" x14ac:dyDescent="0.5">
      <c r="A128" s="160"/>
      <c r="B128" s="160"/>
      <c r="C128" s="183" t="str">
        <f>IF(D128=L32,L44,L32)</f>
        <v>Chicago Bulls</v>
      </c>
      <c r="D128" s="181" t="str">
        <f>J38</f>
        <v>Washington Wizards</v>
      </c>
      <c r="E128" s="181"/>
      <c r="F128" s="181" t="str">
        <f>Y38</f>
        <v>Chicago Bulls</v>
      </c>
      <c r="G128" s="181">
        <f t="shared" si="1"/>
        <v>0</v>
      </c>
      <c r="H128" s="184">
        <f>IF(D128=F128,MAX(AA33,AA41),MIN(AA33,AA41))</f>
        <v>0.46808715230959019</v>
      </c>
      <c r="I128" s="160"/>
      <c r="J128" s="160"/>
      <c r="K128" s="183" t="b">
        <f>AND(J17=Y11,J35=Y41,J14=Y14,J38=Y38)</f>
        <v>0</v>
      </c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0"/>
      <c r="W128" s="160"/>
      <c r="X128" s="160"/>
      <c r="Y128" s="160"/>
      <c r="Z128" s="160"/>
      <c r="AA128" s="160"/>
      <c r="AB128" s="160"/>
      <c r="AC128" s="160"/>
      <c r="AD128" s="160"/>
      <c r="AE128" s="160"/>
      <c r="AF128" s="160"/>
      <c r="AG128" s="160"/>
      <c r="AH128" s="160"/>
      <c r="AI128" s="160"/>
      <c r="AJ128" s="160"/>
      <c r="AK128" s="160"/>
      <c r="AL128" s="160"/>
      <c r="AM128" s="160"/>
      <c r="AN128" s="160"/>
      <c r="AO128" s="160"/>
      <c r="AP128" s="160"/>
      <c r="AQ128" s="160"/>
      <c r="AR128" s="160"/>
      <c r="AS128" s="160"/>
      <c r="AT128" s="160"/>
      <c r="AU128" s="160"/>
      <c r="AV128" s="160"/>
      <c r="AW128" s="160"/>
      <c r="AX128" s="160"/>
      <c r="AY128" s="160"/>
      <c r="AZ128" s="160"/>
      <c r="BA128" s="160"/>
      <c r="BB128" s="160"/>
      <c r="BC128" s="160"/>
      <c r="BD128" s="160"/>
      <c r="BE128" s="160"/>
      <c r="BF128" s="160"/>
      <c r="BG128" s="160"/>
      <c r="BH128" s="160"/>
      <c r="BI128" s="160"/>
      <c r="BJ128" s="160"/>
      <c r="BK128" s="160"/>
      <c r="BL128" s="160"/>
      <c r="BM128" s="160"/>
      <c r="BN128" s="160"/>
      <c r="BO128" s="160"/>
      <c r="BP128" s="160"/>
      <c r="BQ128" s="160"/>
      <c r="BR128" s="160"/>
      <c r="BS128" s="160"/>
      <c r="BT128" s="160"/>
      <c r="BU128" s="160"/>
      <c r="BV128" s="160"/>
      <c r="BW128" s="160"/>
      <c r="BX128" s="160"/>
      <c r="BY128" s="160"/>
      <c r="BZ128" s="160"/>
      <c r="CA128" s="160"/>
      <c r="CB128" s="160"/>
      <c r="CC128" s="160"/>
      <c r="CD128" s="160"/>
      <c r="CE128" s="160"/>
      <c r="CF128" s="160"/>
      <c r="CG128" s="160"/>
      <c r="CH128" s="160"/>
      <c r="CI128" s="160"/>
      <c r="CJ128" s="160"/>
      <c r="CK128" s="160"/>
      <c r="CL128" s="160"/>
      <c r="CM128" s="160"/>
      <c r="CN128" s="160"/>
      <c r="CO128" s="160"/>
      <c r="CP128" s="160"/>
      <c r="CQ128" s="160"/>
      <c r="CR128" s="160"/>
      <c r="CS128" s="160"/>
      <c r="CT128" s="160"/>
      <c r="CU128" s="160"/>
      <c r="CV128" s="160"/>
    </row>
    <row r="129" spans="1:100" ht="39.75" customHeight="1" x14ac:dyDescent="0.5">
      <c r="A129" s="160"/>
      <c r="B129" s="160"/>
      <c r="C129" s="183" t="str">
        <f>IF(D129=L58,L70,L58)</f>
        <v>Toronto Raptors</v>
      </c>
      <c r="D129" s="181" t="str">
        <f>J64</f>
        <v>Brooklyn Nets</v>
      </c>
      <c r="E129" s="181"/>
      <c r="F129" s="181" t="str">
        <f>Y64</f>
        <v>Toronto Raptors</v>
      </c>
      <c r="G129" s="181">
        <f t="shared" si="1"/>
        <v>0</v>
      </c>
      <c r="H129" s="184">
        <f>IF(D129=F129,MAX(AA59,AA67),MIN(AA59,AA67))</f>
        <v>0.29607821752696617</v>
      </c>
      <c r="I129" s="160"/>
      <c r="J129" s="160"/>
      <c r="K129" s="183" t="b">
        <f>AND(J67=Y63,J85=Y91,J64=Y64,J88=Y88)</f>
        <v>0</v>
      </c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0"/>
      <c r="W129" s="160"/>
      <c r="X129" s="160"/>
      <c r="Y129" s="160"/>
      <c r="Z129" s="160"/>
      <c r="AA129" s="160"/>
      <c r="AB129" s="160"/>
      <c r="AC129" s="160"/>
      <c r="AD129" s="160"/>
      <c r="AE129" s="160"/>
      <c r="AF129" s="160"/>
      <c r="AG129" s="160"/>
      <c r="AH129" s="160"/>
      <c r="AI129" s="160"/>
      <c r="AJ129" s="160"/>
      <c r="AK129" s="160"/>
      <c r="AL129" s="160"/>
      <c r="AM129" s="160"/>
      <c r="AN129" s="160"/>
      <c r="AO129" s="160"/>
      <c r="AP129" s="160"/>
      <c r="AQ129" s="160"/>
      <c r="AR129" s="160"/>
      <c r="AS129" s="160"/>
      <c r="AT129" s="160"/>
      <c r="AU129" s="160"/>
      <c r="AV129" s="160"/>
      <c r="AW129" s="160"/>
      <c r="AX129" s="160"/>
      <c r="AY129" s="160"/>
      <c r="AZ129" s="160"/>
      <c r="BA129" s="160"/>
      <c r="BB129" s="160"/>
      <c r="BC129" s="160"/>
      <c r="BD129" s="160"/>
      <c r="BE129" s="160"/>
      <c r="BF129" s="160"/>
      <c r="BG129" s="160"/>
      <c r="BH129" s="160"/>
      <c r="BI129" s="160"/>
      <c r="BJ129" s="160"/>
      <c r="BK129" s="160"/>
      <c r="BL129" s="160"/>
      <c r="BM129" s="160"/>
      <c r="BN129" s="160"/>
      <c r="BO129" s="160"/>
      <c r="BP129" s="160"/>
      <c r="BQ129" s="160"/>
      <c r="BR129" s="160"/>
      <c r="BS129" s="160"/>
      <c r="BT129" s="160"/>
      <c r="BU129" s="160"/>
      <c r="BV129" s="160"/>
      <c r="BW129" s="160"/>
      <c r="BX129" s="160"/>
      <c r="BY129" s="160"/>
      <c r="BZ129" s="160"/>
      <c r="CA129" s="160"/>
      <c r="CB129" s="160"/>
      <c r="CC129" s="160"/>
      <c r="CD129" s="160"/>
      <c r="CE129" s="160"/>
      <c r="CF129" s="160"/>
      <c r="CG129" s="160"/>
      <c r="CH129" s="160"/>
      <c r="CI129" s="160"/>
      <c r="CJ129" s="160"/>
      <c r="CK129" s="160"/>
      <c r="CL129" s="160"/>
      <c r="CM129" s="160"/>
      <c r="CN129" s="160"/>
      <c r="CO129" s="160"/>
      <c r="CP129" s="160"/>
      <c r="CQ129" s="160"/>
      <c r="CR129" s="160"/>
      <c r="CS129" s="160"/>
      <c r="CT129" s="160"/>
      <c r="CU129" s="160"/>
      <c r="CV129" s="160"/>
    </row>
    <row r="130" spans="1:100" ht="39.75" customHeight="1" x14ac:dyDescent="0.5">
      <c r="A130" s="160"/>
      <c r="B130" s="160"/>
      <c r="C130" s="183" t="str">
        <f>IF(D130=L82,L94,L82)</f>
        <v>Charlotte Hornets</v>
      </c>
      <c r="D130" s="181" t="str">
        <f>J88</f>
        <v>Miami Heat</v>
      </c>
      <c r="E130" s="181"/>
      <c r="F130" s="181" t="str">
        <f>Y88</f>
        <v>Miami Heat</v>
      </c>
      <c r="G130" s="181">
        <f t="shared" si="1"/>
        <v>1</v>
      </c>
      <c r="H130" s="184">
        <f>IF(D130=F130,MAX(AA83,AA91),MIN(AA83,AA91))</f>
        <v>0.71856698298230026</v>
      </c>
      <c r="I130" s="160"/>
      <c r="J130" s="160"/>
      <c r="K130" s="183" t="b">
        <f>AND(H29=W23,H73=W79,H26=W26,H76=W76)</f>
        <v>1</v>
      </c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</row>
    <row r="131" spans="1:100" ht="39.75" customHeight="1" x14ac:dyDescent="0.5">
      <c r="A131" s="160"/>
      <c r="B131" s="160"/>
      <c r="C131" s="183" t="str">
        <f>IF(D131=G52,G63,G52)</f>
        <v>Miami Heat</v>
      </c>
      <c r="D131" s="181" t="str">
        <f>RIGHT(G56,LEN(G56)-4*FIND(" ",G56))</f>
        <v>San Antonio Spurs</v>
      </c>
      <c r="E131" s="160"/>
      <c r="F131" s="181" t="str">
        <f>V56</f>
        <v>San Antonio Spurs</v>
      </c>
      <c r="G131" s="181">
        <f t="shared" si="1"/>
        <v>1</v>
      </c>
      <c r="H131" s="184">
        <f>INDEX('Historical Snapshot'!$D$55:$AH$84,MATCH(IF(RIGHT(D131,5)=RIGHT(G63,5),G63,G52),'Historical Snapshot'!$C$55:$C$84,0),MATCH(IF(RIGHT(D131,5)=RIGHT(G63,5),G52,G63),'Historical Snapshot'!$D$54:$AH$54,0))</f>
        <v>0.6030103710342557</v>
      </c>
      <c r="I131" s="160"/>
      <c r="J131" s="160"/>
      <c r="K131" s="183">
        <f>COUNTIF(K116:K130,"TRUE")</f>
        <v>3</v>
      </c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</row>
    <row r="132" spans="1:100" ht="39.75" customHeight="1" x14ac:dyDescent="0.2">
      <c r="A132" s="160"/>
      <c r="B132" s="160"/>
      <c r="C132" s="160"/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</row>
    <row r="133" spans="1:100" ht="39.75" customHeight="1" x14ac:dyDescent="0.2">
      <c r="A133" s="160"/>
      <c r="B133" s="160"/>
      <c r="C133" s="160"/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0"/>
      <c r="W133" s="160"/>
      <c r="X133" s="160"/>
      <c r="Y133" s="160"/>
      <c r="Z133" s="160"/>
      <c r="AA133" s="160"/>
      <c r="AB133" s="160"/>
      <c r="AC133" s="160"/>
      <c r="AD133" s="160"/>
      <c r="AE133" s="160"/>
      <c r="AF133" s="160"/>
      <c r="AG133" s="160"/>
      <c r="AH133" s="160"/>
      <c r="AI133" s="160"/>
      <c r="AJ133" s="160"/>
      <c r="AK133" s="160"/>
      <c r="AL133" s="160"/>
      <c r="AM133" s="160"/>
      <c r="AN133" s="160"/>
      <c r="AO133" s="160"/>
      <c r="AP133" s="160"/>
      <c r="AQ133" s="160"/>
      <c r="AR133" s="160"/>
      <c r="AS133" s="160"/>
      <c r="AT133" s="160"/>
      <c r="AU133" s="160"/>
      <c r="AV133" s="160"/>
      <c r="AW133" s="160"/>
      <c r="AX133" s="160"/>
      <c r="AY133" s="160"/>
      <c r="AZ133" s="160"/>
      <c r="BA133" s="160"/>
      <c r="BB133" s="160"/>
      <c r="BC133" s="160"/>
      <c r="BD133" s="160"/>
      <c r="BE133" s="160"/>
      <c r="BF133" s="160"/>
      <c r="BG133" s="160"/>
      <c r="BH133" s="160"/>
      <c r="BI133" s="160"/>
      <c r="BJ133" s="160"/>
      <c r="BK133" s="160"/>
      <c r="BL133" s="160"/>
      <c r="BM133" s="160"/>
      <c r="BN133" s="160"/>
      <c r="BO133" s="160"/>
      <c r="BP133" s="160"/>
      <c r="BQ133" s="160"/>
      <c r="BR133" s="160"/>
      <c r="BS133" s="160"/>
      <c r="BT133" s="160"/>
      <c r="BU133" s="160"/>
      <c r="BV133" s="160"/>
      <c r="BW133" s="160"/>
      <c r="BX133" s="160"/>
      <c r="BY133" s="160"/>
      <c r="BZ133" s="160"/>
      <c r="CA133" s="160"/>
      <c r="CB133" s="160"/>
      <c r="CC133" s="160"/>
      <c r="CD133" s="160"/>
      <c r="CE133" s="160"/>
      <c r="CF133" s="160"/>
      <c r="CG133" s="160"/>
      <c r="CH133" s="160"/>
      <c r="CI133" s="160"/>
      <c r="CJ133" s="160"/>
      <c r="CK133" s="160"/>
      <c r="CL133" s="160"/>
      <c r="CM133" s="160"/>
      <c r="CN133" s="160"/>
      <c r="CO133" s="160"/>
      <c r="CP133" s="160"/>
      <c r="CQ133" s="160"/>
      <c r="CR133" s="160"/>
      <c r="CS133" s="160"/>
      <c r="CT133" s="160"/>
      <c r="CU133" s="160"/>
      <c r="CV133" s="160"/>
    </row>
    <row r="134" spans="1:100" ht="39.75" customHeight="1" x14ac:dyDescent="0.2">
      <c r="A134" s="160"/>
      <c r="B134" s="160"/>
      <c r="C134" s="160"/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  <c r="AI134" s="160"/>
      <c r="AJ134" s="160"/>
      <c r="AK134" s="160"/>
      <c r="AL134" s="160"/>
      <c r="AM134" s="160"/>
      <c r="AN134" s="160"/>
      <c r="AO134" s="160"/>
      <c r="AP134" s="160"/>
      <c r="AQ134" s="160"/>
      <c r="AR134" s="160"/>
      <c r="AS134" s="160"/>
      <c r="AT134" s="160"/>
      <c r="AU134" s="160"/>
      <c r="AV134" s="160"/>
      <c r="AW134" s="160"/>
      <c r="AX134" s="160"/>
      <c r="AY134" s="160"/>
      <c r="AZ134" s="160"/>
      <c r="BA134" s="160"/>
      <c r="BB134" s="160"/>
      <c r="BC134" s="160"/>
      <c r="BD134" s="160"/>
      <c r="BE134" s="160"/>
      <c r="BF134" s="160"/>
      <c r="BG134" s="160"/>
      <c r="BH134" s="160"/>
      <c r="BI134" s="160"/>
      <c r="BJ134" s="160"/>
      <c r="BK134" s="160"/>
      <c r="BL134" s="160"/>
      <c r="BM134" s="160"/>
      <c r="BN134" s="160"/>
      <c r="BO134" s="160"/>
      <c r="BP134" s="160"/>
      <c r="BQ134" s="160"/>
      <c r="BR134" s="160"/>
      <c r="BS134" s="160"/>
      <c r="BT134" s="160"/>
      <c r="BU134" s="160"/>
      <c r="BV134" s="160"/>
      <c r="BW134" s="160"/>
      <c r="BX134" s="160"/>
      <c r="BY134" s="160"/>
      <c r="BZ134" s="160"/>
      <c r="CA134" s="160"/>
      <c r="CB134" s="160"/>
      <c r="CC134" s="160"/>
      <c r="CD134" s="160"/>
      <c r="CE134" s="160"/>
      <c r="CF134" s="160"/>
      <c r="CG134" s="160"/>
      <c r="CH134" s="160"/>
      <c r="CI134" s="160"/>
      <c r="CJ134" s="160"/>
      <c r="CK134" s="160"/>
      <c r="CL134" s="160"/>
      <c r="CM134" s="160"/>
      <c r="CN134" s="160"/>
      <c r="CO134" s="160"/>
      <c r="CP134" s="160"/>
      <c r="CQ134" s="160"/>
      <c r="CR134" s="160"/>
      <c r="CS134" s="160"/>
      <c r="CT134" s="160"/>
      <c r="CU134" s="160"/>
      <c r="CV134" s="160"/>
    </row>
    <row r="135" spans="1:100" ht="39.75" customHeight="1" x14ac:dyDescent="0.2">
      <c r="A135" s="160"/>
      <c r="B135" s="160"/>
      <c r="C135" s="160"/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0"/>
      <c r="W135" s="160"/>
      <c r="X135" s="160"/>
      <c r="Y135" s="160"/>
      <c r="Z135" s="160"/>
      <c r="AA135" s="160"/>
      <c r="AB135" s="160"/>
      <c r="AC135" s="160"/>
      <c r="AD135" s="160"/>
      <c r="AE135" s="160"/>
      <c r="AF135" s="160"/>
      <c r="AG135" s="160"/>
      <c r="AH135" s="160"/>
      <c r="AI135" s="160"/>
      <c r="AJ135" s="160"/>
      <c r="AK135" s="160"/>
      <c r="AL135" s="160"/>
      <c r="AM135" s="160"/>
      <c r="AN135" s="160"/>
      <c r="AO135" s="160"/>
      <c r="AP135" s="160"/>
      <c r="AQ135" s="160"/>
      <c r="AR135" s="160"/>
      <c r="AS135" s="160"/>
      <c r="AT135" s="160"/>
      <c r="AU135" s="160"/>
      <c r="AV135" s="160"/>
      <c r="AW135" s="160"/>
      <c r="AX135" s="160"/>
      <c r="AY135" s="160"/>
      <c r="AZ135" s="160"/>
      <c r="BA135" s="160"/>
      <c r="BB135" s="160"/>
      <c r="BC135" s="160"/>
      <c r="BD135" s="160"/>
      <c r="BE135" s="160"/>
      <c r="BF135" s="160"/>
      <c r="BG135" s="160"/>
      <c r="BH135" s="160"/>
      <c r="BI135" s="160"/>
      <c r="BJ135" s="160"/>
      <c r="BK135" s="160"/>
      <c r="BL135" s="160"/>
      <c r="BM135" s="160"/>
      <c r="BN135" s="160"/>
      <c r="BO135" s="160"/>
      <c r="BP135" s="160"/>
      <c r="BQ135" s="160"/>
      <c r="BR135" s="160"/>
      <c r="BS135" s="160"/>
      <c r="BT135" s="160"/>
      <c r="BU135" s="160"/>
      <c r="BV135" s="160"/>
      <c r="BW135" s="160"/>
      <c r="BX135" s="160"/>
      <c r="BY135" s="160"/>
      <c r="BZ135" s="160"/>
      <c r="CA135" s="160"/>
      <c r="CB135" s="160"/>
      <c r="CC135" s="160"/>
      <c r="CD135" s="160"/>
      <c r="CE135" s="160"/>
      <c r="CF135" s="160"/>
      <c r="CG135" s="160"/>
      <c r="CH135" s="160"/>
      <c r="CI135" s="160"/>
      <c r="CJ135" s="160"/>
      <c r="CK135" s="160"/>
      <c r="CL135" s="160"/>
      <c r="CM135" s="160"/>
      <c r="CN135" s="160"/>
      <c r="CO135" s="160"/>
      <c r="CP135" s="160"/>
      <c r="CQ135" s="160"/>
      <c r="CR135" s="160"/>
      <c r="CS135" s="160"/>
      <c r="CT135" s="160"/>
      <c r="CU135" s="160"/>
      <c r="CV135" s="160"/>
    </row>
    <row r="136" spans="1:100" ht="39.75" customHeight="1" x14ac:dyDescent="0.2">
      <c r="A136" s="160"/>
      <c r="B136" s="160"/>
      <c r="C136" s="160"/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0"/>
      <c r="W136" s="160"/>
      <c r="X136" s="160"/>
      <c r="Y136" s="160"/>
      <c r="Z136" s="160"/>
      <c r="AA136" s="160"/>
      <c r="AB136" s="160"/>
      <c r="AC136" s="160"/>
      <c r="AD136" s="160"/>
      <c r="AE136" s="160"/>
      <c r="AF136" s="160"/>
      <c r="AG136" s="160"/>
      <c r="AH136" s="160"/>
      <c r="AI136" s="160"/>
      <c r="AJ136" s="160"/>
      <c r="AK136" s="160"/>
      <c r="AL136" s="160"/>
      <c r="AM136" s="160"/>
      <c r="AN136" s="160"/>
      <c r="AO136" s="160"/>
      <c r="AP136" s="160"/>
      <c r="AQ136" s="160"/>
      <c r="AR136" s="160"/>
      <c r="AS136" s="160"/>
      <c r="AT136" s="160"/>
      <c r="AU136" s="160"/>
      <c r="AV136" s="160"/>
      <c r="AW136" s="160"/>
      <c r="AX136" s="160"/>
      <c r="AY136" s="160"/>
      <c r="AZ136" s="160"/>
      <c r="BA136" s="160"/>
      <c r="BB136" s="160"/>
      <c r="BC136" s="160"/>
      <c r="BD136" s="160"/>
      <c r="BE136" s="160"/>
      <c r="BF136" s="160"/>
      <c r="BG136" s="160"/>
      <c r="BH136" s="160"/>
      <c r="BI136" s="160"/>
      <c r="BJ136" s="160"/>
      <c r="BK136" s="160"/>
      <c r="BL136" s="160"/>
      <c r="BM136" s="160"/>
      <c r="BN136" s="160"/>
      <c r="BO136" s="160"/>
      <c r="BP136" s="160"/>
      <c r="BQ136" s="160"/>
      <c r="BR136" s="160"/>
      <c r="BS136" s="160"/>
      <c r="BT136" s="160"/>
      <c r="BU136" s="160"/>
      <c r="BV136" s="160"/>
      <c r="BW136" s="160"/>
      <c r="BX136" s="160"/>
      <c r="BY136" s="160"/>
      <c r="BZ136" s="160"/>
      <c r="CA136" s="160"/>
      <c r="CB136" s="160"/>
      <c r="CC136" s="160"/>
      <c r="CD136" s="160"/>
      <c r="CE136" s="160"/>
      <c r="CF136" s="160"/>
      <c r="CG136" s="160"/>
      <c r="CH136" s="160"/>
      <c r="CI136" s="160"/>
      <c r="CJ136" s="160"/>
      <c r="CK136" s="160"/>
      <c r="CL136" s="160"/>
      <c r="CM136" s="160"/>
      <c r="CN136" s="160"/>
      <c r="CO136" s="160"/>
      <c r="CP136" s="160"/>
      <c r="CQ136" s="160"/>
      <c r="CR136" s="160"/>
      <c r="CS136" s="160"/>
      <c r="CT136" s="160"/>
      <c r="CU136" s="160"/>
      <c r="CV136" s="160"/>
    </row>
    <row r="137" spans="1:100" ht="39.75" customHeight="1" x14ac:dyDescent="0.2">
      <c r="A137" s="160"/>
      <c r="B137" s="160"/>
      <c r="C137" s="160"/>
      <c r="D137" s="160"/>
      <c r="E137" s="160"/>
      <c r="F137" s="160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0"/>
      <c r="W137" s="160"/>
      <c r="X137" s="160"/>
      <c r="Y137" s="160"/>
      <c r="Z137" s="160"/>
      <c r="AA137" s="160"/>
      <c r="AB137" s="160"/>
      <c r="AC137" s="160"/>
      <c r="AD137" s="160"/>
      <c r="AE137" s="160"/>
      <c r="AF137" s="160"/>
      <c r="AG137" s="160"/>
      <c r="AH137" s="160"/>
      <c r="AI137" s="160"/>
      <c r="AJ137" s="160"/>
      <c r="AK137" s="160"/>
      <c r="AL137" s="160"/>
      <c r="AM137" s="160"/>
      <c r="AN137" s="160"/>
      <c r="AO137" s="160"/>
      <c r="AP137" s="160"/>
      <c r="AQ137" s="160"/>
      <c r="AR137" s="160"/>
      <c r="AS137" s="160"/>
      <c r="AT137" s="160"/>
      <c r="AU137" s="160"/>
      <c r="AV137" s="160"/>
      <c r="AW137" s="160"/>
      <c r="AX137" s="160"/>
      <c r="AY137" s="160"/>
      <c r="AZ137" s="160"/>
      <c r="BA137" s="160"/>
      <c r="BB137" s="160"/>
      <c r="BC137" s="160"/>
      <c r="BD137" s="160"/>
      <c r="BE137" s="160"/>
      <c r="BF137" s="160"/>
      <c r="BG137" s="160"/>
      <c r="BH137" s="160"/>
      <c r="BI137" s="160"/>
      <c r="BJ137" s="160"/>
      <c r="BK137" s="160"/>
      <c r="BL137" s="160"/>
      <c r="BM137" s="160"/>
      <c r="BN137" s="160"/>
      <c r="BO137" s="160"/>
      <c r="BP137" s="160"/>
      <c r="BQ137" s="160"/>
      <c r="BR137" s="160"/>
      <c r="BS137" s="160"/>
      <c r="BT137" s="160"/>
      <c r="BU137" s="160"/>
      <c r="BV137" s="160"/>
      <c r="BW137" s="160"/>
      <c r="BX137" s="160"/>
      <c r="BY137" s="160"/>
      <c r="BZ137" s="160"/>
      <c r="CA137" s="160"/>
      <c r="CB137" s="160"/>
      <c r="CC137" s="160"/>
      <c r="CD137" s="160"/>
      <c r="CE137" s="160"/>
      <c r="CF137" s="160"/>
      <c r="CG137" s="160"/>
      <c r="CH137" s="160"/>
      <c r="CI137" s="160"/>
      <c r="CJ137" s="160"/>
      <c r="CK137" s="160"/>
      <c r="CL137" s="160"/>
      <c r="CM137" s="160"/>
      <c r="CN137" s="160"/>
      <c r="CO137" s="160"/>
      <c r="CP137" s="160"/>
      <c r="CQ137" s="160"/>
      <c r="CR137" s="160"/>
      <c r="CS137" s="160"/>
      <c r="CT137" s="160"/>
      <c r="CU137" s="160"/>
      <c r="CV137" s="160"/>
    </row>
    <row r="138" spans="1:100" ht="39.75" customHeight="1" x14ac:dyDescent="0.2">
      <c r="A138" s="160"/>
      <c r="B138" s="160"/>
      <c r="C138" s="160"/>
      <c r="D138" s="160"/>
      <c r="E138" s="160"/>
      <c r="F138" s="160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0"/>
      <c r="W138" s="160"/>
      <c r="X138" s="160"/>
      <c r="Y138" s="160"/>
      <c r="Z138" s="160"/>
      <c r="AA138" s="160"/>
      <c r="AB138" s="160"/>
      <c r="AC138" s="160"/>
      <c r="AD138" s="160"/>
      <c r="AE138" s="160"/>
      <c r="AF138" s="160"/>
      <c r="AG138" s="160"/>
      <c r="AH138" s="160"/>
      <c r="AI138" s="160"/>
      <c r="AJ138" s="160"/>
      <c r="AK138" s="160"/>
      <c r="AL138" s="160"/>
      <c r="AM138" s="160"/>
      <c r="AN138" s="160"/>
      <c r="AO138" s="160"/>
      <c r="AP138" s="160"/>
      <c r="AQ138" s="160"/>
      <c r="AR138" s="160"/>
      <c r="AS138" s="160"/>
      <c r="AT138" s="160"/>
      <c r="AU138" s="160"/>
      <c r="AV138" s="160"/>
      <c r="AW138" s="160"/>
      <c r="AX138" s="160"/>
      <c r="AY138" s="160"/>
      <c r="AZ138" s="160"/>
      <c r="BA138" s="160"/>
      <c r="BB138" s="160"/>
      <c r="BC138" s="160"/>
      <c r="BD138" s="160"/>
      <c r="BE138" s="160"/>
      <c r="BF138" s="160"/>
      <c r="BG138" s="160"/>
      <c r="BH138" s="160"/>
      <c r="BI138" s="160"/>
      <c r="BJ138" s="160"/>
      <c r="BK138" s="160"/>
      <c r="BL138" s="160"/>
      <c r="BM138" s="160"/>
      <c r="BN138" s="160"/>
      <c r="BO138" s="160"/>
      <c r="BP138" s="160"/>
      <c r="BQ138" s="160"/>
      <c r="BR138" s="160"/>
      <c r="BS138" s="160"/>
      <c r="BT138" s="160"/>
      <c r="BU138" s="160"/>
      <c r="BV138" s="160"/>
      <c r="BW138" s="160"/>
      <c r="BX138" s="160"/>
      <c r="BY138" s="160"/>
      <c r="BZ138" s="160"/>
      <c r="CA138" s="160"/>
      <c r="CB138" s="160"/>
      <c r="CC138" s="160"/>
      <c r="CD138" s="160"/>
      <c r="CE138" s="160"/>
      <c r="CF138" s="160"/>
      <c r="CG138" s="160"/>
      <c r="CH138" s="160"/>
      <c r="CI138" s="160"/>
      <c r="CJ138" s="160"/>
      <c r="CK138" s="160"/>
      <c r="CL138" s="160"/>
      <c r="CM138" s="160"/>
      <c r="CN138" s="160"/>
      <c r="CO138" s="160"/>
      <c r="CP138" s="160"/>
      <c r="CQ138" s="160"/>
      <c r="CR138" s="160"/>
      <c r="CS138" s="160"/>
      <c r="CT138" s="160"/>
      <c r="CU138" s="160"/>
      <c r="CV138" s="160"/>
    </row>
    <row r="139" spans="1:100" ht="39.75" customHeight="1" x14ac:dyDescent="0.2">
      <c r="A139" s="160"/>
      <c r="B139" s="160"/>
      <c r="C139" s="160"/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</row>
    <row r="140" spans="1:100" ht="39.75" customHeight="1" x14ac:dyDescent="0.2">
      <c r="A140" s="160"/>
      <c r="B140" s="160"/>
      <c r="C140" s="160"/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0"/>
      <c r="W140" s="160"/>
      <c r="X140" s="160"/>
      <c r="Y140" s="160"/>
      <c r="Z140" s="160"/>
      <c r="AA140" s="160"/>
      <c r="AB140" s="160"/>
      <c r="AC140" s="160"/>
      <c r="AD140" s="160"/>
      <c r="AE140" s="160"/>
      <c r="AF140" s="160"/>
      <c r="AG140" s="160"/>
      <c r="AH140" s="160"/>
      <c r="AI140" s="160"/>
      <c r="AJ140" s="160"/>
      <c r="AK140" s="160"/>
      <c r="AL140" s="160"/>
      <c r="AM140" s="160"/>
      <c r="AN140" s="160"/>
      <c r="AO140" s="160"/>
      <c r="AP140" s="160"/>
      <c r="AQ140" s="160"/>
      <c r="AR140" s="160"/>
      <c r="AS140" s="160"/>
      <c r="AT140" s="160"/>
      <c r="AU140" s="160"/>
      <c r="AV140" s="160"/>
      <c r="AW140" s="160"/>
      <c r="AX140" s="160"/>
      <c r="AY140" s="160"/>
      <c r="AZ140" s="160"/>
      <c r="BA140" s="160"/>
      <c r="BB140" s="160"/>
      <c r="BC140" s="160"/>
      <c r="BD140" s="160"/>
      <c r="BE140" s="160"/>
      <c r="BF140" s="160"/>
      <c r="BG140" s="160"/>
      <c r="BH140" s="160"/>
      <c r="BI140" s="160"/>
      <c r="BJ140" s="160"/>
      <c r="BK140" s="160"/>
      <c r="BL140" s="160"/>
      <c r="BM140" s="160"/>
      <c r="BN140" s="160"/>
      <c r="BO140" s="160"/>
      <c r="BP140" s="160"/>
      <c r="BQ140" s="160"/>
      <c r="BR140" s="160"/>
      <c r="BS140" s="160"/>
      <c r="BT140" s="160"/>
      <c r="BU140" s="160"/>
      <c r="BV140" s="160"/>
      <c r="BW140" s="160"/>
      <c r="BX140" s="160"/>
      <c r="BY140" s="160"/>
      <c r="BZ140" s="160"/>
      <c r="CA140" s="160"/>
      <c r="CB140" s="160"/>
      <c r="CC140" s="160"/>
      <c r="CD140" s="160"/>
      <c r="CE140" s="160"/>
      <c r="CF140" s="160"/>
      <c r="CG140" s="160"/>
      <c r="CH140" s="160"/>
      <c r="CI140" s="160"/>
      <c r="CJ140" s="160"/>
      <c r="CK140" s="160"/>
      <c r="CL140" s="160"/>
      <c r="CM140" s="160"/>
      <c r="CN140" s="160"/>
      <c r="CO140" s="160"/>
      <c r="CP140" s="160"/>
      <c r="CQ140" s="160"/>
      <c r="CR140" s="160"/>
      <c r="CS140" s="160"/>
      <c r="CT140" s="160"/>
      <c r="CU140" s="160"/>
      <c r="CV140" s="160"/>
    </row>
    <row r="141" spans="1:100" ht="39.75" customHeight="1" x14ac:dyDescent="0.2">
      <c r="A141" s="160"/>
      <c r="B141" s="160"/>
      <c r="C141" s="160"/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0"/>
      <c r="W141" s="160"/>
      <c r="X141" s="160"/>
      <c r="Y141" s="160"/>
      <c r="Z141" s="160"/>
      <c r="AA141" s="160"/>
      <c r="AB141" s="160"/>
      <c r="AC141" s="160"/>
      <c r="AD141" s="160"/>
      <c r="AE141" s="160"/>
      <c r="AF141" s="160"/>
      <c r="AG141" s="160"/>
      <c r="AH141" s="160"/>
      <c r="AI141" s="160"/>
      <c r="AJ141" s="160"/>
      <c r="AK141" s="160"/>
      <c r="AL141" s="160"/>
      <c r="AM141" s="160"/>
      <c r="AN141" s="160"/>
      <c r="AO141" s="160"/>
      <c r="AP141" s="160"/>
      <c r="AQ141" s="160"/>
      <c r="AR141" s="160"/>
      <c r="AS141" s="160"/>
      <c r="AT141" s="160"/>
      <c r="AU141" s="160"/>
      <c r="AV141" s="160"/>
      <c r="AW141" s="160"/>
      <c r="AX141" s="160"/>
      <c r="AY141" s="160"/>
      <c r="AZ141" s="160"/>
      <c r="BA141" s="160"/>
      <c r="BB141" s="160"/>
      <c r="BC141" s="160"/>
      <c r="BD141" s="160"/>
      <c r="BE141" s="160"/>
      <c r="BF141" s="160"/>
      <c r="BG141" s="160"/>
      <c r="BH141" s="160"/>
      <c r="BI141" s="160"/>
      <c r="BJ141" s="160"/>
      <c r="BK141" s="160"/>
      <c r="BL141" s="160"/>
      <c r="BM141" s="160"/>
      <c r="BN141" s="160"/>
      <c r="BO141" s="160"/>
      <c r="BP141" s="160"/>
      <c r="BQ141" s="160"/>
      <c r="BR141" s="160"/>
      <c r="BS141" s="160"/>
      <c r="BT141" s="160"/>
      <c r="BU141" s="160"/>
      <c r="BV141" s="160"/>
      <c r="BW141" s="160"/>
      <c r="BX141" s="160"/>
      <c r="BY141" s="160"/>
      <c r="BZ141" s="160"/>
      <c r="CA141" s="160"/>
      <c r="CB141" s="160"/>
      <c r="CC141" s="160"/>
      <c r="CD141" s="160"/>
      <c r="CE141" s="160"/>
      <c r="CF141" s="160"/>
      <c r="CG141" s="160"/>
      <c r="CH141" s="160"/>
      <c r="CI141" s="160"/>
      <c r="CJ141" s="160"/>
      <c r="CK141" s="160"/>
      <c r="CL141" s="160"/>
      <c r="CM141" s="160"/>
      <c r="CN141" s="160"/>
      <c r="CO141" s="160"/>
      <c r="CP141" s="160"/>
      <c r="CQ141" s="160"/>
      <c r="CR141" s="160"/>
      <c r="CS141" s="160"/>
      <c r="CT141" s="160"/>
      <c r="CU141" s="160"/>
      <c r="CV141" s="160"/>
    </row>
    <row r="142" spans="1:100" ht="39.75" customHeight="1" x14ac:dyDescent="0.2">
      <c r="A142" s="160"/>
      <c r="B142" s="160"/>
      <c r="C142" s="160"/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0"/>
      <c r="W142" s="160"/>
      <c r="X142" s="160"/>
      <c r="Y142" s="160"/>
      <c r="Z142" s="160"/>
      <c r="AA142" s="160"/>
      <c r="AB142" s="160"/>
      <c r="AC142" s="160"/>
      <c r="AD142" s="160"/>
      <c r="AE142" s="160"/>
      <c r="AF142" s="160"/>
      <c r="AG142" s="160"/>
      <c r="AH142" s="160"/>
      <c r="AI142" s="160"/>
      <c r="AJ142" s="160"/>
      <c r="AK142" s="160"/>
      <c r="AL142" s="160"/>
      <c r="AM142" s="160"/>
      <c r="AN142" s="160"/>
      <c r="AO142" s="160"/>
      <c r="AP142" s="160"/>
      <c r="AQ142" s="160"/>
      <c r="AR142" s="160"/>
      <c r="AS142" s="160"/>
      <c r="AT142" s="160"/>
      <c r="AU142" s="160"/>
      <c r="AV142" s="160"/>
      <c r="AW142" s="160"/>
      <c r="AX142" s="160"/>
      <c r="AY142" s="160"/>
      <c r="AZ142" s="160"/>
      <c r="BA142" s="160"/>
      <c r="BB142" s="160"/>
      <c r="BC142" s="160"/>
      <c r="BD142" s="160"/>
      <c r="BE142" s="160"/>
      <c r="BF142" s="160"/>
      <c r="BG142" s="160"/>
      <c r="BH142" s="160"/>
      <c r="BI142" s="160"/>
      <c r="BJ142" s="160"/>
      <c r="BK142" s="160"/>
      <c r="BL142" s="160"/>
      <c r="BM142" s="160"/>
      <c r="BN142" s="160"/>
      <c r="BO142" s="160"/>
      <c r="BP142" s="160"/>
      <c r="BQ142" s="160"/>
      <c r="BR142" s="160"/>
      <c r="BS142" s="160"/>
      <c r="BT142" s="160"/>
      <c r="BU142" s="160"/>
      <c r="BV142" s="160"/>
      <c r="BW142" s="160"/>
      <c r="BX142" s="160"/>
      <c r="BY142" s="160"/>
      <c r="BZ142" s="160"/>
      <c r="CA142" s="160"/>
      <c r="CB142" s="160"/>
      <c r="CC142" s="160"/>
      <c r="CD142" s="160"/>
      <c r="CE142" s="160"/>
      <c r="CF142" s="160"/>
      <c r="CG142" s="160"/>
      <c r="CH142" s="160"/>
      <c r="CI142" s="160"/>
      <c r="CJ142" s="160"/>
      <c r="CK142" s="160"/>
      <c r="CL142" s="160"/>
      <c r="CM142" s="160"/>
      <c r="CN142" s="160"/>
      <c r="CO142" s="160"/>
      <c r="CP142" s="160"/>
      <c r="CQ142" s="160"/>
      <c r="CR142" s="160"/>
      <c r="CS142" s="160"/>
      <c r="CT142" s="160"/>
      <c r="CU142" s="160"/>
      <c r="CV142" s="160"/>
    </row>
    <row r="143" spans="1:100" ht="39.75" customHeight="1" x14ac:dyDescent="0.2">
      <c r="A143" s="160"/>
      <c r="B143" s="160"/>
      <c r="C143" s="160"/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0"/>
      <c r="W143" s="160"/>
      <c r="X143" s="160"/>
      <c r="Y143" s="160"/>
      <c r="Z143" s="160"/>
      <c r="AA143" s="160"/>
      <c r="AB143" s="160"/>
      <c r="AC143" s="160"/>
      <c r="AD143" s="160"/>
      <c r="AE143" s="160"/>
      <c r="AF143" s="160"/>
      <c r="AG143" s="160"/>
      <c r="AH143" s="160"/>
      <c r="AI143" s="160"/>
      <c r="AJ143" s="160"/>
      <c r="AK143" s="160"/>
      <c r="AL143" s="160"/>
      <c r="AM143" s="160"/>
      <c r="AN143" s="160"/>
      <c r="AO143" s="160"/>
      <c r="AP143" s="160"/>
      <c r="AQ143" s="160"/>
      <c r="AR143" s="160"/>
      <c r="AS143" s="160"/>
      <c r="AT143" s="160"/>
      <c r="AU143" s="160"/>
      <c r="AV143" s="160"/>
      <c r="AW143" s="160"/>
      <c r="AX143" s="160"/>
      <c r="AY143" s="160"/>
      <c r="AZ143" s="160"/>
      <c r="BA143" s="160"/>
      <c r="BB143" s="160"/>
      <c r="BC143" s="160"/>
      <c r="BD143" s="160"/>
      <c r="BE143" s="160"/>
      <c r="BF143" s="160"/>
      <c r="BG143" s="160"/>
      <c r="BH143" s="160"/>
      <c r="BI143" s="160"/>
      <c r="BJ143" s="160"/>
      <c r="BK143" s="160"/>
      <c r="BL143" s="160"/>
      <c r="BM143" s="160"/>
      <c r="BN143" s="160"/>
      <c r="BO143" s="160"/>
      <c r="BP143" s="160"/>
      <c r="BQ143" s="160"/>
      <c r="BR143" s="160"/>
      <c r="BS143" s="160"/>
      <c r="BT143" s="160"/>
      <c r="BU143" s="160"/>
      <c r="BV143" s="160"/>
      <c r="BW143" s="160"/>
      <c r="BX143" s="160"/>
      <c r="BY143" s="160"/>
      <c r="BZ143" s="160"/>
      <c r="CA143" s="160"/>
      <c r="CB143" s="160"/>
      <c r="CC143" s="160"/>
      <c r="CD143" s="160"/>
      <c r="CE143" s="160"/>
      <c r="CF143" s="160"/>
      <c r="CG143" s="160"/>
      <c r="CH143" s="160"/>
      <c r="CI143" s="160"/>
      <c r="CJ143" s="160"/>
      <c r="CK143" s="160"/>
      <c r="CL143" s="160"/>
      <c r="CM143" s="160"/>
      <c r="CN143" s="160"/>
      <c r="CO143" s="160"/>
      <c r="CP143" s="160"/>
      <c r="CQ143" s="160"/>
      <c r="CR143" s="160"/>
      <c r="CS143" s="160"/>
      <c r="CT143" s="160"/>
      <c r="CU143" s="160"/>
      <c r="CV143" s="160"/>
    </row>
    <row r="144" spans="1:100" ht="39.75" customHeight="1" x14ac:dyDescent="0.2">
      <c r="A144" s="160"/>
      <c r="B144" s="160"/>
      <c r="C144" s="160"/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0"/>
      <c r="W144" s="160"/>
      <c r="X144" s="160"/>
      <c r="Y144" s="160"/>
      <c r="Z144" s="160"/>
      <c r="AA144" s="160"/>
      <c r="AB144" s="160"/>
      <c r="AC144" s="160"/>
      <c r="AD144" s="160"/>
      <c r="AE144" s="160"/>
      <c r="AF144" s="160"/>
      <c r="AG144" s="160"/>
      <c r="AH144" s="160"/>
      <c r="AI144" s="160"/>
      <c r="AJ144" s="160"/>
      <c r="AK144" s="160"/>
      <c r="AL144" s="160"/>
      <c r="AM144" s="160"/>
      <c r="AN144" s="160"/>
      <c r="AO144" s="160"/>
      <c r="AP144" s="160"/>
      <c r="AQ144" s="160"/>
      <c r="AR144" s="160"/>
      <c r="AS144" s="160"/>
      <c r="AT144" s="160"/>
      <c r="AU144" s="160"/>
      <c r="AV144" s="160"/>
      <c r="AW144" s="160"/>
      <c r="AX144" s="160"/>
      <c r="AY144" s="160"/>
      <c r="AZ144" s="160"/>
      <c r="BA144" s="160"/>
      <c r="BB144" s="160"/>
      <c r="BC144" s="160"/>
      <c r="BD144" s="160"/>
      <c r="BE144" s="160"/>
      <c r="BF144" s="160"/>
      <c r="BG144" s="160"/>
      <c r="BH144" s="160"/>
      <c r="BI144" s="160"/>
      <c r="BJ144" s="160"/>
      <c r="BK144" s="160"/>
      <c r="BL144" s="160"/>
      <c r="BM144" s="160"/>
      <c r="BN144" s="160"/>
      <c r="BO144" s="160"/>
      <c r="BP144" s="160"/>
      <c r="BQ144" s="160"/>
      <c r="BR144" s="160"/>
      <c r="BS144" s="160"/>
      <c r="BT144" s="160"/>
      <c r="BU144" s="160"/>
      <c r="BV144" s="160"/>
      <c r="BW144" s="160"/>
      <c r="BX144" s="160"/>
      <c r="BY144" s="160"/>
      <c r="BZ144" s="160"/>
      <c r="CA144" s="160"/>
      <c r="CB144" s="160"/>
      <c r="CC144" s="160"/>
      <c r="CD144" s="160"/>
      <c r="CE144" s="160"/>
      <c r="CF144" s="160"/>
      <c r="CG144" s="160"/>
      <c r="CH144" s="160"/>
      <c r="CI144" s="160"/>
      <c r="CJ144" s="160"/>
      <c r="CK144" s="160"/>
      <c r="CL144" s="160"/>
      <c r="CM144" s="160"/>
      <c r="CN144" s="160"/>
      <c r="CO144" s="160"/>
      <c r="CP144" s="160"/>
      <c r="CQ144" s="160"/>
      <c r="CR144" s="160"/>
      <c r="CS144" s="160"/>
      <c r="CT144" s="160"/>
      <c r="CU144" s="160"/>
      <c r="CV144" s="160"/>
    </row>
    <row r="145" spans="1:100" ht="39.75" customHeight="1" x14ac:dyDescent="0.2">
      <c r="A145" s="160"/>
      <c r="B145" s="160"/>
      <c r="C145" s="160"/>
      <c r="D145" s="160"/>
      <c r="E145" s="160"/>
      <c r="F145" s="160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0"/>
      <c r="W145" s="160"/>
      <c r="X145" s="160"/>
      <c r="Y145" s="160"/>
      <c r="Z145" s="160"/>
      <c r="AA145" s="160"/>
      <c r="AB145" s="160"/>
      <c r="AC145" s="160"/>
      <c r="AD145" s="160"/>
      <c r="AE145" s="160"/>
      <c r="AF145" s="160"/>
      <c r="AG145" s="160"/>
      <c r="AH145" s="160"/>
      <c r="AI145" s="160"/>
      <c r="AJ145" s="160"/>
      <c r="AK145" s="160"/>
      <c r="AL145" s="160"/>
      <c r="AM145" s="160"/>
      <c r="AN145" s="160"/>
      <c r="AO145" s="160"/>
      <c r="AP145" s="160"/>
      <c r="AQ145" s="160"/>
      <c r="AR145" s="160"/>
      <c r="AS145" s="160"/>
      <c r="AT145" s="160"/>
      <c r="AU145" s="160"/>
      <c r="AV145" s="160"/>
      <c r="AW145" s="160"/>
      <c r="AX145" s="160"/>
      <c r="AY145" s="160"/>
      <c r="AZ145" s="160"/>
      <c r="BA145" s="160"/>
      <c r="BB145" s="160"/>
      <c r="BC145" s="160"/>
      <c r="BD145" s="160"/>
      <c r="BE145" s="160"/>
      <c r="BF145" s="160"/>
      <c r="BG145" s="160"/>
      <c r="BH145" s="160"/>
      <c r="BI145" s="160"/>
      <c r="BJ145" s="160"/>
      <c r="BK145" s="160"/>
      <c r="BL145" s="160"/>
      <c r="BM145" s="160"/>
      <c r="BN145" s="160"/>
      <c r="BO145" s="160"/>
      <c r="BP145" s="160"/>
      <c r="BQ145" s="160"/>
      <c r="BR145" s="160"/>
      <c r="BS145" s="160"/>
      <c r="BT145" s="160"/>
      <c r="BU145" s="160"/>
      <c r="BV145" s="160"/>
      <c r="BW145" s="160"/>
      <c r="BX145" s="160"/>
      <c r="BY145" s="160"/>
      <c r="BZ145" s="160"/>
      <c r="CA145" s="160"/>
      <c r="CB145" s="160"/>
      <c r="CC145" s="160"/>
      <c r="CD145" s="160"/>
      <c r="CE145" s="160"/>
      <c r="CF145" s="160"/>
      <c r="CG145" s="160"/>
      <c r="CH145" s="160"/>
      <c r="CI145" s="160"/>
      <c r="CJ145" s="160"/>
      <c r="CK145" s="160"/>
      <c r="CL145" s="160"/>
      <c r="CM145" s="160"/>
      <c r="CN145" s="160"/>
      <c r="CO145" s="160"/>
      <c r="CP145" s="160"/>
      <c r="CQ145" s="160"/>
      <c r="CR145" s="160"/>
      <c r="CS145" s="160"/>
      <c r="CT145" s="160"/>
      <c r="CU145" s="160"/>
      <c r="CV145" s="160"/>
    </row>
    <row r="146" spans="1:100" ht="39.75" customHeight="1" x14ac:dyDescent="0.2">
      <c r="A146" s="160"/>
      <c r="B146" s="160"/>
      <c r="C146" s="160"/>
      <c r="D146" s="160"/>
      <c r="E146" s="160"/>
      <c r="F146" s="160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0"/>
      <c r="W146" s="160"/>
      <c r="X146" s="160"/>
      <c r="Y146" s="160"/>
      <c r="Z146" s="160"/>
      <c r="AA146" s="160"/>
      <c r="AB146" s="160"/>
      <c r="AC146" s="160"/>
      <c r="AD146" s="160"/>
      <c r="AE146" s="160"/>
      <c r="AF146" s="160"/>
      <c r="AG146" s="160"/>
      <c r="AH146" s="160"/>
      <c r="AI146" s="160"/>
      <c r="AJ146" s="160"/>
      <c r="AK146" s="160"/>
      <c r="AL146" s="160"/>
      <c r="AM146" s="160"/>
      <c r="AN146" s="160"/>
      <c r="AO146" s="160"/>
      <c r="AP146" s="160"/>
      <c r="AQ146" s="160"/>
      <c r="AR146" s="160"/>
      <c r="AS146" s="160"/>
      <c r="AT146" s="160"/>
      <c r="AU146" s="160"/>
      <c r="AV146" s="160"/>
      <c r="AW146" s="160"/>
      <c r="AX146" s="160"/>
      <c r="AY146" s="160"/>
      <c r="AZ146" s="160"/>
      <c r="BA146" s="160"/>
      <c r="BB146" s="160"/>
      <c r="BC146" s="160"/>
      <c r="BD146" s="160"/>
      <c r="BE146" s="160"/>
      <c r="BF146" s="160"/>
      <c r="BG146" s="160"/>
      <c r="BH146" s="160"/>
      <c r="BI146" s="160"/>
      <c r="BJ146" s="160"/>
      <c r="BK146" s="160"/>
      <c r="BL146" s="160"/>
      <c r="BM146" s="160"/>
      <c r="BN146" s="160"/>
      <c r="BO146" s="160"/>
      <c r="BP146" s="160"/>
      <c r="BQ146" s="160"/>
      <c r="BR146" s="160"/>
      <c r="BS146" s="160"/>
      <c r="BT146" s="160"/>
      <c r="BU146" s="160"/>
      <c r="BV146" s="160"/>
      <c r="BW146" s="160"/>
      <c r="BX146" s="160"/>
      <c r="BY146" s="160"/>
      <c r="BZ146" s="160"/>
      <c r="CA146" s="160"/>
      <c r="CB146" s="160"/>
      <c r="CC146" s="160"/>
      <c r="CD146" s="160"/>
      <c r="CE146" s="160"/>
      <c r="CF146" s="160"/>
      <c r="CG146" s="160"/>
      <c r="CH146" s="160"/>
      <c r="CI146" s="160"/>
      <c r="CJ146" s="160"/>
      <c r="CK146" s="160"/>
      <c r="CL146" s="160"/>
      <c r="CM146" s="160"/>
      <c r="CN146" s="160"/>
      <c r="CO146" s="160"/>
      <c r="CP146" s="160"/>
      <c r="CQ146" s="160"/>
      <c r="CR146" s="160"/>
      <c r="CS146" s="160"/>
      <c r="CT146" s="160"/>
      <c r="CU146" s="160"/>
      <c r="CV146" s="160"/>
    </row>
    <row r="147" spans="1:100" ht="39.75" customHeight="1" x14ac:dyDescent="0.2">
      <c r="A147" s="160"/>
      <c r="B147" s="160"/>
      <c r="C147" s="160"/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0"/>
      <c r="W147" s="160"/>
      <c r="X147" s="160"/>
      <c r="Y147" s="160"/>
      <c r="Z147" s="160"/>
      <c r="AA147" s="160"/>
      <c r="AB147" s="160"/>
      <c r="AC147" s="160"/>
      <c r="AD147" s="160"/>
      <c r="AE147" s="160"/>
      <c r="AF147" s="160"/>
      <c r="AG147" s="160"/>
      <c r="AH147" s="160"/>
      <c r="AI147" s="160"/>
      <c r="AJ147" s="160"/>
      <c r="AK147" s="160"/>
      <c r="AL147" s="160"/>
      <c r="AM147" s="160"/>
      <c r="AN147" s="160"/>
      <c r="AO147" s="160"/>
      <c r="AP147" s="160"/>
      <c r="AQ147" s="160"/>
      <c r="AR147" s="160"/>
      <c r="AS147" s="160"/>
      <c r="AT147" s="160"/>
      <c r="AU147" s="160"/>
      <c r="AV147" s="160"/>
      <c r="AW147" s="160"/>
      <c r="AX147" s="160"/>
      <c r="AY147" s="160"/>
      <c r="AZ147" s="160"/>
      <c r="BA147" s="160"/>
      <c r="BB147" s="160"/>
      <c r="BC147" s="160"/>
      <c r="BD147" s="160"/>
      <c r="BE147" s="160"/>
      <c r="BF147" s="160"/>
      <c r="BG147" s="160"/>
      <c r="BH147" s="160"/>
      <c r="BI147" s="160"/>
      <c r="BJ147" s="160"/>
      <c r="BK147" s="160"/>
      <c r="BL147" s="160"/>
      <c r="BM147" s="160"/>
      <c r="BN147" s="160"/>
      <c r="BO147" s="160"/>
      <c r="BP147" s="160"/>
      <c r="BQ147" s="160"/>
      <c r="BR147" s="160"/>
      <c r="BS147" s="160"/>
      <c r="BT147" s="160"/>
      <c r="BU147" s="160"/>
      <c r="BV147" s="160"/>
      <c r="BW147" s="160"/>
      <c r="BX147" s="160"/>
      <c r="BY147" s="160"/>
      <c r="BZ147" s="160"/>
      <c r="CA147" s="160"/>
      <c r="CB147" s="160"/>
      <c r="CC147" s="160"/>
      <c r="CD147" s="160"/>
      <c r="CE147" s="160"/>
      <c r="CF147" s="160"/>
      <c r="CG147" s="160"/>
      <c r="CH147" s="160"/>
      <c r="CI147" s="160"/>
      <c r="CJ147" s="160"/>
      <c r="CK147" s="160"/>
      <c r="CL147" s="160"/>
      <c r="CM147" s="160"/>
      <c r="CN147" s="160"/>
      <c r="CO147" s="160"/>
      <c r="CP147" s="160"/>
      <c r="CQ147" s="160"/>
      <c r="CR147" s="160"/>
      <c r="CS147" s="160"/>
      <c r="CT147" s="160"/>
      <c r="CU147" s="160"/>
      <c r="CV147" s="160"/>
    </row>
    <row r="148" spans="1:100" ht="39.75" customHeight="1" x14ac:dyDescent="0.2">
      <c r="A148" s="160"/>
      <c r="B148" s="160"/>
      <c r="C148" s="160"/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0"/>
      <c r="W148" s="160"/>
      <c r="X148" s="160"/>
      <c r="Y148" s="160"/>
      <c r="Z148" s="160"/>
      <c r="AA148" s="160"/>
      <c r="AB148" s="160"/>
      <c r="AC148" s="160"/>
      <c r="AD148" s="160"/>
      <c r="AE148" s="160"/>
      <c r="AF148" s="160"/>
      <c r="AG148" s="160"/>
      <c r="AH148" s="160"/>
      <c r="AI148" s="160"/>
      <c r="AJ148" s="160"/>
      <c r="AK148" s="160"/>
      <c r="AL148" s="160"/>
      <c r="AM148" s="160"/>
      <c r="AN148" s="160"/>
      <c r="AO148" s="160"/>
      <c r="AP148" s="160"/>
      <c r="AQ148" s="160"/>
      <c r="AR148" s="160"/>
      <c r="AS148" s="160"/>
      <c r="AT148" s="160"/>
      <c r="AU148" s="160"/>
      <c r="AV148" s="160"/>
      <c r="AW148" s="160"/>
      <c r="AX148" s="160"/>
      <c r="AY148" s="160"/>
      <c r="AZ148" s="160"/>
      <c r="BA148" s="160"/>
      <c r="BB148" s="160"/>
      <c r="BC148" s="160"/>
      <c r="BD148" s="160"/>
      <c r="BE148" s="160"/>
      <c r="BF148" s="160"/>
      <c r="BG148" s="160"/>
      <c r="BH148" s="160"/>
      <c r="BI148" s="160"/>
      <c r="BJ148" s="160"/>
      <c r="BK148" s="160"/>
      <c r="BL148" s="160"/>
      <c r="BM148" s="160"/>
      <c r="BN148" s="160"/>
      <c r="BO148" s="160"/>
      <c r="BP148" s="160"/>
      <c r="BQ148" s="160"/>
      <c r="BR148" s="160"/>
      <c r="BS148" s="160"/>
      <c r="BT148" s="160"/>
      <c r="BU148" s="160"/>
      <c r="BV148" s="160"/>
      <c r="BW148" s="160"/>
      <c r="BX148" s="160"/>
      <c r="BY148" s="160"/>
      <c r="BZ148" s="160"/>
      <c r="CA148" s="160"/>
      <c r="CB148" s="160"/>
      <c r="CC148" s="160"/>
      <c r="CD148" s="160"/>
      <c r="CE148" s="160"/>
      <c r="CF148" s="160"/>
      <c r="CG148" s="160"/>
      <c r="CH148" s="160"/>
      <c r="CI148" s="160"/>
      <c r="CJ148" s="160"/>
      <c r="CK148" s="160"/>
      <c r="CL148" s="160"/>
      <c r="CM148" s="160"/>
      <c r="CN148" s="160"/>
      <c r="CO148" s="160"/>
      <c r="CP148" s="160"/>
      <c r="CQ148" s="160"/>
      <c r="CR148" s="160"/>
      <c r="CS148" s="160"/>
      <c r="CT148" s="160"/>
      <c r="CU148" s="160"/>
      <c r="CV148" s="160"/>
    </row>
    <row r="149" spans="1:100" ht="39.75" customHeight="1" x14ac:dyDescent="0.2">
      <c r="A149" s="160"/>
      <c r="B149" s="160"/>
      <c r="C149" s="160"/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0"/>
      <c r="W149" s="160"/>
      <c r="X149" s="160"/>
      <c r="Y149" s="160"/>
      <c r="Z149" s="160"/>
      <c r="AA149" s="160"/>
      <c r="AB149" s="160"/>
      <c r="AC149" s="160"/>
      <c r="AD149" s="160"/>
      <c r="AE149" s="160"/>
      <c r="AF149" s="160"/>
      <c r="AG149" s="160"/>
      <c r="AH149" s="160"/>
      <c r="AI149" s="160"/>
      <c r="AJ149" s="160"/>
      <c r="AK149" s="160"/>
      <c r="AL149" s="160"/>
      <c r="AM149" s="160"/>
      <c r="AN149" s="160"/>
      <c r="AO149" s="160"/>
      <c r="AP149" s="160"/>
      <c r="AQ149" s="160"/>
      <c r="AR149" s="160"/>
      <c r="AS149" s="160"/>
      <c r="AT149" s="160"/>
      <c r="AU149" s="160"/>
      <c r="AV149" s="160"/>
      <c r="AW149" s="160"/>
      <c r="AX149" s="160"/>
      <c r="AY149" s="160"/>
      <c r="AZ149" s="160"/>
      <c r="BA149" s="160"/>
      <c r="BB149" s="160"/>
      <c r="BC149" s="160"/>
      <c r="BD149" s="160"/>
      <c r="BE149" s="160"/>
      <c r="BF149" s="160"/>
      <c r="BG149" s="160"/>
      <c r="BH149" s="160"/>
      <c r="BI149" s="160"/>
      <c r="BJ149" s="160"/>
      <c r="BK149" s="160"/>
      <c r="BL149" s="160"/>
      <c r="BM149" s="160"/>
      <c r="BN149" s="160"/>
      <c r="BO149" s="160"/>
      <c r="BP149" s="160"/>
      <c r="BQ149" s="160"/>
      <c r="BR149" s="160"/>
      <c r="BS149" s="160"/>
      <c r="BT149" s="160"/>
      <c r="BU149" s="160"/>
      <c r="BV149" s="160"/>
      <c r="BW149" s="160"/>
      <c r="BX149" s="160"/>
      <c r="BY149" s="160"/>
      <c r="BZ149" s="160"/>
      <c r="CA149" s="160"/>
      <c r="CB149" s="160"/>
      <c r="CC149" s="160"/>
      <c r="CD149" s="160"/>
      <c r="CE149" s="160"/>
      <c r="CF149" s="160"/>
      <c r="CG149" s="160"/>
      <c r="CH149" s="160"/>
      <c r="CI149" s="160"/>
      <c r="CJ149" s="160"/>
      <c r="CK149" s="160"/>
      <c r="CL149" s="160"/>
      <c r="CM149" s="160"/>
      <c r="CN149" s="160"/>
      <c r="CO149" s="160"/>
      <c r="CP149" s="160"/>
      <c r="CQ149" s="160"/>
      <c r="CR149" s="160"/>
      <c r="CS149" s="160"/>
      <c r="CT149" s="160"/>
      <c r="CU149" s="160"/>
      <c r="CV149" s="160"/>
    </row>
    <row r="150" spans="1:100" ht="39.75" customHeight="1" x14ac:dyDescent="0.2">
      <c r="A150" s="160"/>
      <c r="B150" s="160"/>
      <c r="C150" s="160"/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0"/>
      <c r="W150" s="160"/>
      <c r="X150" s="160"/>
      <c r="Y150" s="160"/>
      <c r="Z150" s="160"/>
      <c r="AA150" s="160"/>
      <c r="AB150" s="160"/>
      <c r="AC150" s="160"/>
      <c r="AD150" s="160"/>
      <c r="AE150" s="160"/>
      <c r="AF150" s="160"/>
      <c r="AG150" s="160"/>
      <c r="AH150" s="160"/>
      <c r="AI150" s="160"/>
      <c r="AJ150" s="160"/>
      <c r="AK150" s="160"/>
      <c r="AL150" s="160"/>
      <c r="AM150" s="160"/>
      <c r="AN150" s="160"/>
      <c r="AO150" s="160"/>
      <c r="AP150" s="160"/>
      <c r="AQ150" s="160"/>
      <c r="AR150" s="160"/>
      <c r="AS150" s="160"/>
      <c r="AT150" s="160"/>
      <c r="AU150" s="160"/>
      <c r="AV150" s="160"/>
      <c r="AW150" s="160"/>
      <c r="AX150" s="160"/>
      <c r="AY150" s="160"/>
      <c r="AZ150" s="160"/>
      <c r="BA150" s="160"/>
      <c r="BB150" s="160"/>
      <c r="BC150" s="160"/>
      <c r="BD150" s="160"/>
      <c r="BE150" s="160"/>
      <c r="BF150" s="160"/>
      <c r="BG150" s="160"/>
      <c r="BH150" s="160"/>
      <c r="BI150" s="160"/>
      <c r="BJ150" s="160"/>
      <c r="BK150" s="160"/>
      <c r="BL150" s="160"/>
      <c r="BM150" s="160"/>
      <c r="BN150" s="160"/>
      <c r="BO150" s="160"/>
      <c r="BP150" s="160"/>
      <c r="BQ150" s="160"/>
      <c r="BR150" s="160"/>
      <c r="BS150" s="160"/>
      <c r="BT150" s="160"/>
      <c r="BU150" s="160"/>
      <c r="BV150" s="160"/>
      <c r="BW150" s="160"/>
      <c r="BX150" s="160"/>
      <c r="BY150" s="160"/>
      <c r="BZ150" s="160"/>
      <c r="CA150" s="160"/>
      <c r="CB150" s="160"/>
      <c r="CC150" s="160"/>
      <c r="CD150" s="160"/>
      <c r="CE150" s="160"/>
      <c r="CF150" s="160"/>
      <c r="CG150" s="160"/>
      <c r="CH150" s="160"/>
      <c r="CI150" s="160"/>
      <c r="CJ150" s="160"/>
      <c r="CK150" s="160"/>
      <c r="CL150" s="160"/>
      <c r="CM150" s="160"/>
      <c r="CN150" s="160"/>
      <c r="CO150" s="160"/>
      <c r="CP150" s="160"/>
      <c r="CQ150" s="160"/>
      <c r="CR150" s="160"/>
      <c r="CS150" s="160"/>
      <c r="CT150" s="160"/>
      <c r="CU150" s="160"/>
      <c r="CV150" s="160"/>
    </row>
    <row r="151" spans="1:100" ht="39.75" customHeight="1" x14ac:dyDescent="0.2">
      <c r="A151" s="160"/>
      <c r="B151" s="160"/>
      <c r="C151" s="160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0"/>
      <c r="W151" s="160"/>
      <c r="X151" s="160"/>
      <c r="Y151" s="160"/>
      <c r="Z151" s="160"/>
      <c r="AA151" s="160"/>
      <c r="AB151" s="160"/>
      <c r="AC151" s="160"/>
      <c r="AD151" s="160"/>
      <c r="AE151" s="160"/>
      <c r="AF151" s="160"/>
      <c r="AG151" s="160"/>
      <c r="AH151" s="160"/>
      <c r="AI151" s="160"/>
      <c r="AJ151" s="160"/>
      <c r="AK151" s="160"/>
      <c r="AL151" s="160"/>
      <c r="AM151" s="160"/>
      <c r="AN151" s="160"/>
      <c r="AO151" s="160"/>
      <c r="AP151" s="160"/>
      <c r="AQ151" s="160"/>
      <c r="AR151" s="160"/>
      <c r="AS151" s="160"/>
      <c r="AT151" s="160"/>
      <c r="AU151" s="160"/>
      <c r="AV151" s="160"/>
      <c r="AW151" s="160"/>
      <c r="AX151" s="160"/>
      <c r="AY151" s="160"/>
      <c r="AZ151" s="160"/>
      <c r="BA151" s="160"/>
      <c r="BB151" s="160"/>
      <c r="BC151" s="160"/>
      <c r="BD151" s="160"/>
      <c r="BE151" s="160"/>
      <c r="BF151" s="160"/>
      <c r="BG151" s="160"/>
      <c r="BH151" s="160"/>
      <c r="BI151" s="160"/>
      <c r="BJ151" s="160"/>
      <c r="BK151" s="160"/>
      <c r="BL151" s="160"/>
      <c r="BM151" s="160"/>
      <c r="BN151" s="160"/>
      <c r="BO151" s="160"/>
      <c r="BP151" s="160"/>
      <c r="BQ151" s="160"/>
      <c r="BR151" s="160"/>
      <c r="BS151" s="160"/>
      <c r="BT151" s="160"/>
      <c r="BU151" s="160"/>
      <c r="BV151" s="160"/>
      <c r="BW151" s="160"/>
      <c r="BX151" s="160"/>
      <c r="BY151" s="160"/>
      <c r="BZ151" s="160"/>
      <c r="CA151" s="160"/>
      <c r="CB151" s="160"/>
      <c r="CC151" s="160"/>
      <c r="CD151" s="160"/>
      <c r="CE151" s="160"/>
      <c r="CF151" s="160"/>
      <c r="CG151" s="160"/>
      <c r="CH151" s="160"/>
      <c r="CI151" s="160"/>
      <c r="CJ151" s="160"/>
      <c r="CK151" s="160"/>
      <c r="CL151" s="160"/>
      <c r="CM151" s="160"/>
      <c r="CN151" s="160"/>
      <c r="CO151" s="160"/>
      <c r="CP151" s="160"/>
      <c r="CQ151" s="160"/>
      <c r="CR151" s="160"/>
      <c r="CS151" s="160"/>
      <c r="CT151" s="160"/>
      <c r="CU151" s="160"/>
      <c r="CV151" s="160"/>
    </row>
    <row r="152" spans="1:100" ht="39.75" customHeight="1" x14ac:dyDescent="0.2">
      <c r="A152" s="160"/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0"/>
      <c r="R152" s="160"/>
      <c r="S152" s="160"/>
      <c r="T152" s="160"/>
      <c r="U152" s="160"/>
      <c r="V152" s="160"/>
      <c r="W152" s="160"/>
      <c r="X152" s="160"/>
      <c r="Y152" s="160"/>
      <c r="Z152" s="160"/>
      <c r="AA152" s="160"/>
      <c r="AB152" s="160"/>
      <c r="AC152" s="160"/>
      <c r="AD152" s="160"/>
      <c r="AE152" s="160"/>
      <c r="AF152" s="160"/>
      <c r="AG152" s="160"/>
      <c r="AH152" s="160"/>
      <c r="AI152" s="160"/>
      <c r="AJ152" s="160"/>
      <c r="AK152" s="160"/>
      <c r="AL152" s="160"/>
      <c r="AM152" s="160"/>
      <c r="AN152" s="160"/>
      <c r="AO152" s="160"/>
      <c r="AP152" s="160"/>
      <c r="AQ152" s="160"/>
      <c r="AR152" s="160"/>
      <c r="AS152" s="160"/>
      <c r="AT152" s="160"/>
      <c r="AU152" s="160"/>
      <c r="AV152" s="160"/>
      <c r="AW152" s="160"/>
      <c r="AX152" s="160"/>
      <c r="AY152" s="160"/>
      <c r="AZ152" s="160"/>
      <c r="BA152" s="160"/>
      <c r="BB152" s="160"/>
      <c r="BC152" s="160"/>
      <c r="BD152" s="160"/>
      <c r="BE152" s="160"/>
      <c r="BF152" s="160"/>
      <c r="BG152" s="160"/>
      <c r="BH152" s="160"/>
      <c r="BI152" s="160"/>
      <c r="BJ152" s="160"/>
      <c r="BK152" s="160"/>
      <c r="BL152" s="160"/>
      <c r="BM152" s="160"/>
      <c r="BN152" s="160"/>
      <c r="BO152" s="160"/>
      <c r="BP152" s="160"/>
      <c r="BQ152" s="160"/>
      <c r="BR152" s="160"/>
      <c r="BS152" s="160"/>
      <c r="BT152" s="160"/>
      <c r="BU152" s="160"/>
      <c r="BV152" s="160"/>
      <c r="BW152" s="160"/>
      <c r="BX152" s="160"/>
      <c r="BY152" s="160"/>
      <c r="BZ152" s="160"/>
      <c r="CA152" s="160"/>
      <c r="CB152" s="160"/>
      <c r="CC152" s="160"/>
      <c r="CD152" s="160"/>
      <c r="CE152" s="160"/>
      <c r="CF152" s="160"/>
      <c r="CG152" s="160"/>
      <c r="CH152" s="160"/>
      <c r="CI152" s="160"/>
      <c r="CJ152" s="160"/>
      <c r="CK152" s="160"/>
      <c r="CL152" s="160"/>
      <c r="CM152" s="160"/>
      <c r="CN152" s="160"/>
      <c r="CO152" s="160"/>
      <c r="CP152" s="160"/>
      <c r="CQ152" s="160"/>
      <c r="CR152" s="160"/>
      <c r="CS152" s="160"/>
      <c r="CT152" s="160"/>
      <c r="CU152" s="160"/>
      <c r="CV152" s="160"/>
    </row>
    <row r="153" spans="1:100" ht="39.75" customHeight="1" x14ac:dyDescent="0.2">
      <c r="A153" s="160"/>
      <c r="B153" s="160"/>
      <c r="C153" s="160"/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0"/>
      <c r="O153" s="160"/>
      <c r="P153" s="160"/>
      <c r="Q153" s="160"/>
      <c r="R153" s="160"/>
      <c r="S153" s="160"/>
      <c r="T153" s="160"/>
      <c r="U153" s="160"/>
      <c r="V153" s="160"/>
      <c r="W153" s="160"/>
      <c r="X153" s="160"/>
      <c r="Y153" s="160"/>
      <c r="Z153" s="160"/>
      <c r="AA153" s="160"/>
      <c r="AB153" s="160"/>
      <c r="AC153" s="160"/>
      <c r="AD153" s="160"/>
      <c r="AE153" s="160"/>
      <c r="AF153" s="160"/>
      <c r="AG153" s="160"/>
      <c r="AH153" s="160"/>
      <c r="AI153" s="160"/>
      <c r="AJ153" s="160"/>
      <c r="AK153" s="160"/>
      <c r="AL153" s="160"/>
      <c r="AM153" s="160"/>
      <c r="AN153" s="160"/>
      <c r="AO153" s="160"/>
      <c r="AP153" s="160"/>
      <c r="AQ153" s="160"/>
      <c r="AR153" s="160"/>
      <c r="AS153" s="160"/>
      <c r="AT153" s="160"/>
      <c r="AU153" s="160"/>
      <c r="AV153" s="160"/>
      <c r="AW153" s="160"/>
      <c r="AX153" s="160"/>
      <c r="AY153" s="160"/>
      <c r="AZ153" s="160"/>
      <c r="BA153" s="160"/>
      <c r="BB153" s="160"/>
      <c r="BC153" s="160"/>
      <c r="BD153" s="160"/>
      <c r="BE153" s="160"/>
      <c r="BF153" s="160"/>
      <c r="BG153" s="160"/>
      <c r="BH153" s="160"/>
      <c r="BI153" s="160"/>
      <c r="BJ153" s="160"/>
      <c r="BK153" s="160"/>
      <c r="BL153" s="160"/>
      <c r="BM153" s="160"/>
      <c r="BN153" s="160"/>
      <c r="BO153" s="160"/>
      <c r="BP153" s="160"/>
      <c r="BQ153" s="160"/>
      <c r="BR153" s="160"/>
      <c r="BS153" s="160"/>
      <c r="BT153" s="160"/>
      <c r="BU153" s="160"/>
      <c r="BV153" s="160"/>
      <c r="BW153" s="160"/>
      <c r="BX153" s="160"/>
      <c r="BY153" s="160"/>
      <c r="BZ153" s="160"/>
      <c r="CA153" s="160"/>
      <c r="CB153" s="160"/>
      <c r="CC153" s="160"/>
      <c r="CD153" s="160"/>
      <c r="CE153" s="160"/>
      <c r="CF153" s="160"/>
      <c r="CG153" s="160"/>
      <c r="CH153" s="160"/>
      <c r="CI153" s="160"/>
      <c r="CJ153" s="160"/>
      <c r="CK153" s="160"/>
      <c r="CL153" s="160"/>
      <c r="CM153" s="160"/>
      <c r="CN153" s="160"/>
      <c r="CO153" s="160"/>
      <c r="CP153" s="160"/>
      <c r="CQ153" s="160"/>
      <c r="CR153" s="160"/>
      <c r="CS153" s="160"/>
      <c r="CT153" s="160"/>
      <c r="CU153" s="160"/>
      <c r="CV153" s="160"/>
    </row>
    <row r="154" spans="1:100" ht="39.75" customHeight="1" x14ac:dyDescent="0.2">
      <c r="A154" s="160"/>
      <c r="B154" s="160"/>
      <c r="C154" s="160"/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0"/>
      <c r="O154" s="160"/>
      <c r="P154" s="160"/>
      <c r="Q154" s="160"/>
      <c r="R154" s="160"/>
      <c r="S154" s="160"/>
      <c r="T154" s="160"/>
      <c r="U154" s="160"/>
      <c r="V154" s="160"/>
      <c r="W154" s="160"/>
      <c r="X154" s="160"/>
      <c r="Y154" s="160"/>
      <c r="Z154" s="160"/>
      <c r="AA154" s="160"/>
      <c r="AB154" s="160"/>
      <c r="AC154" s="160"/>
      <c r="AD154" s="160"/>
      <c r="AE154" s="160"/>
      <c r="AF154" s="160"/>
      <c r="AG154" s="160"/>
      <c r="AH154" s="160"/>
      <c r="AI154" s="160"/>
      <c r="AJ154" s="160"/>
      <c r="AK154" s="160"/>
      <c r="AL154" s="160"/>
      <c r="AM154" s="160"/>
      <c r="AN154" s="160"/>
      <c r="AO154" s="160"/>
      <c r="AP154" s="160"/>
      <c r="AQ154" s="160"/>
      <c r="AR154" s="160"/>
      <c r="AS154" s="160"/>
      <c r="AT154" s="160"/>
      <c r="AU154" s="160"/>
      <c r="AV154" s="160"/>
      <c r="AW154" s="160"/>
      <c r="AX154" s="160"/>
      <c r="AY154" s="160"/>
      <c r="AZ154" s="160"/>
      <c r="BA154" s="160"/>
      <c r="BB154" s="160"/>
      <c r="BC154" s="160"/>
      <c r="BD154" s="160"/>
      <c r="BE154" s="160"/>
      <c r="BF154" s="160"/>
      <c r="BG154" s="160"/>
      <c r="BH154" s="160"/>
      <c r="BI154" s="160"/>
      <c r="BJ154" s="160"/>
      <c r="BK154" s="160"/>
      <c r="BL154" s="160"/>
      <c r="BM154" s="160"/>
      <c r="BN154" s="160"/>
      <c r="BO154" s="160"/>
      <c r="BP154" s="160"/>
      <c r="BQ154" s="160"/>
      <c r="BR154" s="160"/>
      <c r="BS154" s="160"/>
      <c r="BT154" s="160"/>
      <c r="BU154" s="160"/>
      <c r="BV154" s="160"/>
      <c r="BW154" s="160"/>
      <c r="BX154" s="160"/>
      <c r="BY154" s="160"/>
      <c r="BZ154" s="160"/>
      <c r="CA154" s="160"/>
      <c r="CB154" s="160"/>
      <c r="CC154" s="160"/>
      <c r="CD154" s="160"/>
      <c r="CE154" s="160"/>
      <c r="CF154" s="160"/>
      <c r="CG154" s="160"/>
      <c r="CH154" s="160"/>
      <c r="CI154" s="160"/>
      <c r="CJ154" s="160"/>
      <c r="CK154" s="160"/>
      <c r="CL154" s="160"/>
      <c r="CM154" s="160"/>
      <c r="CN154" s="160"/>
      <c r="CO154" s="160"/>
      <c r="CP154" s="160"/>
      <c r="CQ154" s="160"/>
      <c r="CR154" s="160"/>
      <c r="CS154" s="160"/>
      <c r="CT154" s="160"/>
      <c r="CU154" s="160"/>
      <c r="CV154" s="160"/>
    </row>
    <row r="155" spans="1:100" ht="39.75" customHeight="1" x14ac:dyDescent="0.2">
      <c r="A155" s="160"/>
      <c r="B155" s="160"/>
      <c r="C155" s="160"/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0"/>
      <c r="O155" s="160"/>
      <c r="P155" s="160"/>
      <c r="Q155" s="160"/>
      <c r="R155" s="160"/>
      <c r="S155" s="160"/>
      <c r="T155" s="160"/>
      <c r="U155" s="160"/>
      <c r="V155" s="160"/>
      <c r="W155" s="160"/>
      <c r="X155" s="160"/>
      <c r="Y155" s="160"/>
      <c r="Z155" s="160"/>
      <c r="AA155" s="160"/>
      <c r="AB155" s="160"/>
      <c r="AC155" s="160"/>
      <c r="AD155" s="160"/>
      <c r="AE155" s="160"/>
      <c r="AF155" s="160"/>
      <c r="AG155" s="160"/>
      <c r="AH155" s="160"/>
      <c r="AI155" s="160"/>
      <c r="AJ155" s="160"/>
      <c r="AK155" s="160"/>
      <c r="AL155" s="160"/>
      <c r="AM155" s="160"/>
      <c r="AN155" s="160"/>
      <c r="AO155" s="160"/>
      <c r="AP155" s="160"/>
      <c r="AQ155" s="160"/>
      <c r="AR155" s="160"/>
      <c r="AS155" s="160"/>
      <c r="AT155" s="160"/>
      <c r="AU155" s="160"/>
      <c r="AV155" s="160"/>
      <c r="AW155" s="160"/>
      <c r="AX155" s="160"/>
      <c r="AY155" s="160"/>
      <c r="AZ155" s="160"/>
      <c r="BA155" s="160"/>
      <c r="BB155" s="160"/>
      <c r="BC155" s="160"/>
      <c r="BD155" s="160"/>
      <c r="BE155" s="160"/>
      <c r="BF155" s="160"/>
      <c r="BG155" s="160"/>
      <c r="BH155" s="160"/>
      <c r="BI155" s="160"/>
      <c r="BJ155" s="160"/>
      <c r="BK155" s="160"/>
      <c r="BL155" s="160"/>
      <c r="BM155" s="160"/>
      <c r="BN155" s="160"/>
      <c r="BO155" s="160"/>
      <c r="BP155" s="160"/>
      <c r="BQ155" s="160"/>
      <c r="BR155" s="160"/>
      <c r="BS155" s="160"/>
      <c r="BT155" s="160"/>
      <c r="BU155" s="160"/>
      <c r="BV155" s="160"/>
      <c r="BW155" s="160"/>
      <c r="BX155" s="160"/>
      <c r="BY155" s="160"/>
      <c r="BZ155" s="160"/>
      <c r="CA155" s="160"/>
      <c r="CB155" s="160"/>
      <c r="CC155" s="160"/>
      <c r="CD155" s="160"/>
      <c r="CE155" s="160"/>
      <c r="CF155" s="160"/>
      <c r="CG155" s="160"/>
      <c r="CH155" s="160"/>
      <c r="CI155" s="160"/>
      <c r="CJ155" s="160"/>
      <c r="CK155" s="160"/>
      <c r="CL155" s="160"/>
      <c r="CM155" s="160"/>
      <c r="CN155" s="160"/>
      <c r="CO155" s="160"/>
      <c r="CP155" s="160"/>
      <c r="CQ155" s="160"/>
      <c r="CR155" s="160"/>
      <c r="CS155" s="160"/>
      <c r="CT155" s="160"/>
      <c r="CU155" s="160"/>
      <c r="CV155" s="160"/>
    </row>
    <row r="156" spans="1:100" ht="39.75" customHeight="1" x14ac:dyDescent="0.2">
      <c r="A156" s="160"/>
      <c r="B156" s="160"/>
      <c r="C156" s="160"/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0"/>
      <c r="O156" s="160"/>
      <c r="P156" s="160"/>
      <c r="Q156" s="160"/>
      <c r="R156" s="160"/>
      <c r="S156" s="160"/>
      <c r="T156" s="160"/>
      <c r="U156" s="160"/>
      <c r="V156" s="160"/>
      <c r="W156" s="160"/>
      <c r="X156" s="160"/>
      <c r="Y156" s="160"/>
      <c r="Z156" s="160"/>
      <c r="AA156" s="160"/>
      <c r="AB156" s="160"/>
      <c r="AC156" s="160"/>
      <c r="AD156" s="160"/>
      <c r="AE156" s="160"/>
      <c r="AF156" s="160"/>
      <c r="AG156" s="160"/>
      <c r="AH156" s="160"/>
      <c r="AI156" s="160"/>
      <c r="AJ156" s="160"/>
      <c r="AK156" s="160"/>
      <c r="AL156" s="160"/>
      <c r="AM156" s="160"/>
      <c r="AN156" s="160"/>
      <c r="AO156" s="160"/>
      <c r="AP156" s="160"/>
      <c r="AQ156" s="160"/>
      <c r="AR156" s="160"/>
      <c r="AS156" s="160"/>
      <c r="AT156" s="160"/>
      <c r="AU156" s="160"/>
      <c r="AV156" s="160"/>
      <c r="AW156" s="160"/>
      <c r="AX156" s="160"/>
      <c r="AY156" s="160"/>
      <c r="AZ156" s="160"/>
      <c r="BA156" s="160"/>
      <c r="BB156" s="160"/>
      <c r="BC156" s="160"/>
      <c r="BD156" s="160"/>
      <c r="BE156" s="160"/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160"/>
      <c r="BP156" s="160"/>
      <c r="BQ156" s="160"/>
      <c r="BR156" s="160"/>
      <c r="BS156" s="160"/>
      <c r="BT156" s="160"/>
      <c r="BU156" s="160"/>
      <c r="BV156" s="160"/>
      <c r="BW156" s="160"/>
      <c r="BX156" s="160"/>
      <c r="BY156" s="160"/>
      <c r="BZ156" s="160"/>
      <c r="CA156" s="160"/>
      <c r="CB156" s="160"/>
      <c r="CC156" s="160"/>
      <c r="CD156" s="160"/>
      <c r="CE156" s="160"/>
      <c r="CF156" s="160"/>
      <c r="CG156" s="160"/>
      <c r="CH156" s="160"/>
      <c r="CI156" s="160"/>
      <c r="CJ156" s="160"/>
      <c r="CK156" s="160"/>
      <c r="CL156" s="160"/>
      <c r="CM156" s="160"/>
      <c r="CN156" s="160"/>
      <c r="CO156" s="160"/>
      <c r="CP156" s="160"/>
      <c r="CQ156" s="160"/>
      <c r="CR156" s="160"/>
      <c r="CS156" s="160"/>
      <c r="CT156" s="160"/>
      <c r="CU156" s="160"/>
      <c r="CV156" s="160"/>
    </row>
    <row r="157" spans="1:100" ht="39.75" customHeight="1" x14ac:dyDescent="0.2">
      <c r="A157" s="160"/>
      <c r="B157" s="160"/>
      <c r="C157" s="160"/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0"/>
      <c r="O157" s="160"/>
      <c r="P157" s="160"/>
      <c r="Q157" s="160"/>
      <c r="R157" s="160"/>
      <c r="S157" s="160"/>
      <c r="T157" s="160"/>
      <c r="U157" s="160"/>
      <c r="V157" s="160"/>
      <c r="W157" s="160"/>
      <c r="X157" s="160"/>
      <c r="Y157" s="160"/>
      <c r="Z157" s="160"/>
      <c r="AA157" s="160"/>
      <c r="AB157" s="160"/>
      <c r="AC157" s="160"/>
      <c r="AD157" s="160"/>
      <c r="AE157" s="160"/>
      <c r="AF157" s="160"/>
      <c r="AG157" s="160"/>
      <c r="AH157" s="160"/>
      <c r="AI157" s="160"/>
      <c r="AJ157" s="160"/>
      <c r="AK157" s="160"/>
      <c r="AL157" s="160"/>
      <c r="AM157" s="160"/>
      <c r="AN157" s="160"/>
      <c r="AO157" s="160"/>
      <c r="AP157" s="160"/>
      <c r="AQ157" s="160"/>
      <c r="AR157" s="160"/>
      <c r="AS157" s="160"/>
      <c r="AT157" s="160"/>
      <c r="AU157" s="160"/>
      <c r="AV157" s="160"/>
      <c r="AW157" s="160"/>
      <c r="AX157" s="160"/>
      <c r="AY157" s="160"/>
      <c r="AZ157" s="160"/>
      <c r="BA157" s="160"/>
      <c r="BB157" s="160"/>
      <c r="BC157" s="160"/>
      <c r="BD157" s="160"/>
      <c r="BE157" s="160"/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160"/>
      <c r="BP157" s="160"/>
      <c r="BQ157" s="160"/>
      <c r="BR157" s="160"/>
      <c r="BS157" s="160"/>
      <c r="BT157" s="160"/>
      <c r="BU157" s="160"/>
      <c r="BV157" s="160"/>
      <c r="BW157" s="160"/>
      <c r="BX157" s="160"/>
      <c r="BY157" s="160"/>
      <c r="BZ157" s="160"/>
      <c r="CA157" s="160"/>
      <c r="CB157" s="160"/>
      <c r="CC157" s="160"/>
      <c r="CD157" s="160"/>
      <c r="CE157" s="160"/>
      <c r="CF157" s="160"/>
      <c r="CG157" s="160"/>
      <c r="CH157" s="160"/>
      <c r="CI157" s="160"/>
      <c r="CJ157" s="160"/>
      <c r="CK157" s="160"/>
      <c r="CL157" s="160"/>
      <c r="CM157" s="160"/>
      <c r="CN157" s="160"/>
      <c r="CO157" s="160"/>
      <c r="CP157" s="160"/>
      <c r="CQ157" s="160"/>
      <c r="CR157" s="160"/>
      <c r="CS157" s="160"/>
      <c r="CT157" s="160"/>
      <c r="CU157" s="160"/>
      <c r="CV157" s="160"/>
    </row>
    <row r="158" spans="1:100" ht="39.75" customHeight="1" x14ac:dyDescent="0.2">
      <c r="A158" s="160"/>
      <c r="B158" s="160"/>
      <c r="C158" s="160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0"/>
      <c r="O158" s="160"/>
      <c r="P158" s="160"/>
      <c r="Q158" s="160"/>
      <c r="R158" s="160"/>
      <c r="S158" s="160"/>
      <c r="T158" s="160"/>
      <c r="U158" s="160"/>
      <c r="V158" s="160"/>
      <c r="W158" s="160"/>
      <c r="X158" s="160"/>
      <c r="Y158" s="160"/>
      <c r="Z158" s="160"/>
      <c r="AA158" s="160"/>
      <c r="AB158" s="160"/>
      <c r="AC158" s="160"/>
      <c r="AD158" s="160"/>
      <c r="AE158" s="160"/>
      <c r="AF158" s="160"/>
      <c r="AG158" s="160"/>
      <c r="AH158" s="160"/>
      <c r="AI158" s="160"/>
      <c r="AJ158" s="160"/>
      <c r="AK158" s="160"/>
      <c r="AL158" s="160"/>
      <c r="AM158" s="160"/>
      <c r="AN158" s="160"/>
      <c r="AO158" s="160"/>
      <c r="AP158" s="160"/>
      <c r="AQ158" s="160"/>
      <c r="AR158" s="160"/>
      <c r="AS158" s="160"/>
      <c r="AT158" s="160"/>
      <c r="AU158" s="160"/>
      <c r="AV158" s="160"/>
      <c r="AW158" s="160"/>
      <c r="AX158" s="160"/>
      <c r="AY158" s="160"/>
      <c r="AZ158" s="160"/>
      <c r="BA158" s="160"/>
      <c r="BB158" s="160"/>
      <c r="BC158" s="160"/>
      <c r="BD158" s="160"/>
      <c r="BE158" s="160"/>
      <c r="BF158" s="160"/>
      <c r="BG158" s="160"/>
      <c r="BH158" s="160"/>
      <c r="BI158" s="160"/>
      <c r="BJ158" s="160"/>
      <c r="BK158" s="160"/>
      <c r="BL158" s="160"/>
      <c r="BM158" s="160"/>
      <c r="BN158" s="160"/>
      <c r="BO158" s="160"/>
      <c r="BP158" s="160"/>
      <c r="BQ158" s="160"/>
      <c r="BR158" s="160"/>
      <c r="BS158" s="160"/>
      <c r="BT158" s="160"/>
      <c r="BU158" s="160"/>
      <c r="BV158" s="160"/>
      <c r="BW158" s="160"/>
      <c r="BX158" s="160"/>
      <c r="BY158" s="160"/>
      <c r="BZ158" s="160"/>
      <c r="CA158" s="160"/>
      <c r="CB158" s="160"/>
      <c r="CC158" s="160"/>
      <c r="CD158" s="160"/>
      <c r="CE158" s="160"/>
      <c r="CF158" s="160"/>
      <c r="CG158" s="160"/>
      <c r="CH158" s="160"/>
      <c r="CI158" s="160"/>
      <c r="CJ158" s="160"/>
      <c r="CK158" s="160"/>
      <c r="CL158" s="160"/>
      <c r="CM158" s="160"/>
      <c r="CN158" s="160"/>
      <c r="CO158" s="160"/>
      <c r="CP158" s="160"/>
      <c r="CQ158" s="160"/>
      <c r="CR158" s="160"/>
      <c r="CS158" s="160"/>
      <c r="CT158" s="160"/>
      <c r="CU158" s="160"/>
      <c r="CV158" s="160"/>
    </row>
    <row r="159" spans="1:100" ht="39.75" customHeight="1" x14ac:dyDescent="0.2">
      <c r="A159" s="160"/>
      <c r="B159" s="160"/>
      <c r="C159" s="160"/>
      <c r="D159" s="160"/>
      <c r="E159" s="160"/>
      <c r="F159" s="160"/>
      <c r="G159" s="160"/>
      <c r="H159" s="160"/>
      <c r="I159" s="160"/>
      <c r="J159" s="160"/>
      <c r="K159" s="160"/>
      <c r="L159" s="160"/>
      <c r="M159" s="160"/>
      <c r="N159" s="160"/>
      <c r="O159" s="160"/>
      <c r="P159" s="160"/>
      <c r="Q159" s="160"/>
      <c r="R159" s="160"/>
      <c r="S159" s="160"/>
      <c r="T159" s="160"/>
      <c r="U159" s="160"/>
      <c r="V159" s="160"/>
      <c r="W159" s="160"/>
      <c r="X159" s="160"/>
      <c r="Y159" s="160"/>
      <c r="Z159" s="160"/>
      <c r="AA159" s="160"/>
      <c r="AB159" s="160"/>
      <c r="AC159" s="160"/>
      <c r="AD159" s="160"/>
      <c r="AE159" s="160"/>
      <c r="AF159" s="160"/>
      <c r="AG159" s="160"/>
      <c r="AH159" s="160"/>
      <c r="AI159" s="160"/>
      <c r="AJ159" s="160"/>
      <c r="AK159" s="160"/>
      <c r="AL159" s="160"/>
      <c r="AM159" s="160"/>
      <c r="AN159" s="160"/>
      <c r="AO159" s="160"/>
      <c r="AP159" s="160"/>
      <c r="AQ159" s="160"/>
      <c r="AR159" s="160"/>
      <c r="AS159" s="160"/>
      <c r="AT159" s="160"/>
      <c r="AU159" s="160"/>
      <c r="AV159" s="160"/>
      <c r="AW159" s="160"/>
      <c r="AX159" s="160"/>
      <c r="AY159" s="160"/>
      <c r="AZ159" s="160"/>
      <c r="BA159" s="160"/>
      <c r="BB159" s="160"/>
      <c r="BC159" s="160"/>
      <c r="BD159" s="160"/>
      <c r="BE159" s="160"/>
      <c r="BF159" s="160"/>
      <c r="BG159" s="160"/>
      <c r="BH159" s="160"/>
      <c r="BI159" s="160"/>
      <c r="BJ159" s="160"/>
      <c r="BK159" s="160"/>
      <c r="BL159" s="160"/>
      <c r="BM159" s="160"/>
      <c r="BN159" s="160"/>
      <c r="BO159" s="160"/>
      <c r="BP159" s="160"/>
      <c r="BQ159" s="160"/>
      <c r="BR159" s="160"/>
      <c r="BS159" s="160"/>
      <c r="BT159" s="160"/>
      <c r="BU159" s="160"/>
      <c r="BV159" s="160"/>
      <c r="BW159" s="160"/>
      <c r="BX159" s="160"/>
      <c r="BY159" s="160"/>
      <c r="BZ159" s="160"/>
      <c r="CA159" s="160"/>
      <c r="CB159" s="160"/>
      <c r="CC159" s="160"/>
      <c r="CD159" s="160"/>
      <c r="CE159" s="160"/>
      <c r="CF159" s="160"/>
      <c r="CG159" s="160"/>
      <c r="CH159" s="160"/>
      <c r="CI159" s="160"/>
      <c r="CJ159" s="160"/>
      <c r="CK159" s="160"/>
      <c r="CL159" s="160"/>
      <c r="CM159" s="160"/>
      <c r="CN159" s="160"/>
      <c r="CO159" s="160"/>
      <c r="CP159" s="160"/>
      <c r="CQ159" s="160"/>
      <c r="CR159" s="160"/>
      <c r="CS159" s="160"/>
      <c r="CT159" s="160"/>
      <c r="CU159" s="160"/>
      <c r="CV159" s="160"/>
    </row>
    <row r="160" spans="1:100" ht="39.75" customHeight="1" x14ac:dyDescent="0.2">
      <c r="A160" s="160"/>
      <c r="B160" s="160"/>
      <c r="C160" s="160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0"/>
      <c r="O160" s="160"/>
      <c r="P160" s="160"/>
      <c r="Q160" s="160"/>
      <c r="R160" s="160"/>
      <c r="S160" s="160"/>
      <c r="T160" s="160"/>
      <c r="U160" s="160"/>
      <c r="V160" s="160"/>
      <c r="W160" s="160"/>
      <c r="X160" s="160"/>
      <c r="Y160" s="160"/>
      <c r="Z160" s="160"/>
      <c r="AA160" s="160"/>
      <c r="AB160" s="160"/>
      <c r="AC160" s="160"/>
      <c r="AD160" s="160"/>
      <c r="AE160" s="160"/>
      <c r="AF160" s="160"/>
      <c r="AG160" s="160"/>
      <c r="AH160" s="160"/>
      <c r="AI160" s="160"/>
      <c r="AJ160" s="160"/>
      <c r="AK160" s="160"/>
      <c r="AL160" s="160"/>
      <c r="AM160" s="160"/>
      <c r="AN160" s="160"/>
      <c r="AO160" s="160"/>
      <c r="AP160" s="160"/>
      <c r="AQ160" s="160"/>
      <c r="AR160" s="160"/>
      <c r="AS160" s="160"/>
      <c r="AT160" s="160"/>
      <c r="AU160" s="160"/>
      <c r="AV160" s="160"/>
      <c r="AW160" s="160"/>
      <c r="AX160" s="160"/>
      <c r="AY160" s="160"/>
      <c r="AZ160" s="160"/>
      <c r="BA160" s="160"/>
      <c r="BB160" s="160"/>
      <c r="BC160" s="160"/>
      <c r="BD160" s="160"/>
      <c r="BE160" s="160"/>
      <c r="BF160" s="160"/>
      <c r="BG160" s="160"/>
      <c r="BH160" s="160"/>
      <c r="BI160" s="160"/>
      <c r="BJ160" s="160"/>
      <c r="BK160" s="160"/>
      <c r="BL160" s="160"/>
      <c r="BM160" s="160"/>
      <c r="BN160" s="160"/>
      <c r="BO160" s="160"/>
      <c r="BP160" s="160"/>
      <c r="BQ160" s="160"/>
      <c r="BR160" s="160"/>
      <c r="BS160" s="160"/>
      <c r="BT160" s="160"/>
      <c r="BU160" s="160"/>
      <c r="BV160" s="160"/>
      <c r="BW160" s="160"/>
      <c r="BX160" s="160"/>
      <c r="BY160" s="160"/>
      <c r="BZ160" s="160"/>
      <c r="CA160" s="160"/>
      <c r="CB160" s="160"/>
      <c r="CC160" s="160"/>
      <c r="CD160" s="160"/>
      <c r="CE160" s="160"/>
      <c r="CF160" s="160"/>
      <c r="CG160" s="160"/>
      <c r="CH160" s="160"/>
      <c r="CI160" s="160"/>
      <c r="CJ160" s="160"/>
      <c r="CK160" s="160"/>
      <c r="CL160" s="160"/>
      <c r="CM160" s="160"/>
      <c r="CN160" s="160"/>
      <c r="CO160" s="160"/>
      <c r="CP160" s="160"/>
      <c r="CQ160" s="160"/>
      <c r="CR160" s="160"/>
      <c r="CS160" s="160"/>
      <c r="CT160" s="160"/>
      <c r="CU160" s="160"/>
      <c r="CV160" s="160"/>
    </row>
    <row r="161" spans="1:100" ht="39.75" customHeight="1" x14ac:dyDescent="0.2">
      <c r="A161" s="160"/>
      <c r="B161" s="160"/>
      <c r="C161" s="160"/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0"/>
      <c r="O161" s="160"/>
      <c r="P161" s="160"/>
      <c r="Q161" s="160"/>
      <c r="R161" s="160"/>
      <c r="S161" s="160"/>
      <c r="T161" s="160"/>
      <c r="U161" s="160"/>
      <c r="V161" s="160"/>
      <c r="W161" s="160"/>
      <c r="X161" s="160"/>
      <c r="Y161" s="160"/>
      <c r="Z161" s="160"/>
      <c r="AA161" s="160"/>
      <c r="AB161" s="160"/>
      <c r="AC161" s="160"/>
      <c r="AD161" s="160"/>
      <c r="AE161" s="160"/>
      <c r="AF161" s="160"/>
      <c r="AG161" s="160"/>
      <c r="AH161" s="160"/>
      <c r="AI161" s="160"/>
      <c r="AJ161" s="160"/>
      <c r="AK161" s="160"/>
      <c r="AL161" s="160"/>
      <c r="AM161" s="160"/>
      <c r="AN161" s="160"/>
      <c r="AO161" s="160"/>
      <c r="AP161" s="160"/>
      <c r="AQ161" s="160"/>
      <c r="AR161" s="160"/>
      <c r="AS161" s="160"/>
      <c r="AT161" s="160"/>
      <c r="AU161" s="160"/>
      <c r="AV161" s="160"/>
      <c r="AW161" s="160"/>
      <c r="AX161" s="160"/>
      <c r="AY161" s="160"/>
      <c r="AZ161" s="160"/>
      <c r="BA161" s="160"/>
      <c r="BB161" s="160"/>
      <c r="BC161" s="160"/>
      <c r="BD161" s="160"/>
      <c r="BE161" s="160"/>
      <c r="BF161" s="160"/>
      <c r="BG161" s="160"/>
      <c r="BH161" s="160"/>
      <c r="BI161" s="160"/>
      <c r="BJ161" s="160"/>
      <c r="BK161" s="160"/>
      <c r="BL161" s="160"/>
      <c r="BM161" s="160"/>
      <c r="BN161" s="160"/>
      <c r="BO161" s="160"/>
      <c r="BP161" s="160"/>
      <c r="BQ161" s="160"/>
      <c r="BR161" s="160"/>
      <c r="BS161" s="160"/>
      <c r="BT161" s="160"/>
      <c r="BU161" s="160"/>
      <c r="BV161" s="160"/>
      <c r="BW161" s="160"/>
      <c r="BX161" s="160"/>
      <c r="BY161" s="160"/>
      <c r="BZ161" s="160"/>
      <c r="CA161" s="160"/>
      <c r="CB161" s="160"/>
      <c r="CC161" s="160"/>
      <c r="CD161" s="160"/>
      <c r="CE161" s="160"/>
      <c r="CF161" s="160"/>
      <c r="CG161" s="160"/>
      <c r="CH161" s="160"/>
      <c r="CI161" s="160"/>
      <c r="CJ161" s="160"/>
      <c r="CK161" s="160"/>
      <c r="CL161" s="160"/>
      <c r="CM161" s="160"/>
      <c r="CN161" s="160"/>
      <c r="CO161" s="160"/>
      <c r="CP161" s="160"/>
      <c r="CQ161" s="160"/>
      <c r="CR161" s="160"/>
      <c r="CS161" s="160"/>
      <c r="CT161" s="160"/>
      <c r="CU161" s="160"/>
      <c r="CV161" s="160"/>
    </row>
    <row r="162" spans="1:100" ht="39.75" customHeight="1" x14ac:dyDescent="0.2">
      <c r="A162" s="160"/>
      <c r="B162" s="160"/>
      <c r="C162" s="160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0"/>
      <c r="O162" s="160"/>
      <c r="P162" s="160"/>
      <c r="Q162" s="160"/>
      <c r="R162" s="160"/>
      <c r="S162" s="160"/>
      <c r="T162" s="160"/>
      <c r="U162" s="160"/>
      <c r="V162" s="160"/>
      <c r="W162" s="160"/>
      <c r="X162" s="160"/>
      <c r="Y162" s="160"/>
      <c r="Z162" s="160"/>
      <c r="AA162" s="160"/>
      <c r="AB162" s="160"/>
      <c r="AC162" s="160"/>
      <c r="AD162" s="160"/>
      <c r="AE162" s="160"/>
      <c r="AF162" s="160"/>
      <c r="AG162" s="160"/>
      <c r="AH162" s="160"/>
      <c r="AI162" s="160"/>
      <c r="AJ162" s="160"/>
      <c r="AK162" s="160"/>
      <c r="AL162" s="160"/>
      <c r="AM162" s="160"/>
      <c r="AN162" s="160"/>
      <c r="AO162" s="160"/>
      <c r="AP162" s="160"/>
      <c r="AQ162" s="160"/>
      <c r="AR162" s="160"/>
      <c r="AS162" s="160"/>
      <c r="AT162" s="160"/>
      <c r="AU162" s="160"/>
      <c r="AV162" s="160"/>
      <c r="AW162" s="160"/>
      <c r="AX162" s="160"/>
      <c r="AY162" s="160"/>
      <c r="AZ162" s="160"/>
      <c r="BA162" s="160"/>
      <c r="BB162" s="160"/>
      <c r="BC162" s="160"/>
      <c r="BD162" s="160"/>
      <c r="BE162" s="160"/>
      <c r="BF162" s="160"/>
      <c r="BG162" s="160"/>
      <c r="BH162" s="160"/>
      <c r="BI162" s="160"/>
      <c r="BJ162" s="160"/>
      <c r="BK162" s="160"/>
      <c r="BL162" s="160"/>
      <c r="BM162" s="160"/>
      <c r="BN162" s="160"/>
      <c r="BO162" s="160"/>
      <c r="BP162" s="160"/>
      <c r="BQ162" s="160"/>
      <c r="BR162" s="160"/>
      <c r="BS162" s="160"/>
      <c r="BT162" s="160"/>
      <c r="BU162" s="160"/>
      <c r="BV162" s="160"/>
      <c r="BW162" s="160"/>
      <c r="BX162" s="160"/>
      <c r="BY162" s="160"/>
      <c r="BZ162" s="160"/>
      <c r="CA162" s="160"/>
      <c r="CB162" s="160"/>
      <c r="CC162" s="160"/>
      <c r="CD162" s="160"/>
      <c r="CE162" s="160"/>
      <c r="CF162" s="160"/>
      <c r="CG162" s="160"/>
      <c r="CH162" s="160"/>
      <c r="CI162" s="160"/>
      <c r="CJ162" s="160"/>
      <c r="CK162" s="160"/>
      <c r="CL162" s="160"/>
      <c r="CM162" s="160"/>
      <c r="CN162" s="160"/>
      <c r="CO162" s="160"/>
      <c r="CP162" s="160"/>
      <c r="CQ162" s="160"/>
      <c r="CR162" s="160"/>
      <c r="CS162" s="160"/>
      <c r="CT162" s="160"/>
      <c r="CU162" s="160"/>
      <c r="CV162" s="160"/>
    </row>
    <row r="163" spans="1:100" ht="39.75" customHeight="1" x14ac:dyDescent="0.2">
      <c r="A163" s="160"/>
      <c r="B163" s="160"/>
      <c r="C163" s="160"/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0"/>
      <c r="O163" s="160"/>
      <c r="P163" s="160"/>
      <c r="Q163" s="160"/>
      <c r="R163" s="160"/>
      <c r="S163" s="160"/>
      <c r="T163" s="160"/>
      <c r="U163" s="160"/>
      <c r="V163" s="160"/>
      <c r="W163" s="160"/>
      <c r="X163" s="160"/>
      <c r="Y163" s="160"/>
      <c r="Z163" s="160"/>
      <c r="AA163" s="160"/>
      <c r="AB163" s="160"/>
      <c r="AC163" s="160"/>
      <c r="AD163" s="160"/>
      <c r="AE163" s="160"/>
      <c r="AF163" s="160"/>
      <c r="AG163" s="160"/>
      <c r="AH163" s="160"/>
      <c r="AI163" s="160"/>
      <c r="AJ163" s="160"/>
      <c r="AK163" s="160"/>
      <c r="AL163" s="160"/>
      <c r="AM163" s="160"/>
      <c r="AN163" s="160"/>
      <c r="AO163" s="160"/>
      <c r="AP163" s="160"/>
      <c r="AQ163" s="160"/>
      <c r="AR163" s="160"/>
      <c r="AS163" s="160"/>
      <c r="AT163" s="160"/>
      <c r="AU163" s="160"/>
      <c r="AV163" s="160"/>
      <c r="AW163" s="160"/>
      <c r="AX163" s="160"/>
      <c r="AY163" s="160"/>
      <c r="AZ163" s="160"/>
      <c r="BA163" s="160"/>
      <c r="BB163" s="160"/>
      <c r="BC163" s="160"/>
      <c r="BD163" s="160"/>
      <c r="BE163" s="160"/>
      <c r="BF163" s="160"/>
      <c r="BG163" s="160"/>
      <c r="BH163" s="160"/>
      <c r="BI163" s="160"/>
      <c r="BJ163" s="160"/>
      <c r="BK163" s="160"/>
      <c r="BL163" s="160"/>
      <c r="BM163" s="160"/>
      <c r="BN163" s="160"/>
      <c r="BO163" s="160"/>
      <c r="BP163" s="160"/>
      <c r="BQ163" s="160"/>
      <c r="BR163" s="160"/>
      <c r="BS163" s="160"/>
      <c r="BT163" s="160"/>
      <c r="BU163" s="160"/>
      <c r="BV163" s="160"/>
      <c r="BW163" s="160"/>
      <c r="BX163" s="160"/>
      <c r="BY163" s="160"/>
      <c r="BZ163" s="160"/>
      <c r="CA163" s="160"/>
      <c r="CB163" s="160"/>
      <c r="CC163" s="160"/>
      <c r="CD163" s="160"/>
      <c r="CE163" s="160"/>
      <c r="CF163" s="160"/>
      <c r="CG163" s="160"/>
      <c r="CH163" s="160"/>
      <c r="CI163" s="160"/>
      <c r="CJ163" s="160"/>
      <c r="CK163" s="160"/>
      <c r="CL163" s="160"/>
      <c r="CM163" s="160"/>
      <c r="CN163" s="160"/>
      <c r="CO163" s="160"/>
      <c r="CP163" s="160"/>
      <c r="CQ163" s="160"/>
      <c r="CR163" s="160"/>
      <c r="CS163" s="160"/>
      <c r="CT163" s="160"/>
      <c r="CU163" s="160"/>
      <c r="CV163" s="160"/>
    </row>
    <row r="164" spans="1:100" ht="39.75" customHeight="1" x14ac:dyDescent="0.2">
      <c r="A164" s="160"/>
      <c r="B164" s="160"/>
      <c r="C164" s="160"/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0"/>
      <c r="O164" s="160"/>
      <c r="P164" s="160"/>
      <c r="Q164" s="160"/>
      <c r="R164" s="160"/>
      <c r="S164" s="160"/>
      <c r="T164" s="160"/>
      <c r="U164" s="160"/>
      <c r="V164" s="160"/>
      <c r="W164" s="160"/>
      <c r="X164" s="160"/>
      <c r="Y164" s="160"/>
      <c r="Z164" s="160"/>
      <c r="AA164" s="160"/>
      <c r="AB164" s="160"/>
      <c r="AC164" s="160"/>
      <c r="AD164" s="160"/>
      <c r="AE164" s="160"/>
      <c r="AF164" s="160"/>
      <c r="AG164" s="160"/>
      <c r="AH164" s="160"/>
      <c r="AI164" s="160"/>
      <c r="AJ164" s="160"/>
      <c r="AK164" s="160"/>
      <c r="AL164" s="160"/>
      <c r="AM164" s="160"/>
      <c r="AN164" s="160"/>
      <c r="AO164" s="160"/>
      <c r="AP164" s="160"/>
      <c r="AQ164" s="160"/>
      <c r="AR164" s="160"/>
      <c r="AS164" s="160"/>
      <c r="AT164" s="160"/>
      <c r="AU164" s="160"/>
      <c r="AV164" s="160"/>
      <c r="AW164" s="160"/>
      <c r="AX164" s="160"/>
      <c r="AY164" s="160"/>
      <c r="AZ164" s="160"/>
      <c r="BA164" s="160"/>
      <c r="BB164" s="160"/>
      <c r="BC164" s="160"/>
      <c r="BD164" s="160"/>
      <c r="BE164" s="160"/>
      <c r="BF164" s="160"/>
      <c r="BG164" s="160"/>
      <c r="BH164" s="160"/>
      <c r="BI164" s="160"/>
      <c r="BJ164" s="160"/>
      <c r="BK164" s="160"/>
      <c r="BL164" s="160"/>
      <c r="BM164" s="160"/>
      <c r="BN164" s="160"/>
      <c r="BO164" s="160"/>
      <c r="BP164" s="160"/>
      <c r="BQ164" s="160"/>
      <c r="BR164" s="160"/>
      <c r="BS164" s="160"/>
      <c r="BT164" s="160"/>
      <c r="BU164" s="160"/>
      <c r="BV164" s="160"/>
      <c r="BW164" s="160"/>
      <c r="BX164" s="160"/>
      <c r="BY164" s="160"/>
      <c r="BZ164" s="160"/>
      <c r="CA164" s="160"/>
      <c r="CB164" s="160"/>
      <c r="CC164" s="160"/>
      <c r="CD164" s="160"/>
      <c r="CE164" s="160"/>
      <c r="CF164" s="160"/>
      <c r="CG164" s="160"/>
      <c r="CH164" s="160"/>
      <c r="CI164" s="160"/>
      <c r="CJ164" s="160"/>
      <c r="CK164" s="160"/>
      <c r="CL164" s="160"/>
      <c r="CM164" s="160"/>
      <c r="CN164" s="160"/>
      <c r="CO164" s="160"/>
      <c r="CP164" s="160"/>
      <c r="CQ164" s="160"/>
      <c r="CR164" s="160"/>
      <c r="CS164" s="160"/>
      <c r="CT164" s="160"/>
      <c r="CU164" s="160"/>
      <c r="CV164" s="160"/>
    </row>
    <row r="165" spans="1:100" ht="39.75" customHeight="1" x14ac:dyDescent="0.2">
      <c r="A165" s="160"/>
      <c r="B165" s="160"/>
      <c r="C165" s="160"/>
      <c r="D165" s="160"/>
      <c r="E165" s="160"/>
      <c r="F165" s="160"/>
      <c r="G165" s="160"/>
      <c r="H165" s="160"/>
      <c r="I165" s="160"/>
      <c r="J165" s="160"/>
      <c r="K165" s="160"/>
      <c r="L165" s="160"/>
      <c r="M165" s="160"/>
      <c r="N165" s="160"/>
      <c r="O165" s="160"/>
      <c r="P165" s="160"/>
      <c r="Q165" s="160"/>
      <c r="R165" s="160"/>
      <c r="S165" s="160"/>
      <c r="T165" s="160"/>
      <c r="U165" s="160"/>
      <c r="V165" s="160"/>
      <c r="W165" s="160"/>
      <c r="X165" s="160"/>
      <c r="Y165" s="160"/>
      <c r="Z165" s="160"/>
      <c r="AA165" s="160"/>
      <c r="AB165" s="160"/>
      <c r="AC165" s="160"/>
      <c r="AD165" s="160"/>
      <c r="AE165" s="160"/>
      <c r="AF165" s="160"/>
      <c r="AG165" s="160"/>
      <c r="AH165" s="160"/>
      <c r="AI165" s="160"/>
      <c r="AJ165" s="160"/>
      <c r="AK165" s="160"/>
      <c r="AL165" s="160"/>
      <c r="AM165" s="160"/>
      <c r="AN165" s="160"/>
      <c r="AO165" s="160"/>
      <c r="AP165" s="160"/>
      <c r="AQ165" s="160"/>
      <c r="AR165" s="160"/>
      <c r="AS165" s="160"/>
      <c r="AT165" s="160"/>
      <c r="AU165" s="160"/>
      <c r="AV165" s="160"/>
      <c r="AW165" s="160"/>
      <c r="AX165" s="160"/>
      <c r="AY165" s="160"/>
      <c r="AZ165" s="160"/>
      <c r="BA165" s="160"/>
      <c r="BB165" s="160"/>
      <c r="BC165" s="160"/>
      <c r="BD165" s="160"/>
      <c r="BE165" s="160"/>
      <c r="BF165" s="160"/>
      <c r="BG165" s="160"/>
      <c r="BH165" s="160"/>
      <c r="BI165" s="160"/>
      <c r="BJ165" s="160"/>
      <c r="BK165" s="160"/>
      <c r="BL165" s="160"/>
      <c r="BM165" s="160"/>
      <c r="BN165" s="160"/>
      <c r="BO165" s="160"/>
      <c r="BP165" s="160"/>
      <c r="BQ165" s="160"/>
      <c r="BR165" s="160"/>
      <c r="BS165" s="160"/>
      <c r="BT165" s="160"/>
      <c r="BU165" s="160"/>
      <c r="BV165" s="160"/>
      <c r="BW165" s="160"/>
      <c r="BX165" s="160"/>
      <c r="BY165" s="160"/>
      <c r="BZ165" s="160"/>
      <c r="CA165" s="160"/>
      <c r="CB165" s="160"/>
      <c r="CC165" s="160"/>
      <c r="CD165" s="160"/>
      <c r="CE165" s="160"/>
      <c r="CF165" s="160"/>
      <c r="CG165" s="160"/>
      <c r="CH165" s="160"/>
      <c r="CI165" s="160"/>
      <c r="CJ165" s="160"/>
      <c r="CK165" s="160"/>
      <c r="CL165" s="160"/>
      <c r="CM165" s="160"/>
      <c r="CN165" s="160"/>
      <c r="CO165" s="160"/>
      <c r="CP165" s="160"/>
      <c r="CQ165" s="160"/>
      <c r="CR165" s="160"/>
      <c r="CS165" s="160"/>
      <c r="CT165" s="160"/>
      <c r="CU165" s="160"/>
      <c r="CV165" s="160"/>
    </row>
    <row r="166" spans="1:100" ht="39.75" customHeight="1" x14ac:dyDescent="0.2">
      <c r="A166" s="160"/>
      <c r="B166" s="160"/>
      <c r="C166" s="160"/>
      <c r="D166" s="160"/>
      <c r="E166" s="160"/>
      <c r="F166" s="160"/>
      <c r="G166" s="160"/>
      <c r="H166" s="160"/>
      <c r="I166" s="160"/>
      <c r="J166" s="160"/>
      <c r="K166" s="160"/>
      <c r="L166" s="160"/>
      <c r="M166" s="160"/>
      <c r="N166" s="160"/>
      <c r="O166" s="160"/>
      <c r="P166" s="160"/>
      <c r="Q166" s="160"/>
      <c r="R166" s="160"/>
      <c r="S166" s="160"/>
      <c r="T166" s="160"/>
      <c r="U166" s="160"/>
      <c r="V166" s="160"/>
      <c r="W166" s="160"/>
      <c r="X166" s="160"/>
      <c r="Y166" s="160"/>
      <c r="Z166" s="160"/>
      <c r="AA166" s="160"/>
      <c r="AB166" s="160"/>
      <c r="AC166" s="160"/>
      <c r="AD166" s="160"/>
      <c r="AE166" s="160"/>
      <c r="AF166" s="160"/>
      <c r="AG166" s="160"/>
      <c r="AH166" s="160"/>
      <c r="AI166" s="160"/>
      <c r="AJ166" s="160"/>
      <c r="AK166" s="160"/>
      <c r="AL166" s="160"/>
      <c r="AM166" s="160"/>
      <c r="AN166" s="160"/>
      <c r="AO166" s="160"/>
      <c r="AP166" s="160"/>
      <c r="AQ166" s="160"/>
      <c r="AR166" s="160"/>
      <c r="AS166" s="160"/>
      <c r="AT166" s="160"/>
      <c r="AU166" s="160"/>
      <c r="AV166" s="160"/>
      <c r="AW166" s="160"/>
      <c r="AX166" s="160"/>
      <c r="AY166" s="160"/>
      <c r="AZ166" s="160"/>
      <c r="BA166" s="160"/>
      <c r="BB166" s="160"/>
      <c r="BC166" s="160"/>
      <c r="BD166" s="160"/>
      <c r="BE166" s="160"/>
      <c r="BF166" s="160"/>
      <c r="BG166" s="160"/>
      <c r="BH166" s="160"/>
      <c r="BI166" s="160"/>
      <c r="BJ166" s="160"/>
      <c r="BK166" s="160"/>
      <c r="BL166" s="160"/>
      <c r="BM166" s="160"/>
      <c r="BN166" s="160"/>
      <c r="BO166" s="160"/>
      <c r="BP166" s="160"/>
      <c r="BQ166" s="160"/>
      <c r="BR166" s="160"/>
      <c r="BS166" s="160"/>
      <c r="BT166" s="160"/>
      <c r="BU166" s="160"/>
      <c r="BV166" s="160"/>
      <c r="BW166" s="160"/>
      <c r="BX166" s="160"/>
      <c r="BY166" s="160"/>
      <c r="BZ166" s="160"/>
      <c r="CA166" s="160"/>
      <c r="CB166" s="160"/>
      <c r="CC166" s="160"/>
      <c r="CD166" s="160"/>
      <c r="CE166" s="160"/>
      <c r="CF166" s="160"/>
      <c r="CG166" s="160"/>
      <c r="CH166" s="160"/>
      <c r="CI166" s="160"/>
      <c r="CJ166" s="160"/>
      <c r="CK166" s="160"/>
      <c r="CL166" s="160"/>
      <c r="CM166" s="160"/>
      <c r="CN166" s="160"/>
      <c r="CO166" s="160"/>
      <c r="CP166" s="160"/>
      <c r="CQ166" s="160"/>
      <c r="CR166" s="160"/>
      <c r="CS166" s="160"/>
      <c r="CT166" s="160"/>
      <c r="CU166" s="160"/>
      <c r="CV166" s="160"/>
    </row>
    <row r="167" spans="1:100" ht="39.75" customHeight="1" x14ac:dyDescent="0.2">
      <c r="A167" s="160"/>
      <c r="B167" s="160"/>
      <c r="C167" s="160"/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0"/>
      <c r="O167" s="160"/>
      <c r="P167" s="160"/>
      <c r="Q167" s="160"/>
      <c r="R167" s="160"/>
      <c r="S167" s="160"/>
      <c r="T167" s="160"/>
      <c r="U167" s="160"/>
      <c r="V167" s="160"/>
      <c r="W167" s="160"/>
      <c r="X167" s="160"/>
      <c r="Y167" s="160"/>
      <c r="Z167" s="160"/>
      <c r="AA167" s="160"/>
      <c r="AB167" s="160"/>
      <c r="AC167" s="160"/>
      <c r="AD167" s="160"/>
      <c r="AE167" s="160"/>
      <c r="AF167" s="160"/>
      <c r="AG167" s="160"/>
      <c r="AH167" s="160"/>
      <c r="AI167" s="160"/>
      <c r="AJ167" s="160"/>
      <c r="AK167" s="160"/>
      <c r="AL167" s="160"/>
      <c r="AM167" s="160"/>
      <c r="AN167" s="160"/>
      <c r="AO167" s="160"/>
      <c r="AP167" s="160"/>
      <c r="AQ167" s="160"/>
      <c r="AR167" s="160"/>
      <c r="AS167" s="160"/>
      <c r="AT167" s="160"/>
      <c r="AU167" s="160"/>
      <c r="AV167" s="160"/>
      <c r="AW167" s="160"/>
      <c r="AX167" s="160"/>
      <c r="AY167" s="160"/>
      <c r="AZ167" s="160"/>
      <c r="BA167" s="160"/>
      <c r="BB167" s="160"/>
      <c r="BC167" s="160"/>
      <c r="BD167" s="160"/>
      <c r="BE167" s="160"/>
      <c r="BF167" s="160"/>
      <c r="BG167" s="160"/>
      <c r="BH167" s="160"/>
      <c r="BI167" s="160"/>
      <c r="BJ167" s="160"/>
      <c r="BK167" s="160"/>
      <c r="BL167" s="160"/>
      <c r="BM167" s="160"/>
      <c r="BN167" s="160"/>
      <c r="BO167" s="160"/>
      <c r="BP167" s="160"/>
      <c r="BQ167" s="160"/>
      <c r="BR167" s="160"/>
      <c r="BS167" s="160"/>
      <c r="BT167" s="160"/>
      <c r="BU167" s="160"/>
      <c r="BV167" s="160"/>
      <c r="BW167" s="160"/>
      <c r="BX167" s="160"/>
      <c r="BY167" s="160"/>
      <c r="BZ167" s="160"/>
      <c r="CA167" s="160"/>
      <c r="CB167" s="160"/>
      <c r="CC167" s="160"/>
      <c r="CD167" s="160"/>
      <c r="CE167" s="160"/>
      <c r="CF167" s="160"/>
      <c r="CG167" s="160"/>
      <c r="CH167" s="160"/>
      <c r="CI167" s="160"/>
      <c r="CJ167" s="160"/>
      <c r="CK167" s="160"/>
      <c r="CL167" s="160"/>
      <c r="CM167" s="160"/>
      <c r="CN167" s="160"/>
      <c r="CO167" s="160"/>
      <c r="CP167" s="160"/>
      <c r="CQ167" s="160"/>
      <c r="CR167" s="160"/>
      <c r="CS167" s="160"/>
      <c r="CT167" s="160"/>
      <c r="CU167" s="160"/>
      <c r="CV167" s="160"/>
    </row>
    <row r="168" spans="1:100" ht="39.75" customHeight="1" x14ac:dyDescent="0.2">
      <c r="A168" s="160"/>
      <c r="B168" s="160"/>
      <c r="C168" s="160"/>
      <c r="D168" s="160"/>
      <c r="E168" s="160"/>
      <c r="F168" s="160"/>
      <c r="G168" s="160"/>
      <c r="H168" s="160"/>
      <c r="I168" s="160"/>
      <c r="J168" s="160"/>
      <c r="K168" s="160"/>
      <c r="L168" s="160"/>
      <c r="M168" s="160"/>
      <c r="N168" s="160"/>
      <c r="O168" s="160"/>
      <c r="P168" s="160"/>
      <c r="Q168" s="160"/>
      <c r="R168" s="160"/>
      <c r="S168" s="160"/>
      <c r="T168" s="160"/>
      <c r="U168" s="160"/>
      <c r="V168" s="160"/>
      <c r="W168" s="160"/>
      <c r="X168" s="160"/>
      <c r="Y168" s="160"/>
      <c r="Z168" s="160"/>
      <c r="AA168" s="160"/>
      <c r="AB168" s="160"/>
      <c r="AC168" s="160"/>
      <c r="AD168" s="160"/>
      <c r="AE168" s="160"/>
      <c r="AF168" s="160"/>
      <c r="AG168" s="160"/>
      <c r="AH168" s="160"/>
      <c r="AI168" s="160"/>
      <c r="AJ168" s="160"/>
      <c r="AK168" s="160"/>
      <c r="AL168" s="160"/>
      <c r="AM168" s="160"/>
      <c r="AN168" s="160"/>
      <c r="AO168" s="160"/>
      <c r="AP168" s="160"/>
      <c r="AQ168" s="160"/>
      <c r="AR168" s="160"/>
      <c r="AS168" s="160"/>
      <c r="AT168" s="160"/>
      <c r="AU168" s="160"/>
      <c r="AV168" s="160"/>
      <c r="AW168" s="160"/>
      <c r="AX168" s="160"/>
      <c r="AY168" s="160"/>
      <c r="AZ168" s="160"/>
      <c r="BA168" s="160"/>
      <c r="BB168" s="160"/>
      <c r="BC168" s="160"/>
      <c r="BD168" s="160"/>
      <c r="BE168" s="160"/>
      <c r="BF168" s="160"/>
      <c r="BG168" s="160"/>
      <c r="BH168" s="160"/>
      <c r="BI168" s="160"/>
      <c r="BJ168" s="160"/>
      <c r="BK168" s="160"/>
      <c r="BL168" s="160"/>
      <c r="BM168" s="160"/>
      <c r="BN168" s="160"/>
      <c r="BO168" s="160"/>
      <c r="BP168" s="160"/>
      <c r="BQ168" s="160"/>
      <c r="BR168" s="160"/>
      <c r="BS168" s="160"/>
      <c r="BT168" s="160"/>
      <c r="BU168" s="160"/>
      <c r="BV168" s="160"/>
      <c r="BW168" s="160"/>
      <c r="BX168" s="160"/>
      <c r="BY168" s="160"/>
      <c r="BZ168" s="160"/>
      <c r="CA168" s="160"/>
      <c r="CB168" s="160"/>
      <c r="CC168" s="160"/>
      <c r="CD168" s="160"/>
      <c r="CE168" s="160"/>
      <c r="CF168" s="160"/>
      <c r="CG168" s="160"/>
      <c r="CH168" s="160"/>
      <c r="CI168" s="160"/>
      <c r="CJ168" s="160"/>
      <c r="CK168" s="160"/>
      <c r="CL168" s="160"/>
      <c r="CM168" s="160"/>
      <c r="CN168" s="160"/>
      <c r="CO168" s="160"/>
      <c r="CP168" s="160"/>
      <c r="CQ168" s="160"/>
      <c r="CR168" s="160"/>
      <c r="CS168" s="160"/>
      <c r="CT168" s="160"/>
      <c r="CU168" s="160"/>
      <c r="CV168" s="160"/>
    </row>
    <row r="169" spans="1:100" ht="39.75" customHeight="1" x14ac:dyDescent="0.2">
      <c r="A169" s="160"/>
      <c r="B169" s="160"/>
      <c r="C169" s="160"/>
      <c r="D169" s="160"/>
      <c r="E169" s="160"/>
      <c r="F169" s="160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60"/>
      <c r="S169" s="160"/>
      <c r="T169" s="160"/>
      <c r="U169" s="160"/>
      <c r="V169" s="160"/>
      <c r="W169" s="160"/>
      <c r="X169" s="160"/>
      <c r="Y169" s="160"/>
      <c r="Z169" s="160"/>
      <c r="AA169" s="160"/>
      <c r="AB169" s="160"/>
      <c r="AC169" s="160"/>
      <c r="AD169" s="160"/>
      <c r="AE169" s="160"/>
      <c r="AF169" s="160"/>
      <c r="AG169" s="160"/>
      <c r="AH169" s="160"/>
      <c r="AI169" s="160"/>
      <c r="AJ169" s="160"/>
      <c r="AK169" s="160"/>
      <c r="AL169" s="160"/>
      <c r="AM169" s="160"/>
      <c r="AN169" s="160"/>
      <c r="AO169" s="160"/>
      <c r="AP169" s="160"/>
      <c r="AQ169" s="160"/>
      <c r="AR169" s="160"/>
      <c r="AS169" s="160"/>
      <c r="AT169" s="160"/>
      <c r="AU169" s="160"/>
      <c r="AV169" s="160"/>
      <c r="AW169" s="160"/>
      <c r="AX169" s="160"/>
      <c r="AY169" s="160"/>
      <c r="AZ169" s="160"/>
      <c r="BA169" s="160"/>
      <c r="BB169" s="160"/>
      <c r="BC169" s="160"/>
      <c r="BD169" s="160"/>
      <c r="BE169" s="160"/>
      <c r="BF169" s="160"/>
      <c r="BG169" s="160"/>
      <c r="BH169" s="160"/>
      <c r="BI169" s="160"/>
      <c r="BJ169" s="160"/>
      <c r="BK169" s="160"/>
      <c r="BL169" s="160"/>
      <c r="BM169" s="160"/>
      <c r="BN169" s="160"/>
      <c r="BO169" s="160"/>
      <c r="BP169" s="160"/>
      <c r="BQ169" s="160"/>
      <c r="BR169" s="160"/>
      <c r="BS169" s="160"/>
      <c r="BT169" s="160"/>
      <c r="BU169" s="160"/>
      <c r="BV169" s="160"/>
      <c r="BW169" s="160"/>
      <c r="BX169" s="160"/>
      <c r="BY169" s="160"/>
      <c r="BZ169" s="160"/>
      <c r="CA169" s="160"/>
      <c r="CB169" s="160"/>
      <c r="CC169" s="160"/>
      <c r="CD169" s="160"/>
      <c r="CE169" s="160"/>
      <c r="CF169" s="160"/>
      <c r="CG169" s="160"/>
      <c r="CH169" s="160"/>
      <c r="CI169" s="160"/>
      <c r="CJ169" s="160"/>
      <c r="CK169" s="160"/>
      <c r="CL169" s="160"/>
      <c r="CM169" s="160"/>
      <c r="CN169" s="160"/>
      <c r="CO169" s="160"/>
      <c r="CP169" s="160"/>
      <c r="CQ169" s="160"/>
      <c r="CR169" s="160"/>
      <c r="CS169" s="160"/>
      <c r="CT169" s="160"/>
      <c r="CU169" s="160"/>
      <c r="CV169" s="160"/>
    </row>
    <row r="170" spans="1:100" ht="39.75" customHeight="1" x14ac:dyDescent="0.2">
      <c r="A170" s="160"/>
      <c r="B170" s="160"/>
      <c r="C170" s="160"/>
      <c r="D170" s="160"/>
      <c r="E170" s="160"/>
      <c r="F170" s="160"/>
      <c r="G170" s="160"/>
      <c r="H170" s="160"/>
      <c r="I170" s="160"/>
      <c r="J170" s="160"/>
      <c r="K170" s="160"/>
      <c r="L170" s="160"/>
      <c r="M170" s="160"/>
      <c r="N170" s="160"/>
      <c r="O170" s="160"/>
      <c r="P170" s="160"/>
      <c r="Q170" s="160"/>
      <c r="R170" s="160"/>
      <c r="S170" s="160"/>
      <c r="T170" s="160"/>
      <c r="U170" s="160"/>
      <c r="V170" s="160"/>
      <c r="W170" s="160"/>
      <c r="X170" s="160"/>
      <c r="Y170" s="160"/>
      <c r="Z170" s="160"/>
      <c r="AA170" s="160"/>
      <c r="AB170" s="160"/>
      <c r="AC170" s="160"/>
      <c r="AD170" s="160"/>
      <c r="AE170" s="160"/>
      <c r="AF170" s="160"/>
      <c r="AG170" s="160"/>
      <c r="AH170" s="160"/>
      <c r="AI170" s="160"/>
      <c r="AJ170" s="160"/>
      <c r="AK170" s="160"/>
      <c r="AL170" s="160"/>
      <c r="AM170" s="160"/>
      <c r="AN170" s="160"/>
      <c r="AO170" s="160"/>
      <c r="AP170" s="160"/>
      <c r="AQ170" s="160"/>
      <c r="AR170" s="160"/>
      <c r="AS170" s="160"/>
      <c r="AT170" s="160"/>
      <c r="AU170" s="160"/>
      <c r="AV170" s="160"/>
      <c r="AW170" s="160"/>
      <c r="AX170" s="160"/>
      <c r="AY170" s="160"/>
      <c r="AZ170" s="160"/>
      <c r="BA170" s="160"/>
      <c r="BB170" s="160"/>
      <c r="BC170" s="160"/>
      <c r="BD170" s="160"/>
      <c r="BE170" s="160"/>
      <c r="BF170" s="160"/>
      <c r="BG170" s="160"/>
      <c r="BH170" s="160"/>
      <c r="BI170" s="160"/>
      <c r="BJ170" s="160"/>
      <c r="BK170" s="160"/>
      <c r="BL170" s="160"/>
      <c r="BM170" s="160"/>
      <c r="BN170" s="160"/>
      <c r="BO170" s="160"/>
      <c r="BP170" s="160"/>
      <c r="BQ170" s="160"/>
      <c r="BR170" s="160"/>
      <c r="BS170" s="160"/>
      <c r="BT170" s="160"/>
      <c r="BU170" s="160"/>
      <c r="BV170" s="160"/>
      <c r="BW170" s="160"/>
      <c r="BX170" s="160"/>
      <c r="BY170" s="160"/>
      <c r="BZ170" s="160"/>
      <c r="CA170" s="160"/>
      <c r="CB170" s="160"/>
      <c r="CC170" s="160"/>
      <c r="CD170" s="160"/>
      <c r="CE170" s="160"/>
      <c r="CF170" s="160"/>
      <c r="CG170" s="160"/>
      <c r="CH170" s="160"/>
      <c r="CI170" s="160"/>
      <c r="CJ170" s="160"/>
      <c r="CK170" s="160"/>
      <c r="CL170" s="160"/>
      <c r="CM170" s="160"/>
      <c r="CN170" s="160"/>
      <c r="CO170" s="160"/>
      <c r="CP170" s="160"/>
      <c r="CQ170" s="160"/>
      <c r="CR170" s="160"/>
      <c r="CS170" s="160"/>
      <c r="CT170" s="160"/>
      <c r="CU170" s="160"/>
      <c r="CV170" s="160"/>
    </row>
    <row r="171" spans="1:100" ht="39.75" customHeight="1" x14ac:dyDescent="0.2">
      <c r="A171" s="160"/>
      <c r="B171" s="160"/>
      <c r="C171" s="160"/>
      <c r="D171" s="160"/>
      <c r="E171" s="160"/>
      <c r="F171" s="160"/>
      <c r="G171" s="160"/>
      <c r="H171" s="160"/>
      <c r="I171" s="160"/>
      <c r="J171" s="160"/>
      <c r="K171" s="160"/>
      <c r="L171" s="160"/>
      <c r="M171" s="160"/>
      <c r="N171" s="160"/>
      <c r="O171" s="160"/>
      <c r="P171" s="160"/>
      <c r="Q171" s="160"/>
      <c r="R171" s="160"/>
      <c r="S171" s="160"/>
      <c r="T171" s="160"/>
      <c r="U171" s="160"/>
      <c r="V171" s="160"/>
      <c r="W171" s="160"/>
      <c r="X171" s="160"/>
      <c r="Y171" s="160"/>
      <c r="Z171" s="160"/>
      <c r="AA171" s="160"/>
      <c r="AB171" s="160"/>
      <c r="AC171" s="160"/>
      <c r="AD171" s="160"/>
      <c r="AE171" s="160"/>
      <c r="AF171" s="160"/>
      <c r="AG171" s="160"/>
      <c r="AH171" s="160"/>
      <c r="AI171" s="160"/>
      <c r="AJ171" s="160"/>
      <c r="AK171" s="160"/>
      <c r="AL171" s="160"/>
      <c r="AM171" s="160"/>
      <c r="AN171" s="160"/>
      <c r="AO171" s="160"/>
      <c r="AP171" s="160"/>
      <c r="AQ171" s="160"/>
      <c r="AR171" s="160"/>
      <c r="AS171" s="160"/>
      <c r="AT171" s="160"/>
      <c r="AU171" s="160"/>
      <c r="AV171" s="160"/>
      <c r="AW171" s="160"/>
      <c r="AX171" s="160"/>
      <c r="AY171" s="160"/>
      <c r="AZ171" s="160"/>
      <c r="BA171" s="160"/>
      <c r="BB171" s="160"/>
      <c r="BC171" s="160"/>
      <c r="BD171" s="160"/>
      <c r="BE171" s="160"/>
      <c r="BF171" s="160"/>
      <c r="BG171" s="160"/>
      <c r="BH171" s="160"/>
      <c r="BI171" s="160"/>
      <c r="BJ171" s="160"/>
      <c r="BK171" s="160"/>
      <c r="BL171" s="160"/>
      <c r="BM171" s="160"/>
      <c r="BN171" s="160"/>
      <c r="BO171" s="160"/>
      <c r="BP171" s="160"/>
      <c r="BQ171" s="160"/>
      <c r="BR171" s="160"/>
      <c r="BS171" s="160"/>
      <c r="BT171" s="160"/>
      <c r="BU171" s="160"/>
      <c r="BV171" s="160"/>
      <c r="BW171" s="160"/>
      <c r="BX171" s="160"/>
      <c r="BY171" s="160"/>
      <c r="BZ171" s="160"/>
      <c r="CA171" s="160"/>
      <c r="CB171" s="160"/>
      <c r="CC171" s="160"/>
      <c r="CD171" s="160"/>
      <c r="CE171" s="160"/>
      <c r="CF171" s="160"/>
      <c r="CG171" s="160"/>
      <c r="CH171" s="160"/>
      <c r="CI171" s="160"/>
      <c r="CJ171" s="160"/>
      <c r="CK171" s="160"/>
      <c r="CL171" s="160"/>
      <c r="CM171" s="160"/>
      <c r="CN171" s="160"/>
      <c r="CO171" s="160"/>
      <c r="CP171" s="160"/>
      <c r="CQ171" s="160"/>
      <c r="CR171" s="160"/>
      <c r="CS171" s="160"/>
      <c r="CT171" s="160"/>
      <c r="CU171" s="160"/>
      <c r="CV171" s="160"/>
    </row>
    <row r="172" spans="1:100" ht="39.75" customHeight="1" x14ac:dyDescent="0.2">
      <c r="A172" s="160"/>
      <c r="B172" s="160"/>
      <c r="C172" s="160"/>
      <c r="D172" s="160"/>
      <c r="E172" s="160"/>
      <c r="F172" s="160"/>
      <c r="G172" s="160"/>
      <c r="H172" s="160"/>
      <c r="I172" s="160"/>
      <c r="J172" s="160"/>
      <c r="K172" s="160"/>
      <c r="L172" s="160"/>
      <c r="M172" s="160"/>
      <c r="N172" s="160"/>
      <c r="O172" s="160"/>
      <c r="P172" s="160"/>
      <c r="Q172" s="160"/>
      <c r="R172" s="160"/>
      <c r="S172" s="160"/>
      <c r="T172" s="160"/>
      <c r="U172" s="160"/>
      <c r="V172" s="160"/>
      <c r="W172" s="160"/>
      <c r="X172" s="160"/>
      <c r="Y172" s="160"/>
      <c r="Z172" s="160"/>
      <c r="AA172" s="160"/>
      <c r="AB172" s="160"/>
      <c r="AC172" s="160"/>
      <c r="AD172" s="160"/>
      <c r="AE172" s="160"/>
      <c r="AF172" s="160"/>
      <c r="AG172" s="160"/>
      <c r="AH172" s="160"/>
      <c r="AI172" s="160"/>
      <c r="AJ172" s="160"/>
      <c r="AK172" s="160"/>
      <c r="AL172" s="160"/>
      <c r="AM172" s="160"/>
      <c r="AN172" s="160"/>
      <c r="AO172" s="160"/>
      <c r="AP172" s="160"/>
      <c r="AQ172" s="160"/>
      <c r="AR172" s="160"/>
      <c r="AS172" s="160"/>
      <c r="AT172" s="160"/>
      <c r="AU172" s="160"/>
      <c r="AV172" s="160"/>
      <c r="AW172" s="160"/>
      <c r="AX172" s="160"/>
      <c r="AY172" s="160"/>
      <c r="AZ172" s="160"/>
      <c r="BA172" s="160"/>
      <c r="BB172" s="160"/>
      <c r="BC172" s="160"/>
      <c r="BD172" s="160"/>
      <c r="BE172" s="160"/>
      <c r="BF172" s="160"/>
      <c r="BG172" s="160"/>
      <c r="BH172" s="160"/>
      <c r="BI172" s="160"/>
      <c r="BJ172" s="160"/>
      <c r="BK172" s="160"/>
      <c r="BL172" s="160"/>
      <c r="BM172" s="160"/>
      <c r="BN172" s="160"/>
      <c r="BO172" s="160"/>
      <c r="BP172" s="160"/>
      <c r="BQ172" s="160"/>
      <c r="BR172" s="160"/>
      <c r="BS172" s="160"/>
      <c r="BT172" s="160"/>
      <c r="BU172" s="160"/>
      <c r="BV172" s="160"/>
      <c r="BW172" s="160"/>
      <c r="BX172" s="160"/>
      <c r="BY172" s="160"/>
      <c r="BZ172" s="160"/>
      <c r="CA172" s="160"/>
      <c r="CB172" s="160"/>
      <c r="CC172" s="160"/>
      <c r="CD172" s="160"/>
      <c r="CE172" s="160"/>
      <c r="CF172" s="160"/>
      <c r="CG172" s="160"/>
      <c r="CH172" s="160"/>
      <c r="CI172" s="160"/>
      <c r="CJ172" s="160"/>
      <c r="CK172" s="160"/>
      <c r="CL172" s="160"/>
      <c r="CM172" s="160"/>
      <c r="CN172" s="160"/>
      <c r="CO172" s="160"/>
      <c r="CP172" s="160"/>
      <c r="CQ172" s="160"/>
      <c r="CR172" s="160"/>
      <c r="CS172" s="160"/>
      <c r="CT172" s="160"/>
      <c r="CU172" s="160"/>
      <c r="CV172" s="160"/>
    </row>
    <row r="173" spans="1:100" ht="39.75" customHeight="1" x14ac:dyDescent="0.2">
      <c r="A173" s="160"/>
      <c r="B173" s="160"/>
      <c r="C173" s="160"/>
      <c r="D173" s="160"/>
      <c r="E173" s="160"/>
      <c r="F173" s="160"/>
      <c r="G173" s="160"/>
      <c r="H173" s="160"/>
      <c r="I173" s="160"/>
      <c r="J173" s="160"/>
      <c r="K173" s="160"/>
      <c r="L173" s="160"/>
      <c r="M173" s="160"/>
      <c r="N173" s="160"/>
      <c r="O173" s="160"/>
      <c r="P173" s="160"/>
      <c r="Q173" s="160"/>
      <c r="R173" s="160"/>
      <c r="S173" s="160"/>
      <c r="T173" s="160"/>
      <c r="U173" s="160"/>
      <c r="V173" s="160"/>
      <c r="W173" s="160"/>
      <c r="X173" s="160"/>
      <c r="Y173" s="160"/>
      <c r="Z173" s="160"/>
      <c r="AA173" s="160"/>
      <c r="AB173" s="160"/>
      <c r="AC173" s="160"/>
      <c r="AD173" s="160"/>
      <c r="AE173" s="160"/>
      <c r="AF173" s="160"/>
      <c r="AG173" s="160"/>
      <c r="AH173" s="160"/>
      <c r="AI173" s="160"/>
      <c r="AJ173" s="160"/>
      <c r="AK173" s="160"/>
      <c r="AL173" s="160"/>
      <c r="AM173" s="160"/>
      <c r="AN173" s="160"/>
      <c r="AO173" s="160"/>
      <c r="AP173" s="160"/>
      <c r="AQ173" s="160"/>
      <c r="AR173" s="160"/>
      <c r="AS173" s="160"/>
      <c r="AT173" s="160"/>
      <c r="AU173" s="160"/>
      <c r="AV173" s="160"/>
      <c r="AW173" s="160"/>
      <c r="AX173" s="160"/>
      <c r="AY173" s="160"/>
      <c r="AZ173" s="160"/>
      <c r="BA173" s="160"/>
      <c r="BB173" s="160"/>
      <c r="BC173" s="160"/>
      <c r="BD173" s="160"/>
      <c r="BE173" s="160"/>
      <c r="BF173" s="160"/>
      <c r="BG173" s="160"/>
      <c r="BH173" s="160"/>
      <c r="BI173" s="160"/>
      <c r="BJ173" s="160"/>
      <c r="BK173" s="160"/>
      <c r="BL173" s="160"/>
      <c r="BM173" s="160"/>
      <c r="BN173" s="160"/>
      <c r="BO173" s="160"/>
      <c r="BP173" s="160"/>
      <c r="BQ173" s="160"/>
      <c r="BR173" s="160"/>
      <c r="BS173" s="160"/>
      <c r="BT173" s="160"/>
      <c r="BU173" s="160"/>
      <c r="BV173" s="160"/>
      <c r="BW173" s="160"/>
      <c r="BX173" s="160"/>
      <c r="BY173" s="160"/>
      <c r="BZ173" s="160"/>
      <c r="CA173" s="160"/>
      <c r="CB173" s="160"/>
      <c r="CC173" s="160"/>
      <c r="CD173" s="160"/>
      <c r="CE173" s="160"/>
      <c r="CF173" s="160"/>
      <c r="CG173" s="160"/>
      <c r="CH173" s="160"/>
      <c r="CI173" s="160"/>
      <c r="CJ173" s="160"/>
      <c r="CK173" s="160"/>
      <c r="CL173" s="160"/>
      <c r="CM173" s="160"/>
      <c r="CN173" s="160"/>
      <c r="CO173" s="160"/>
      <c r="CP173" s="160"/>
      <c r="CQ173" s="160"/>
      <c r="CR173" s="160"/>
      <c r="CS173" s="160"/>
      <c r="CT173" s="160"/>
      <c r="CU173" s="160"/>
      <c r="CV173" s="160"/>
    </row>
    <row r="174" spans="1:100" ht="39.75" customHeight="1" x14ac:dyDescent="0.2">
      <c r="A174" s="160"/>
      <c r="B174" s="160"/>
      <c r="C174" s="160"/>
      <c r="D174" s="160"/>
      <c r="E174" s="160"/>
      <c r="F174" s="160"/>
      <c r="G174" s="160"/>
      <c r="H174" s="160"/>
      <c r="I174" s="160"/>
      <c r="J174" s="160"/>
      <c r="K174" s="160"/>
      <c r="L174" s="160"/>
      <c r="M174" s="160"/>
      <c r="N174" s="160"/>
      <c r="O174" s="160"/>
      <c r="P174" s="160"/>
      <c r="Q174" s="160"/>
      <c r="R174" s="160"/>
      <c r="S174" s="160"/>
      <c r="T174" s="160"/>
      <c r="U174" s="160"/>
      <c r="V174" s="160"/>
      <c r="W174" s="160"/>
      <c r="X174" s="160"/>
      <c r="Y174" s="160"/>
      <c r="Z174" s="160"/>
      <c r="AA174" s="160"/>
      <c r="AB174" s="160"/>
      <c r="AC174" s="160"/>
      <c r="AD174" s="160"/>
      <c r="AE174" s="160"/>
      <c r="AF174" s="160"/>
      <c r="AG174" s="160"/>
      <c r="AH174" s="160"/>
      <c r="AI174" s="160"/>
      <c r="AJ174" s="160"/>
      <c r="AK174" s="160"/>
      <c r="AL174" s="160"/>
      <c r="AM174" s="160"/>
      <c r="AN174" s="160"/>
      <c r="AO174" s="160"/>
      <c r="AP174" s="160"/>
      <c r="AQ174" s="160"/>
      <c r="AR174" s="160"/>
      <c r="AS174" s="160"/>
      <c r="AT174" s="160"/>
      <c r="AU174" s="160"/>
      <c r="AV174" s="160"/>
      <c r="AW174" s="160"/>
      <c r="AX174" s="160"/>
      <c r="AY174" s="160"/>
      <c r="AZ174" s="160"/>
      <c r="BA174" s="160"/>
      <c r="BB174" s="160"/>
      <c r="BC174" s="160"/>
      <c r="BD174" s="160"/>
      <c r="BE174" s="160"/>
      <c r="BF174" s="160"/>
      <c r="BG174" s="160"/>
      <c r="BH174" s="160"/>
      <c r="BI174" s="160"/>
      <c r="BJ174" s="160"/>
      <c r="BK174" s="160"/>
      <c r="BL174" s="160"/>
      <c r="BM174" s="160"/>
      <c r="BN174" s="160"/>
      <c r="BO174" s="160"/>
      <c r="BP174" s="160"/>
      <c r="BQ174" s="160"/>
      <c r="BR174" s="160"/>
      <c r="BS174" s="160"/>
      <c r="BT174" s="160"/>
      <c r="BU174" s="160"/>
      <c r="BV174" s="160"/>
      <c r="BW174" s="160"/>
      <c r="BX174" s="160"/>
      <c r="BY174" s="160"/>
      <c r="BZ174" s="160"/>
      <c r="CA174" s="160"/>
      <c r="CB174" s="160"/>
      <c r="CC174" s="160"/>
      <c r="CD174" s="160"/>
      <c r="CE174" s="160"/>
      <c r="CF174" s="160"/>
      <c r="CG174" s="160"/>
      <c r="CH174" s="160"/>
      <c r="CI174" s="160"/>
      <c r="CJ174" s="160"/>
      <c r="CK174" s="160"/>
      <c r="CL174" s="160"/>
      <c r="CM174" s="160"/>
      <c r="CN174" s="160"/>
      <c r="CO174" s="160"/>
      <c r="CP174" s="160"/>
      <c r="CQ174" s="160"/>
      <c r="CR174" s="160"/>
      <c r="CS174" s="160"/>
      <c r="CT174" s="160"/>
      <c r="CU174" s="160"/>
      <c r="CV174" s="160"/>
    </row>
    <row r="175" spans="1:100" ht="39.75" customHeight="1" x14ac:dyDescent="0.2">
      <c r="A175" s="160"/>
      <c r="B175" s="160"/>
      <c r="C175" s="160"/>
      <c r="D175" s="160"/>
      <c r="E175" s="160"/>
      <c r="F175" s="160"/>
      <c r="G175" s="160"/>
      <c r="H175" s="160"/>
      <c r="I175" s="160"/>
      <c r="J175" s="160"/>
      <c r="K175" s="160"/>
      <c r="L175" s="160"/>
      <c r="M175" s="160"/>
      <c r="N175" s="160"/>
      <c r="O175" s="160"/>
      <c r="P175" s="160"/>
      <c r="Q175" s="160"/>
      <c r="R175" s="160"/>
      <c r="S175" s="160"/>
      <c r="T175" s="160"/>
      <c r="U175" s="160"/>
      <c r="V175" s="160"/>
      <c r="W175" s="160"/>
      <c r="X175" s="160"/>
      <c r="Y175" s="160"/>
      <c r="Z175" s="160"/>
      <c r="AA175" s="160"/>
      <c r="AB175" s="160"/>
      <c r="AC175" s="160"/>
      <c r="AD175" s="160"/>
      <c r="AE175" s="160"/>
      <c r="AF175" s="160"/>
      <c r="AG175" s="160"/>
      <c r="AH175" s="160"/>
      <c r="AI175" s="160"/>
      <c r="AJ175" s="160"/>
      <c r="AK175" s="160"/>
      <c r="AL175" s="160"/>
      <c r="AM175" s="160"/>
      <c r="AN175" s="160"/>
      <c r="AO175" s="160"/>
      <c r="AP175" s="160"/>
      <c r="AQ175" s="160"/>
      <c r="AR175" s="160"/>
      <c r="AS175" s="160"/>
      <c r="AT175" s="160"/>
      <c r="AU175" s="160"/>
      <c r="AV175" s="160"/>
      <c r="AW175" s="160"/>
      <c r="AX175" s="160"/>
      <c r="AY175" s="160"/>
      <c r="AZ175" s="160"/>
      <c r="BA175" s="160"/>
      <c r="BB175" s="160"/>
      <c r="BC175" s="160"/>
      <c r="BD175" s="160"/>
      <c r="BE175" s="160"/>
      <c r="BF175" s="160"/>
      <c r="BG175" s="160"/>
      <c r="BH175" s="160"/>
      <c r="BI175" s="160"/>
      <c r="BJ175" s="160"/>
      <c r="BK175" s="160"/>
      <c r="BL175" s="160"/>
      <c r="BM175" s="160"/>
      <c r="BN175" s="160"/>
      <c r="BO175" s="160"/>
      <c r="BP175" s="160"/>
      <c r="BQ175" s="160"/>
      <c r="BR175" s="160"/>
      <c r="BS175" s="160"/>
      <c r="BT175" s="160"/>
      <c r="BU175" s="160"/>
      <c r="BV175" s="160"/>
      <c r="BW175" s="160"/>
      <c r="BX175" s="160"/>
      <c r="BY175" s="160"/>
      <c r="BZ175" s="160"/>
      <c r="CA175" s="160"/>
      <c r="CB175" s="160"/>
      <c r="CC175" s="160"/>
      <c r="CD175" s="160"/>
      <c r="CE175" s="160"/>
      <c r="CF175" s="160"/>
      <c r="CG175" s="160"/>
      <c r="CH175" s="160"/>
      <c r="CI175" s="160"/>
      <c r="CJ175" s="160"/>
      <c r="CK175" s="160"/>
      <c r="CL175" s="160"/>
      <c r="CM175" s="160"/>
      <c r="CN175" s="160"/>
      <c r="CO175" s="160"/>
      <c r="CP175" s="160"/>
      <c r="CQ175" s="160"/>
      <c r="CR175" s="160"/>
      <c r="CS175" s="160"/>
      <c r="CT175" s="160"/>
      <c r="CU175" s="160"/>
      <c r="CV175" s="160"/>
    </row>
    <row r="176" spans="1:100" ht="39.75" customHeight="1" x14ac:dyDescent="0.2">
      <c r="A176" s="160"/>
      <c r="B176" s="160"/>
      <c r="C176" s="160"/>
      <c r="D176" s="160"/>
      <c r="E176" s="160"/>
      <c r="F176" s="160"/>
      <c r="G176" s="160"/>
      <c r="H176" s="160"/>
      <c r="I176" s="160"/>
      <c r="J176" s="160"/>
      <c r="K176" s="160"/>
      <c r="L176" s="160"/>
      <c r="M176" s="160"/>
      <c r="N176" s="160"/>
      <c r="O176" s="160"/>
      <c r="P176" s="160"/>
      <c r="Q176" s="160"/>
      <c r="R176" s="160"/>
      <c r="S176" s="160"/>
      <c r="T176" s="160"/>
      <c r="U176" s="160"/>
      <c r="V176" s="160"/>
      <c r="W176" s="160"/>
      <c r="X176" s="160"/>
      <c r="Y176" s="160"/>
      <c r="Z176" s="160"/>
      <c r="AA176" s="160"/>
      <c r="AB176" s="160"/>
      <c r="AC176" s="160"/>
      <c r="AD176" s="160"/>
      <c r="AE176" s="160"/>
      <c r="AF176" s="160"/>
      <c r="AG176" s="160"/>
      <c r="AH176" s="160"/>
      <c r="AI176" s="160"/>
      <c r="AJ176" s="160"/>
      <c r="AK176" s="160"/>
      <c r="AL176" s="160"/>
      <c r="AM176" s="160"/>
      <c r="AN176" s="160"/>
      <c r="AO176" s="160"/>
      <c r="AP176" s="160"/>
      <c r="AQ176" s="160"/>
      <c r="AR176" s="160"/>
      <c r="AS176" s="160"/>
      <c r="AT176" s="160"/>
      <c r="AU176" s="160"/>
      <c r="AV176" s="160"/>
      <c r="AW176" s="160"/>
      <c r="AX176" s="160"/>
      <c r="AY176" s="160"/>
      <c r="AZ176" s="160"/>
      <c r="BA176" s="160"/>
      <c r="BB176" s="160"/>
      <c r="BC176" s="160"/>
      <c r="BD176" s="160"/>
      <c r="BE176" s="160"/>
      <c r="BF176" s="160"/>
      <c r="BG176" s="160"/>
      <c r="BH176" s="160"/>
      <c r="BI176" s="160"/>
      <c r="BJ176" s="160"/>
      <c r="BK176" s="160"/>
      <c r="BL176" s="160"/>
      <c r="BM176" s="160"/>
      <c r="BN176" s="160"/>
      <c r="BO176" s="160"/>
      <c r="BP176" s="160"/>
      <c r="BQ176" s="160"/>
      <c r="BR176" s="160"/>
      <c r="BS176" s="160"/>
      <c r="BT176" s="160"/>
      <c r="BU176" s="160"/>
      <c r="BV176" s="160"/>
      <c r="BW176" s="160"/>
      <c r="BX176" s="160"/>
      <c r="BY176" s="160"/>
      <c r="BZ176" s="160"/>
      <c r="CA176" s="160"/>
      <c r="CB176" s="160"/>
      <c r="CC176" s="160"/>
      <c r="CD176" s="160"/>
      <c r="CE176" s="160"/>
      <c r="CF176" s="160"/>
      <c r="CG176" s="160"/>
      <c r="CH176" s="160"/>
      <c r="CI176" s="160"/>
      <c r="CJ176" s="160"/>
      <c r="CK176" s="160"/>
      <c r="CL176" s="160"/>
      <c r="CM176" s="160"/>
      <c r="CN176" s="160"/>
      <c r="CO176" s="160"/>
      <c r="CP176" s="160"/>
      <c r="CQ176" s="160"/>
      <c r="CR176" s="160"/>
      <c r="CS176" s="160"/>
      <c r="CT176" s="160"/>
      <c r="CU176" s="160"/>
      <c r="CV176" s="160"/>
    </row>
    <row r="177" spans="1:100" ht="39.75" customHeight="1" x14ac:dyDescent="0.2">
      <c r="A177" s="160"/>
      <c r="B177" s="160"/>
      <c r="C177" s="160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0"/>
      <c r="O177" s="160"/>
      <c r="P177" s="160"/>
      <c r="Q177" s="160"/>
      <c r="R177" s="160"/>
      <c r="S177" s="160"/>
      <c r="T177" s="160"/>
      <c r="U177" s="160"/>
      <c r="V177" s="160"/>
      <c r="W177" s="160"/>
      <c r="X177" s="160"/>
      <c r="Y177" s="160"/>
      <c r="Z177" s="160"/>
      <c r="AA177" s="160"/>
      <c r="AB177" s="160"/>
      <c r="AC177" s="160"/>
      <c r="AD177" s="160"/>
      <c r="AE177" s="160"/>
      <c r="AF177" s="160"/>
      <c r="AG177" s="160"/>
      <c r="AH177" s="160"/>
      <c r="AI177" s="160"/>
      <c r="AJ177" s="160"/>
      <c r="AK177" s="160"/>
      <c r="AL177" s="160"/>
      <c r="AM177" s="160"/>
      <c r="AN177" s="160"/>
      <c r="AO177" s="160"/>
      <c r="AP177" s="160"/>
      <c r="AQ177" s="160"/>
      <c r="AR177" s="160"/>
      <c r="AS177" s="160"/>
      <c r="AT177" s="160"/>
      <c r="AU177" s="160"/>
      <c r="AV177" s="160"/>
      <c r="AW177" s="160"/>
      <c r="AX177" s="160"/>
      <c r="AY177" s="160"/>
      <c r="AZ177" s="160"/>
      <c r="BA177" s="160"/>
      <c r="BB177" s="160"/>
      <c r="BC177" s="160"/>
      <c r="BD177" s="160"/>
      <c r="BE177" s="160"/>
      <c r="BF177" s="160"/>
      <c r="BG177" s="160"/>
      <c r="BH177" s="160"/>
      <c r="BI177" s="160"/>
      <c r="BJ177" s="160"/>
      <c r="BK177" s="160"/>
      <c r="BL177" s="160"/>
      <c r="BM177" s="160"/>
      <c r="BN177" s="160"/>
      <c r="BO177" s="160"/>
      <c r="BP177" s="160"/>
      <c r="BQ177" s="160"/>
      <c r="BR177" s="160"/>
      <c r="BS177" s="160"/>
      <c r="BT177" s="160"/>
      <c r="BU177" s="160"/>
      <c r="BV177" s="160"/>
      <c r="BW177" s="160"/>
      <c r="BX177" s="160"/>
      <c r="BY177" s="160"/>
      <c r="BZ177" s="160"/>
      <c r="CA177" s="160"/>
      <c r="CB177" s="160"/>
      <c r="CC177" s="160"/>
      <c r="CD177" s="160"/>
      <c r="CE177" s="160"/>
      <c r="CF177" s="160"/>
      <c r="CG177" s="160"/>
      <c r="CH177" s="160"/>
      <c r="CI177" s="160"/>
      <c r="CJ177" s="160"/>
      <c r="CK177" s="160"/>
      <c r="CL177" s="160"/>
      <c r="CM177" s="160"/>
      <c r="CN177" s="160"/>
      <c r="CO177" s="160"/>
      <c r="CP177" s="160"/>
      <c r="CQ177" s="160"/>
      <c r="CR177" s="160"/>
      <c r="CS177" s="160"/>
      <c r="CT177" s="160"/>
      <c r="CU177" s="160"/>
      <c r="CV177" s="160"/>
    </row>
    <row r="178" spans="1:100" ht="39.75" customHeight="1" x14ac:dyDescent="0.2">
      <c r="A178" s="160"/>
      <c r="B178" s="160"/>
      <c r="C178" s="160"/>
      <c r="D178" s="160"/>
      <c r="E178" s="160"/>
      <c r="F178" s="160"/>
      <c r="G178" s="160"/>
      <c r="H178" s="160"/>
      <c r="I178" s="160"/>
      <c r="J178" s="160"/>
      <c r="K178" s="160"/>
      <c r="L178" s="160"/>
      <c r="M178" s="160"/>
      <c r="N178" s="160"/>
      <c r="O178" s="160"/>
      <c r="P178" s="160"/>
      <c r="Q178" s="160"/>
      <c r="R178" s="160"/>
      <c r="S178" s="160"/>
      <c r="T178" s="160"/>
      <c r="U178" s="160"/>
      <c r="V178" s="160"/>
      <c r="W178" s="160"/>
      <c r="X178" s="160"/>
      <c r="Y178" s="160"/>
      <c r="Z178" s="160"/>
      <c r="AA178" s="160"/>
      <c r="AB178" s="160"/>
      <c r="AC178" s="160"/>
      <c r="AD178" s="160"/>
      <c r="AE178" s="160"/>
      <c r="AF178" s="160"/>
      <c r="AG178" s="160"/>
      <c r="AH178" s="160"/>
      <c r="AI178" s="160"/>
      <c r="AJ178" s="160"/>
      <c r="AK178" s="160"/>
      <c r="AL178" s="160"/>
      <c r="AM178" s="160"/>
      <c r="AN178" s="160"/>
      <c r="AO178" s="160"/>
      <c r="AP178" s="160"/>
      <c r="AQ178" s="160"/>
      <c r="AR178" s="160"/>
      <c r="AS178" s="160"/>
      <c r="AT178" s="160"/>
      <c r="AU178" s="160"/>
      <c r="AV178" s="160"/>
      <c r="AW178" s="160"/>
      <c r="AX178" s="160"/>
      <c r="AY178" s="160"/>
      <c r="AZ178" s="160"/>
      <c r="BA178" s="160"/>
      <c r="BB178" s="160"/>
      <c r="BC178" s="160"/>
      <c r="BD178" s="160"/>
      <c r="BE178" s="160"/>
      <c r="BF178" s="160"/>
      <c r="BG178" s="160"/>
      <c r="BH178" s="160"/>
      <c r="BI178" s="160"/>
      <c r="BJ178" s="160"/>
      <c r="BK178" s="160"/>
      <c r="BL178" s="160"/>
      <c r="BM178" s="160"/>
      <c r="BN178" s="160"/>
      <c r="BO178" s="160"/>
      <c r="BP178" s="160"/>
      <c r="BQ178" s="160"/>
      <c r="BR178" s="160"/>
      <c r="BS178" s="160"/>
      <c r="BT178" s="160"/>
      <c r="BU178" s="160"/>
      <c r="BV178" s="160"/>
      <c r="BW178" s="160"/>
      <c r="BX178" s="160"/>
      <c r="BY178" s="160"/>
      <c r="BZ178" s="160"/>
      <c r="CA178" s="160"/>
      <c r="CB178" s="160"/>
      <c r="CC178" s="160"/>
      <c r="CD178" s="160"/>
      <c r="CE178" s="160"/>
      <c r="CF178" s="160"/>
      <c r="CG178" s="160"/>
      <c r="CH178" s="160"/>
      <c r="CI178" s="160"/>
      <c r="CJ178" s="160"/>
      <c r="CK178" s="160"/>
      <c r="CL178" s="160"/>
      <c r="CM178" s="160"/>
      <c r="CN178" s="160"/>
      <c r="CO178" s="160"/>
      <c r="CP178" s="160"/>
      <c r="CQ178" s="160"/>
      <c r="CR178" s="160"/>
      <c r="CS178" s="160"/>
      <c r="CT178" s="160"/>
      <c r="CU178" s="160"/>
      <c r="CV178" s="160"/>
    </row>
    <row r="179" spans="1:100" ht="39.75" customHeight="1" x14ac:dyDescent="0.2">
      <c r="A179" s="160"/>
      <c r="B179" s="160"/>
      <c r="C179" s="160"/>
      <c r="D179" s="160"/>
      <c r="E179" s="160"/>
      <c r="F179" s="160"/>
      <c r="G179" s="160"/>
      <c r="H179" s="160"/>
      <c r="I179" s="160"/>
      <c r="J179" s="160"/>
      <c r="K179" s="160"/>
      <c r="L179" s="160"/>
      <c r="M179" s="160"/>
      <c r="N179" s="160"/>
      <c r="O179" s="160"/>
      <c r="P179" s="160"/>
      <c r="Q179" s="160"/>
      <c r="R179" s="160"/>
      <c r="S179" s="160"/>
      <c r="T179" s="160"/>
      <c r="U179" s="160"/>
      <c r="V179" s="160"/>
      <c r="W179" s="160"/>
      <c r="X179" s="160"/>
      <c r="Y179" s="160"/>
      <c r="Z179" s="160"/>
      <c r="AA179" s="160"/>
      <c r="AB179" s="160"/>
      <c r="AC179" s="160"/>
      <c r="AD179" s="160"/>
      <c r="AE179" s="160"/>
      <c r="AF179" s="160"/>
      <c r="AG179" s="160"/>
      <c r="AH179" s="160"/>
      <c r="AI179" s="160"/>
      <c r="AJ179" s="160"/>
      <c r="AK179" s="160"/>
      <c r="AL179" s="160"/>
      <c r="AM179" s="160"/>
      <c r="AN179" s="160"/>
      <c r="AO179" s="160"/>
      <c r="AP179" s="160"/>
      <c r="AQ179" s="160"/>
      <c r="AR179" s="160"/>
      <c r="AS179" s="160"/>
      <c r="AT179" s="160"/>
      <c r="AU179" s="160"/>
      <c r="AV179" s="160"/>
      <c r="AW179" s="160"/>
      <c r="AX179" s="160"/>
      <c r="AY179" s="160"/>
      <c r="AZ179" s="160"/>
      <c r="BA179" s="160"/>
      <c r="BB179" s="160"/>
      <c r="BC179" s="160"/>
      <c r="BD179" s="160"/>
      <c r="BE179" s="160"/>
      <c r="BF179" s="160"/>
      <c r="BG179" s="160"/>
      <c r="BH179" s="160"/>
      <c r="BI179" s="160"/>
      <c r="BJ179" s="160"/>
      <c r="BK179" s="160"/>
      <c r="BL179" s="160"/>
      <c r="BM179" s="160"/>
      <c r="BN179" s="160"/>
      <c r="BO179" s="160"/>
      <c r="BP179" s="160"/>
      <c r="BQ179" s="160"/>
      <c r="BR179" s="160"/>
      <c r="BS179" s="160"/>
      <c r="BT179" s="160"/>
      <c r="BU179" s="160"/>
      <c r="BV179" s="160"/>
      <c r="BW179" s="160"/>
      <c r="BX179" s="160"/>
      <c r="BY179" s="160"/>
      <c r="BZ179" s="160"/>
      <c r="CA179" s="160"/>
      <c r="CB179" s="160"/>
      <c r="CC179" s="160"/>
      <c r="CD179" s="160"/>
      <c r="CE179" s="160"/>
      <c r="CF179" s="160"/>
      <c r="CG179" s="160"/>
      <c r="CH179" s="160"/>
      <c r="CI179" s="160"/>
      <c r="CJ179" s="160"/>
      <c r="CK179" s="160"/>
      <c r="CL179" s="160"/>
      <c r="CM179" s="160"/>
      <c r="CN179" s="160"/>
      <c r="CO179" s="160"/>
      <c r="CP179" s="160"/>
      <c r="CQ179" s="160"/>
      <c r="CR179" s="160"/>
      <c r="CS179" s="160"/>
      <c r="CT179" s="160"/>
      <c r="CU179" s="160"/>
      <c r="CV179" s="160"/>
    </row>
    <row r="180" spans="1:100" ht="39.75" customHeight="1" x14ac:dyDescent="0.2">
      <c r="A180" s="160"/>
      <c r="B180" s="160"/>
      <c r="C180" s="160"/>
      <c r="D180" s="160"/>
      <c r="E180" s="160"/>
      <c r="F180" s="160"/>
      <c r="G180" s="160"/>
      <c r="H180" s="160"/>
      <c r="I180" s="160"/>
      <c r="J180" s="160"/>
      <c r="K180" s="160"/>
      <c r="L180" s="160"/>
      <c r="M180" s="160"/>
      <c r="N180" s="160"/>
      <c r="O180" s="160"/>
      <c r="P180" s="160"/>
      <c r="Q180" s="160"/>
      <c r="R180" s="160"/>
      <c r="S180" s="160"/>
      <c r="T180" s="160"/>
      <c r="U180" s="160"/>
      <c r="V180" s="160"/>
      <c r="W180" s="160"/>
      <c r="X180" s="160"/>
      <c r="Y180" s="160"/>
      <c r="Z180" s="160"/>
      <c r="AA180" s="160"/>
      <c r="AB180" s="160"/>
      <c r="AC180" s="160"/>
      <c r="AD180" s="160"/>
      <c r="AE180" s="160"/>
      <c r="AF180" s="160"/>
      <c r="AG180" s="160"/>
      <c r="AH180" s="160"/>
      <c r="AI180" s="160"/>
      <c r="AJ180" s="160"/>
      <c r="AK180" s="160"/>
      <c r="AL180" s="160"/>
      <c r="AM180" s="160"/>
      <c r="AN180" s="160"/>
      <c r="AO180" s="160"/>
      <c r="AP180" s="160"/>
      <c r="AQ180" s="160"/>
      <c r="AR180" s="160"/>
      <c r="AS180" s="160"/>
      <c r="AT180" s="160"/>
      <c r="AU180" s="160"/>
      <c r="AV180" s="160"/>
      <c r="AW180" s="160"/>
      <c r="AX180" s="160"/>
      <c r="AY180" s="160"/>
      <c r="AZ180" s="160"/>
      <c r="BA180" s="160"/>
      <c r="BB180" s="160"/>
      <c r="BC180" s="160"/>
      <c r="BD180" s="160"/>
      <c r="BE180" s="160"/>
      <c r="BF180" s="160"/>
      <c r="BG180" s="160"/>
      <c r="BH180" s="160"/>
      <c r="BI180" s="160"/>
      <c r="BJ180" s="160"/>
      <c r="BK180" s="160"/>
      <c r="BL180" s="160"/>
      <c r="BM180" s="160"/>
      <c r="BN180" s="160"/>
      <c r="BO180" s="160"/>
      <c r="BP180" s="160"/>
      <c r="BQ180" s="160"/>
      <c r="BR180" s="160"/>
      <c r="BS180" s="160"/>
      <c r="BT180" s="160"/>
      <c r="BU180" s="160"/>
      <c r="BV180" s="160"/>
      <c r="BW180" s="160"/>
      <c r="BX180" s="160"/>
      <c r="BY180" s="160"/>
      <c r="BZ180" s="160"/>
      <c r="CA180" s="160"/>
      <c r="CB180" s="160"/>
      <c r="CC180" s="160"/>
      <c r="CD180" s="160"/>
      <c r="CE180" s="160"/>
      <c r="CF180" s="160"/>
      <c r="CG180" s="160"/>
      <c r="CH180" s="160"/>
      <c r="CI180" s="160"/>
      <c r="CJ180" s="160"/>
      <c r="CK180" s="160"/>
      <c r="CL180" s="160"/>
      <c r="CM180" s="160"/>
      <c r="CN180" s="160"/>
      <c r="CO180" s="160"/>
      <c r="CP180" s="160"/>
      <c r="CQ180" s="160"/>
      <c r="CR180" s="160"/>
      <c r="CS180" s="160"/>
      <c r="CT180" s="160"/>
      <c r="CU180" s="160"/>
      <c r="CV180" s="160"/>
    </row>
    <row r="181" spans="1:100" ht="39.75" customHeight="1" x14ac:dyDescent="0.2">
      <c r="A181" s="160"/>
      <c r="B181" s="160"/>
      <c r="C181" s="160"/>
      <c r="D181" s="160"/>
      <c r="E181" s="160"/>
      <c r="F181" s="160"/>
      <c r="G181" s="160"/>
      <c r="H181" s="160"/>
      <c r="I181" s="160"/>
      <c r="J181" s="160"/>
      <c r="K181" s="160"/>
      <c r="L181" s="160"/>
      <c r="M181" s="160"/>
      <c r="N181" s="160"/>
      <c r="O181" s="160"/>
      <c r="P181" s="160"/>
      <c r="Q181" s="160"/>
      <c r="R181" s="160"/>
      <c r="S181" s="160"/>
      <c r="T181" s="160"/>
      <c r="U181" s="160"/>
      <c r="V181" s="160"/>
      <c r="W181" s="160"/>
      <c r="X181" s="160"/>
      <c r="Y181" s="160"/>
      <c r="Z181" s="160"/>
      <c r="AA181" s="160"/>
      <c r="AB181" s="160"/>
      <c r="AC181" s="160"/>
      <c r="AD181" s="160"/>
      <c r="AE181" s="160"/>
      <c r="AF181" s="160"/>
      <c r="AG181" s="160"/>
      <c r="AH181" s="160"/>
      <c r="AI181" s="160"/>
      <c r="AJ181" s="160"/>
      <c r="AK181" s="160"/>
      <c r="AL181" s="160"/>
      <c r="AM181" s="160"/>
      <c r="AN181" s="160"/>
      <c r="AO181" s="160"/>
      <c r="AP181" s="160"/>
      <c r="AQ181" s="160"/>
      <c r="AR181" s="160"/>
      <c r="AS181" s="160"/>
      <c r="AT181" s="160"/>
      <c r="AU181" s="160"/>
      <c r="AV181" s="160"/>
      <c r="AW181" s="160"/>
      <c r="AX181" s="160"/>
      <c r="AY181" s="160"/>
      <c r="AZ181" s="160"/>
      <c r="BA181" s="160"/>
      <c r="BB181" s="160"/>
      <c r="BC181" s="160"/>
      <c r="BD181" s="160"/>
      <c r="BE181" s="160"/>
      <c r="BF181" s="160"/>
      <c r="BG181" s="160"/>
      <c r="BH181" s="160"/>
      <c r="BI181" s="160"/>
      <c r="BJ181" s="160"/>
      <c r="BK181" s="160"/>
      <c r="BL181" s="160"/>
      <c r="BM181" s="160"/>
      <c r="BN181" s="160"/>
      <c r="BO181" s="160"/>
      <c r="BP181" s="160"/>
      <c r="BQ181" s="160"/>
      <c r="BR181" s="160"/>
      <c r="BS181" s="160"/>
      <c r="BT181" s="160"/>
      <c r="BU181" s="160"/>
      <c r="BV181" s="160"/>
      <c r="BW181" s="160"/>
      <c r="BX181" s="160"/>
      <c r="BY181" s="160"/>
      <c r="BZ181" s="160"/>
      <c r="CA181" s="160"/>
      <c r="CB181" s="160"/>
      <c r="CC181" s="160"/>
      <c r="CD181" s="160"/>
      <c r="CE181" s="160"/>
      <c r="CF181" s="160"/>
      <c r="CG181" s="160"/>
      <c r="CH181" s="160"/>
      <c r="CI181" s="160"/>
      <c r="CJ181" s="160"/>
      <c r="CK181" s="160"/>
      <c r="CL181" s="160"/>
      <c r="CM181" s="160"/>
      <c r="CN181" s="160"/>
      <c r="CO181" s="160"/>
      <c r="CP181" s="160"/>
      <c r="CQ181" s="160"/>
      <c r="CR181" s="160"/>
      <c r="CS181" s="160"/>
      <c r="CT181" s="160"/>
      <c r="CU181" s="160"/>
      <c r="CV181" s="160"/>
    </row>
    <row r="182" spans="1:100" ht="39.75" customHeight="1" x14ac:dyDescent="0.2">
      <c r="A182" s="160"/>
      <c r="B182" s="160"/>
      <c r="C182" s="160"/>
      <c r="D182" s="160"/>
      <c r="E182" s="160"/>
      <c r="F182" s="160"/>
      <c r="G182" s="160"/>
      <c r="H182" s="160"/>
      <c r="I182" s="160"/>
      <c r="J182" s="160"/>
      <c r="K182" s="160"/>
      <c r="L182" s="160"/>
      <c r="M182" s="160"/>
      <c r="N182" s="160"/>
      <c r="O182" s="160"/>
      <c r="P182" s="160"/>
      <c r="Q182" s="160"/>
      <c r="R182" s="160"/>
      <c r="S182" s="160"/>
      <c r="T182" s="160"/>
      <c r="U182" s="160"/>
      <c r="V182" s="160"/>
      <c r="W182" s="160"/>
      <c r="X182" s="160"/>
      <c r="Y182" s="160"/>
      <c r="Z182" s="160"/>
      <c r="AA182" s="160"/>
      <c r="AB182" s="160"/>
      <c r="AC182" s="160"/>
      <c r="AD182" s="160"/>
      <c r="AE182" s="160"/>
      <c r="AF182" s="160"/>
      <c r="AG182" s="160"/>
      <c r="AH182" s="160"/>
      <c r="AI182" s="160"/>
      <c r="AJ182" s="160"/>
      <c r="AK182" s="160"/>
      <c r="AL182" s="160"/>
      <c r="AM182" s="160"/>
      <c r="AN182" s="160"/>
      <c r="AO182" s="160"/>
      <c r="AP182" s="160"/>
      <c r="AQ182" s="160"/>
      <c r="AR182" s="160"/>
      <c r="AS182" s="160"/>
      <c r="AT182" s="160"/>
      <c r="AU182" s="160"/>
      <c r="AV182" s="160"/>
      <c r="AW182" s="160"/>
      <c r="AX182" s="160"/>
      <c r="AY182" s="160"/>
      <c r="AZ182" s="160"/>
      <c r="BA182" s="160"/>
      <c r="BB182" s="160"/>
      <c r="BC182" s="160"/>
      <c r="BD182" s="160"/>
      <c r="BE182" s="160"/>
      <c r="BF182" s="160"/>
      <c r="BG182" s="160"/>
      <c r="BH182" s="160"/>
      <c r="BI182" s="160"/>
      <c r="BJ182" s="160"/>
      <c r="BK182" s="160"/>
      <c r="BL182" s="160"/>
      <c r="BM182" s="160"/>
      <c r="BN182" s="160"/>
      <c r="BO182" s="160"/>
      <c r="BP182" s="160"/>
      <c r="BQ182" s="160"/>
      <c r="BR182" s="160"/>
      <c r="BS182" s="160"/>
      <c r="BT182" s="160"/>
      <c r="BU182" s="160"/>
      <c r="BV182" s="160"/>
      <c r="BW182" s="160"/>
      <c r="BX182" s="160"/>
      <c r="BY182" s="160"/>
      <c r="BZ182" s="160"/>
      <c r="CA182" s="160"/>
      <c r="CB182" s="160"/>
      <c r="CC182" s="160"/>
      <c r="CD182" s="160"/>
      <c r="CE182" s="160"/>
      <c r="CF182" s="160"/>
      <c r="CG182" s="160"/>
      <c r="CH182" s="160"/>
      <c r="CI182" s="160"/>
      <c r="CJ182" s="160"/>
      <c r="CK182" s="160"/>
      <c r="CL182" s="160"/>
      <c r="CM182" s="160"/>
      <c r="CN182" s="160"/>
      <c r="CO182" s="160"/>
      <c r="CP182" s="160"/>
      <c r="CQ182" s="160"/>
      <c r="CR182" s="160"/>
      <c r="CS182" s="160"/>
      <c r="CT182" s="160"/>
      <c r="CU182" s="160"/>
      <c r="CV182" s="160"/>
    </row>
    <row r="183" spans="1:100" ht="39.75" customHeight="1" x14ac:dyDescent="0.2">
      <c r="A183" s="160"/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0"/>
      <c r="R183" s="160"/>
      <c r="S183" s="160"/>
      <c r="T183" s="160"/>
      <c r="U183" s="160"/>
      <c r="V183" s="160"/>
      <c r="W183" s="160"/>
      <c r="X183" s="160"/>
      <c r="Y183" s="160"/>
      <c r="Z183" s="160"/>
      <c r="AA183" s="160"/>
      <c r="AB183" s="160"/>
      <c r="AC183" s="160"/>
      <c r="AD183" s="160"/>
      <c r="AE183" s="160"/>
      <c r="AF183" s="160"/>
      <c r="AG183" s="160"/>
      <c r="AH183" s="160"/>
      <c r="AI183" s="160"/>
      <c r="AJ183" s="160"/>
      <c r="AK183" s="160"/>
      <c r="AL183" s="160"/>
      <c r="AM183" s="160"/>
      <c r="AN183" s="160"/>
      <c r="AO183" s="160"/>
      <c r="AP183" s="160"/>
      <c r="AQ183" s="160"/>
      <c r="AR183" s="160"/>
      <c r="AS183" s="160"/>
      <c r="AT183" s="160"/>
      <c r="AU183" s="160"/>
      <c r="AV183" s="160"/>
      <c r="AW183" s="160"/>
      <c r="AX183" s="160"/>
      <c r="AY183" s="160"/>
      <c r="AZ183" s="160"/>
      <c r="BA183" s="160"/>
      <c r="BB183" s="160"/>
      <c r="BC183" s="160"/>
      <c r="BD183" s="160"/>
      <c r="BE183" s="160"/>
      <c r="BF183" s="160"/>
      <c r="BG183" s="160"/>
      <c r="BH183" s="160"/>
      <c r="BI183" s="160"/>
      <c r="BJ183" s="160"/>
      <c r="BK183" s="160"/>
      <c r="BL183" s="160"/>
      <c r="BM183" s="160"/>
      <c r="BN183" s="160"/>
      <c r="BO183" s="160"/>
      <c r="BP183" s="160"/>
      <c r="BQ183" s="160"/>
      <c r="BR183" s="160"/>
      <c r="BS183" s="160"/>
      <c r="BT183" s="160"/>
      <c r="BU183" s="160"/>
      <c r="BV183" s="160"/>
      <c r="BW183" s="160"/>
      <c r="BX183" s="160"/>
      <c r="BY183" s="160"/>
      <c r="BZ183" s="160"/>
      <c r="CA183" s="160"/>
      <c r="CB183" s="160"/>
      <c r="CC183" s="160"/>
      <c r="CD183" s="160"/>
      <c r="CE183" s="160"/>
      <c r="CF183" s="160"/>
      <c r="CG183" s="160"/>
      <c r="CH183" s="160"/>
      <c r="CI183" s="160"/>
      <c r="CJ183" s="160"/>
      <c r="CK183" s="160"/>
      <c r="CL183" s="160"/>
      <c r="CM183" s="160"/>
      <c r="CN183" s="160"/>
      <c r="CO183" s="160"/>
      <c r="CP183" s="160"/>
      <c r="CQ183" s="160"/>
      <c r="CR183" s="160"/>
      <c r="CS183" s="160"/>
      <c r="CT183" s="160"/>
      <c r="CU183" s="160"/>
      <c r="CV183" s="160"/>
    </row>
    <row r="184" spans="1:100" ht="39.75" customHeight="1" x14ac:dyDescent="0.2">
      <c r="A184" s="160"/>
      <c r="B184" s="160"/>
      <c r="C184" s="160"/>
      <c r="D184" s="160"/>
      <c r="E184" s="160"/>
      <c r="F184" s="160"/>
      <c r="G184" s="160"/>
      <c r="H184" s="160"/>
      <c r="I184" s="160"/>
      <c r="J184" s="160"/>
      <c r="K184" s="160"/>
      <c r="L184" s="160"/>
      <c r="M184" s="160"/>
      <c r="N184" s="160"/>
      <c r="O184" s="160"/>
      <c r="P184" s="160"/>
      <c r="Q184" s="160"/>
      <c r="R184" s="160"/>
      <c r="S184" s="160"/>
      <c r="T184" s="160"/>
      <c r="U184" s="160"/>
      <c r="V184" s="160"/>
      <c r="W184" s="160"/>
      <c r="X184" s="160"/>
      <c r="Y184" s="160"/>
      <c r="Z184" s="160"/>
      <c r="AA184" s="160"/>
      <c r="AB184" s="160"/>
      <c r="AC184" s="160"/>
      <c r="AD184" s="160"/>
      <c r="AE184" s="160"/>
      <c r="AF184" s="160"/>
      <c r="AG184" s="160"/>
      <c r="AH184" s="160"/>
      <c r="AI184" s="160"/>
      <c r="AJ184" s="160"/>
      <c r="AK184" s="160"/>
      <c r="AL184" s="160"/>
      <c r="AM184" s="160"/>
      <c r="AN184" s="160"/>
      <c r="AO184" s="160"/>
      <c r="AP184" s="160"/>
      <c r="AQ184" s="160"/>
      <c r="AR184" s="160"/>
      <c r="AS184" s="160"/>
      <c r="AT184" s="160"/>
      <c r="AU184" s="160"/>
      <c r="AV184" s="160"/>
      <c r="AW184" s="160"/>
      <c r="AX184" s="160"/>
      <c r="AY184" s="160"/>
      <c r="AZ184" s="160"/>
      <c r="BA184" s="160"/>
      <c r="BB184" s="160"/>
      <c r="BC184" s="160"/>
      <c r="BD184" s="160"/>
      <c r="BE184" s="160"/>
      <c r="BF184" s="160"/>
      <c r="BG184" s="160"/>
      <c r="BH184" s="160"/>
      <c r="BI184" s="160"/>
      <c r="BJ184" s="160"/>
      <c r="BK184" s="160"/>
      <c r="BL184" s="160"/>
      <c r="BM184" s="160"/>
      <c r="BN184" s="160"/>
      <c r="BO184" s="160"/>
      <c r="BP184" s="160"/>
      <c r="BQ184" s="160"/>
      <c r="BR184" s="160"/>
      <c r="BS184" s="160"/>
      <c r="BT184" s="160"/>
      <c r="BU184" s="160"/>
      <c r="BV184" s="160"/>
      <c r="BW184" s="160"/>
      <c r="BX184" s="160"/>
      <c r="BY184" s="160"/>
      <c r="BZ184" s="160"/>
      <c r="CA184" s="160"/>
      <c r="CB184" s="160"/>
      <c r="CC184" s="160"/>
      <c r="CD184" s="160"/>
      <c r="CE184" s="160"/>
      <c r="CF184" s="160"/>
      <c r="CG184" s="160"/>
      <c r="CH184" s="160"/>
      <c r="CI184" s="160"/>
      <c r="CJ184" s="160"/>
      <c r="CK184" s="160"/>
      <c r="CL184" s="160"/>
      <c r="CM184" s="160"/>
      <c r="CN184" s="160"/>
      <c r="CO184" s="160"/>
      <c r="CP184" s="160"/>
      <c r="CQ184" s="160"/>
      <c r="CR184" s="160"/>
      <c r="CS184" s="160"/>
      <c r="CT184" s="160"/>
      <c r="CU184" s="160"/>
      <c r="CV184" s="160"/>
    </row>
    <row r="185" spans="1:100" ht="39.75" customHeight="1" x14ac:dyDescent="0.2">
      <c r="A185" s="160"/>
      <c r="B185" s="160"/>
      <c r="C185" s="160"/>
      <c r="D185" s="160"/>
      <c r="E185" s="160"/>
      <c r="F185" s="160"/>
      <c r="G185" s="160"/>
      <c r="H185" s="160"/>
      <c r="I185" s="160"/>
      <c r="J185" s="160"/>
      <c r="K185" s="160"/>
      <c r="L185" s="160"/>
      <c r="M185" s="160"/>
      <c r="N185" s="160"/>
      <c r="O185" s="160"/>
      <c r="P185" s="160"/>
      <c r="Q185" s="160"/>
      <c r="R185" s="160"/>
      <c r="S185" s="160"/>
      <c r="T185" s="160"/>
      <c r="U185" s="160"/>
      <c r="V185" s="160"/>
      <c r="W185" s="160"/>
      <c r="X185" s="160"/>
      <c r="Y185" s="160"/>
      <c r="Z185" s="160"/>
      <c r="AA185" s="160"/>
      <c r="AB185" s="160"/>
      <c r="AC185" s="160"/>
      <c r="AD185" s="160"/>
      <c r="AE185" s="160"/>
      <c r="AF185" s="160"/>
      <c r="AG185" s="160"/>
      <c r="AH185" s="160"/>
      <c r="AI185" s="160"/>
      <c r="AJ185" s="160"/>
      <c r="AK185" s="160"/>
      <c r="AL185" s="160"/>
      <c r="AM185" s="160"/>
      <c r="AN185" s="160"/>
      <c r="AO185" s="160"/>
      <c r="AP185" s="160"/>
      <c r="AQ185" s="160"/>
      <c r="AR185" s="160"/>
      <c r="AS185" s="160"/>
      <c r="AT185" s="160"/>
      <c r="AU185" s="160"/>
      <c r="AV185" s="160"/>
      <c r="AW185" s="160"/>
      <c r="AX185" s="160"/>
      <c r="AY185" s="160"/>
      <c r="AZ185" s="160"/>
      <c r="BA185" s="160"/>
      <c r="BB185" s="160"/>
      <c r="BC185" s="160"/>
      <c r="BD185" s="160"/>
      <c r="BE185" s="160"/>
      <c r="BF185" s="160"/>
      <c r="BG185" s="160"/>
      <c r="BH185" s="160"/>
      <c r="BI185" s="160"/>
      <c r="BJ185" s="160"/>
      <c r="BK185" s="160"/>
      <c r="BL185" s="160"/>
      <c r="BM185" s="160"/>
      <c r="BN185" s="160"/>
      <c r="BO185" s="160"/>
      <c r="BP185" s="160"/>
      <c r="BQ185" s="160"/>
      <c r="BR185" s="160"/>
      <c r="BS185" s="160"/>
      <c r="BT185" s="160"/>
      <c r="BU185" s="160"/>
      <c r="BV185" s="160"/>
      <c r="BW185" s="160"/>
      <c r="BX185" s="160"/>
      <c r="BY185" s="160"/>
      <c r="BZ185" s="160"/>
      <c r="CA185" s="160"/>
      <c r="CB185" s="160"/>
      <c r="CC185" s="160"/>
      <c r="CD185" s="160"/>
      <c r="CE185" s="160"/>
      <c r="CF185" s="160"/>
      <c r="CG185" s="160"/>
      <c r="CH185" s="160"/>
      <c r="CI185" s="160"/>
      <c r="CJ185" s="160"/>
      <c r="CK185" s="160"/>
      <c r="CL185" s="160"/>
      <c r="CM185" s="160"/>
      <c r="CN185" s="160"/>
      <c r="CO185" s="160"/>
      <c r="CP185" s="160"/>
      <c r="CQ185" s="160"/>
      <c r="CR185" s="160"/>
      <c r="CS185" s="160"/>
      <c r="CT185" s="160"/>
      <c r="CU185" s="160"/>
      <c r="CV185" s="160"/>
    </row>
    <row r="186" spans="1:100" ht="39.75" customHeight="1" x14ac:dyDescent="0.2">
      <c r="A186" s="160"/>
      <c r="B186" s="160"/>
      <c r="C186" s="160"/>
      <c r="D186" s="160"/>
      <c r="E186" s="160"/>
      <c r="F186" s="160"/>
      <c r="G186" s="160"/>
      <c r="H186" s="160"/>
      <c r="I186" s="160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160"/>
      <c r="U186" s="160"/>
      <c r="V186" s="160"/>
      <c r="W186" s="160"/>
      <c r="X186" s="160"/>
      <c r="Y186" s="160"/>
      <c r="Z186" s="160"/>
      <c r="AA186" s="160"/>
      <c r="AB186" s="160"/>
      <c r="AC186" s="160"/>
      <c r="AD186" s="160"/>
      <c r="AE186" s="160"/>
      <c r="AF186" s="160"/>
      <c r="AG186" s="160"/>
      <c r="AH186" s="160"/>
      <c r="AI186" s="160"/>
      <c r="AJ186" s="160"/>
      <c r="AK186" s="160"/>
      <c r="AL186" s="160"/>
      <c r="AM186" s="160"/>
      <c r="AN186" s="160"/>
      <c r="AO186" s="160"/>
      <c r="AP186" s="160"/>
      <c r="AQ186" s="160"/>
      <c r="AR186" s="160"/>
      <c r="AS186" s="160"/>
      <c r="AT186" s="160"/>
      <c r="AU186" s="160"/>
      <c r="AV186" s="160"/>
      <c r="AW186" s="160"/>
      <c r="AX186" s="160"/>
      <c r="AY186" s="160"/>
      <c r="AZ186" s="160"/>
      <c r="BA186" s="160"/>
      <c r="BB186" s="160"/>
      <c r="BC186" s="160"/>
      <c r="BD186" s="160"/>
      <c r="BE186" s="160"/>
      <c r="BF186" s="160"/>
      <c r="BG186" s="160"/>
      <c r="BH186" s="160"/>
      <c r="BI186" s="160"/>
      <c r="BJ186" s="160"/>
      <c r="BK186" s="160"/>
      <c r="BL186" s="160"/>
      <c r="BM186" s="160"/>
      <c r="BN186" s="160"/>
      <c r="BO186" s="160"/>
      <c r="BP186" s="160"/>
      <c r="BQ186" s="160"/>
      <c r="BR186" s="160"/>
      <c r="BS186" s="160"/>
      <c r="BT186" s="160"/>
      <c r="BU186" s="160"/>
      <c r="BV186" s="160"/>
      <c r="BW186" s="160"/>
      <c r="BX186" s="160"/>
      <c r="BY186" s="160"/>
      <c r="BZ186" s="160"/>
      <c r="CA186" s="160"/>
      <c r="CB186" s="160"/>
      <c r="CC186" s="160"/>
      <c r="CD186" s="160"/>
      <c r="CE186" s="160"/>
      <c r="CF186" s="160"/>
      <c r="CG186" s="160"/>
      <c r="CH186" s="160"/>
      <c r="CI186" s="160"/>
      <c r="CJ186" s="160"/>
      <c r="CK186" s="160"/>
      <c r="CL186" s="160"/>
      <c r="CM186" s="160"/>
      <c r="CN186" s="160"/>
      <c r="CO186" s="160"/>
      <c r="CP186" s="160"/>
      <c r="CQ186" s="160"/>
      <c r="CR186" s="160"/>
      <c r="CS186" s="160"/>
      <c r="CT186" s="160"/>
      <c r="CU186" s="160"/>
      <c r="CV186" s="160"/>
    </row>
    <row r="187" spans="1:100" ht="39.75" customHeight="1" x14ac:dyDescent="0.2">
      <c r="A187" s="160"/>
      <c r="B187" s="160"/>
      <c r="C187" s="160"/>
      <c r="D187" s="160"/>
      <c r="E187" s="160"/>
      <c r="F187" s="160"/>
      <c r="G187" s="160"/>
      <c r="H187" s="160"/>
      <c r="I187" s="160"/>
      <c r="J187" s="160"/>
      <c r="K187" s="160"/>
      <c r="L187" s="160"/>
      <c r="M187" s="160"/>
      <c r="N187" s="160"/>
      <c r="O187" s="160"/>
      <c r="P187" s="160"/>
      <c r="Q187" s="160"/>
      <c r="R187" s="160"/>
      <c r="S187" s="160"/>
      <c r="T187" s="160"/>
      <c r="U187" s="160"/>
      <c r="V187" s="160"/>
      <c r="W187" s="160"/>
      <c r="X187" s="160"/>
      <c r="Y187" s="160"/>
      <c r="Z187" s="160"/>
      <c r="AA187" s="160"/>
      <c r="AB187" s="160"/>
      <c r="AC187" s="160"/>
      <c r="AD187" s="160"/>
      <c r="AE187" s="160"/>
      <c r="AF187" s="160"/>
      <c r="AG187" s="160"/>
      <c r="AH187" s="160"/>
      <c r="AI187" s="160"/>
      <c r="AJ187" s="160"/>
      <c r="AK187" s="160"/>
      <c r="AL187" s="160"/>
      <c r="AM187" s="160"/>
      <c r="AN187" s="160"/>
      <c r="AO187" s="160"/>
      <c r="AP187" s="160"/>
      <c r="AQ187" s="160"/>
      <c r="AR187" s="160"/>
      <c r="AS187" s="160"/>
      <c r="AT187" s="160"/>
      <c r="AU187" s="160"/>
      <c r="AV187" s="160"/>
      <c r="AW187" s="160"/>
      <c r="AX187" s="160"/>
      <c r="AY187" s="160"/>
      <c r="AZ187" s="160"/>
      <c r="BA187" s="160"/>
      <c r="BB187" s="160"/>
      <c r="BC187" s="160"/>
      <c r="BD187" s="160"/>
      <c r="BE187" s="160"/>
      <c r="BF187" s="160"/>
      <c r="BG187" s="160"/>
      <c r="BH187" s="160"/>
      <c r="BI187" s="160"/>
      <c r="BJ187" s="160"/>
      <c r="BK187" s="160"/>
      <c r="BL187" s="160"/>
      <c r="BM187" s="160"/>
      <c r="BN187" s="160"/>
      <c r="BO187" s="160"/>
      <c r="BP187" s="160"/>
      <c r="BQ187" s="160"/>
      <c r="BR187" s="160"/>
      <c r="BS187" s="160"/>
      <c r="BT187" s="160"/>
      <c r="BU187" s="160"/>
      <c r="BV187" s="160"/>
      <c r="BW187" s="160"/>
      <c r="BX187" s="160"/>
      <c r="BY187" s="160"/>
      <c r="BZ187" s="160"/>
      <c r="CA187" s="160"/>
      <c r="CB187" s="160"/>
      <c r="CC187" s="160"/>
      <c r="CD187" s="160"/>
      <c r="CE187" s="160"/>
      <c r="CF187" s="160"/>
      <c r="CG187" s="160"/>
      <c r="CH187" s="160"/>
      <c r="CI187" s="160"/>
      <c r="CJ187" s="160"/>
      <c r="CK187" s="160"/>
      <c r="CL187" s="160"/>
      <c r="CM187" s="160"/>
      <c r="CN187" s="160"/>
      <c r="CO187" s="160"/>
      <c r="CP187" s="160"/>
      <c r="CQ187" s="160"/>
      <c r="CR187" s="160"/>
      <c r="CS187" s="160"/>
      <c r="CT187" s="160"/>
      <c r="CU187" s="160"/>
      <c r="CV187" s="160"/>
    </row>
    <row r="188" spans="1:100" ht="39.75" customHeight="1" x14ac:dyDescent="0.2">
      <c r="A188" s="160"/>
      <c r="B188" s="160"/>
      <c r="C188" s="160"/>
      <c r="D188" s="160"/>
      <c r="E188" s="160"/>
      <c r="F188" s="160"/>
      <c r="G188" s="160"/>
      <c r="H188" s="160"/>
      <c r="I188" s="160"/>
      <c r="J188" s="160"/>
      <c r="K188" s="160"/>
      <c r="L188" s="160"/>
      <c r="M188" s="160"/>
      <c r="N188" s="160"/>
      <c r="O188" s="160"/>
      <c r="P188" s="160"/>
      <c r="Q188" s="160"/>
      <c r="R188" s="160"/>
      <c r="S188" s="160"/>
      <c r="T188" s="160"/>
      <c r="U188" s="160"/>
      <c r="V188" s="160"/>
      <c r="W188" s="160"/>
      <c r="X188" s="160"/>
      <c r="Y188" s="160"/>
      <c r="Z188" s="160"/>
      <c r="AA188" s="160"/>
      <c r="AB188" s="160"/>
      <c r="AC188" s="160"/>
      <c r="AD188" s="160"/>
      <c r="AE188" s="160"/>
      <c r="AF188" s="160"/>
      <c r="AG188" s="160"/>
      <c r="AH188" s="160"/>
      <c r="AI188" s="160"/>
      <c r="AJ188" s="160"/>
      <c r="AK188" s="160"/>
      <c r="AL188" s="160"/>
      <c r="AM188" s="160"/>
      <c r="AN188" s="160"/>
      <c r="AO188" s="160"/>
      <c r="AP188" s="160"/>
      <c r="AQ188" s="160"/>
      <c r="AR188" s="160"/>
      <c r="AS188" s="160"/>
      <c r="AT188" s="160"/>
      <c r="AU188" s="160"/>
      <c r="AV188" s="160"/>
      <c r="AW188" s="160"/>
      <c r="AX188" s="160"/>
      <c r="AY188" s="160"/>
      <c r="AZ188" s="160"/>
      <c r="BA188" s="160"/>
      <c r="BB188" s="160"/>
      <c r="BC188" s="160"/>
      <c r="BD188" s="160"/>
      <c r="BE188" s="160"/>
      <c r="BF188" s="160"/>
      <c r="BG188" s="160"/>
      <c r="BH188" s="160"/>
      <c r="BI188" s="160"/>
      <c r="BJ188" s="160"/>
      <c r="BK188" s="160"/>
      <c r="BL188" s="160"/>
      <c r="BM188" s="160"/>
      <c r="BN188" s="160"/>
      <c r="BO188" s="160"/>
      <c r="BP188" s="160"/>
      <c r="BQ188" s="160"/>
      <c r="BR188" s="160"/>
      <c r="BS188" s="160"/>
      <c r="BT188" s="160"/>
      <c r="BU188" s="160"/>
      <c r="BV188" s="160"/>
      <c r="BW188" s="160"/>
      <c r="BX188" s="160"/>
      <c r="BY188" s="160"/>
      <c r="BZ188" s="160"/>
      <c r="CA188" s="160"/>
      <c r="CB188" s="160"/>
      <c r="CC188" s="160"/>
      <c r="CD188" s="160"/>
      <c r="CE188" s="160"/>
      <c r="CF188" s="160"/>
      <c r="CG188" s="160"/>
      <c r="CH188" s="160"/>
      <c r="CI188" s="160"/>
      <c r="CJ188" s="160"/>
      <c r="CK188" s="160"/>
      <c r="CL188" s="160"/>
      <c r="CM188" s="160"/>
      <c r="CN188" s="160"/>
      <c r="CO188" s="160"/>
      <c r="CP188" s="160"/>
      <c r="CQ188" s="160"/>
      <c r="CR188" s="160"/>
      <c r="CS188" s="160"/>
      <c r="CT188" s="160"/>
      <c r="CU188" s="160"/>
      <c r="CV188" s="160"/>
    </row>
    <row r="189" spans="1:100" ht="39.75" customHeight="1" x14ac:dyDescent="0.2">
      <c r="A189" s="160"/>
      <c r="B189" s="160"/>
      <c r="C189" s="160"/>
      <c r="D189" s="160"/>
      <c r="E189" s="160"/>
      <c r="F189" s="160"/>
      <c r="G189" s="160"/>
      <c r="H189" s="160"/>
      <c r="I189" s="160"/>
      <c r="J189" s="160"/>
      <c r="K189" s="160"/>
      <c r="L189" s="160"/>
      <c r="M189" s="160"/>
      <c r="N189" s="160"/>
      <c r="O189" s="160"/>
      <c r="P189" s="160"/>
      <c r="Q189" s="160"/>
      <c r="R189" s="160"/>
      <c r="S189" s="160"/>
      <c r="T189" s="160"/>
      <c r="U189" s="160"/>
      <c r="V189" s="160"/>
      <c r="W189" s="160"/>
      <c r="X189" s="160"/>
      <c r="Y189" s="160"/>
      <c r="Z189" s="160"/>
      <c r="AA189" s="160"/>
      <c r="AB189" s="160"/>
      <c r="AC189" s="160"/>
      <c r="AD189" s="160"/>
      <c r="AE189" s="160"/>
      <c r="AF189" s="160"/>
      <c r="AG189" s="160"/>
      <c r="AH189" s="160"/>
      <c r="AI189" s="160"/>
      <c r="AJ189" s="160"/>
      <c r="AK189" s="160"/>
      <c r="AL189" s="160"/>
      <c r="AM189" s="160"/>
      <c r="AN189" s="160"/>
      <c r="AO189" s="160"/>
      <c r="AP189" s="160"/>
      <c r="AQ189" s="160"/>
      <c r="AR189" s="160"/>
      <c r="AS189" s="160"/>
      <c r="AT189" s="160"/>
      <c r="AU189" s="160"/>
      <c r="AV189" s="160"/>
      <c r="AW189" s="160"/>
      <c r="AX189" s="160"/>
      <c r="AY189" s="160"/>
      <c r="AZ189" s="160"/>
      <c r="BA189" s="160"/>
      <c r="BB189" s="160"/>
      <c r="BC189" s="160"/>
      <c r="BD189" s="160"/>
      <c r="BE189" s="160"/>
      <c r="BF189" s="160"/>
      <c r="BG189" s="160"/>
      <c r="BH189" s="160"/>
      <c r="BI189" s="160"/>
      <c r="BJ189" s="160"/>
      <c r="BK189" s="160"/>
      <c r="BL189" s="160"/>
      <c r="BM189" s="160"/>
      <c r="BN189" s="160"/>
      <c r="BO189" s="160"/>
      <c r="BP189" s="160"/>
      <c r="BQ189" s="160"/>
      <c r="BR189" s="160"/>
      <c r="BS189" s="160"/>
      <c r="BT189" s="160"/>
      <c r="BU189" s="160"/>
      <c r="BV189" s="160"/>
      <c r="BW189" s="160"/>
      <c r="BX189" s="160"/>
      <c r="BY189" s="160"/>
      <c r="BZ189" s="160"/>
      <c r="CA189" s="160"/>
      <c r="CB189" s="160"/>
      <c r="CC189" s="160"/>
      <c r="CD189" s="160"/>
      <c r="CE189" s="160"/>
      <c r="CF189" s="160"/>
      <c r="CG189" s="160"/>
      <c r="CH189" s="160"/>
      <c r="CI189" s="160"/>
      <c r="CJ189" s="160"/>
      <c r="CK189" s="160"/>
      <c r="CL189" s="160"/>
      <c r="CM189" s="160"/>
      <c r="CN189" s="160"/>
      <c r="CO189" s="160"/>
      <c r="CP189" s="160"/>
      <c r="CQ189" s="160"/>
      <c r="CR189" s="160"/>
      <c r="CS189" s="160"/>
      <c r="CT189" s="160"/>
      <c r="CU189" s="160"/>
      <c r="CV189" s="160"/>
    </row>
    <row r="190" spans="1:100" ht="39.75" customHeight="1" x14ac:dyDescent="0.2">
      <c r="A190" s="160"/>
      <c r="B190" s="160"/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160"/>
      <c r="W190" s="160"/>
      <c r="X190" s="160"/>
      <c r="Y190" s="160"/>
      <c r="Z190" s="160"/>
      <c r="AA190" s="160"/>
      <c r="AB190" s="160"/>
      <c r="AC190" s="160"/>
      <c r="AD190" s="160"/>
      <c r="AE190" s="160"/>
      <c r="AF190" s="160"/>
      <c r="AG190" s="160"/>
      <c r="AH190" s="160"/>
      <c r="AI190" s="160"/>
      <c r="AJ190" s="160"/>
      <c r="AK190" s="160"/>
      <c r="AL190" s="160"/>
      <c r="AM190" s="160"/>
      <c r="AN190" s="160"/>
      <c r="AO190" s="160"/>
      <c r="AP190" s="160"/>
      <c r="AQ190" s="160"/>
      <c r="AR190" s="160"/>
      <c r="AS190" s="160"/>
      <c r="AT190" s="160"/>
      <c r="AU190" s="160"/>
      <c r="AV190" s="160"/>
      <c r="AW190" s="160"/>
      <c r="AX190" s="160"/>
      <c r="AY190" s="160"/>
      <c r="AZ190" s="160"/>
      <c r="BA190" s="160"/>
      <c r="BB190" s="160"/>
      <c r="BC190" s="160"/>
      <c r="BD190" s="160"/>
      <c r="BE190" s="160"/>
      <c r="BF190" s="160"/>
      <c r="BG190" s="160"/>
      <c r="BH190" s="160"/>
      <c r="BI190" s="160"/>
      <c r="BJ190" s="160"/>
      <c r="BK190" s="160"/>
      <c r="BL190" s="160"/>
      <c r="BM190" s="160"/>
      <c r="BN190" s="160"/>
      <c r="BO190" s="160"/>
      <c r="BP190" s="160"/>
      <c r="BQ190" s="160"/>
      <c r="BR190" s="160"/>
      <c r="BS190" s="160"/>
      <c r="BT190" s="160"/>
      <c r="BU190" s="160"/>
      <c r="BV190" s="160"/>
      <c r="BW190" s="160"/>
      <c r="BX190" s="160"/>
      <c r="BY190" s="160"/>
      <c r="BZ190" s="160"/>
      <c r="CA190" s="160"/>
      <c r="CB190" s="160"/>
      <c r="CC190" s="160"/>
      <c r="CD190" s="160"/>
      <c r="CE190" s="160"/>
      <c r="CF190" s="160"/>
      <c r="CG190" s="160"/>
      <c r="CH190" s="160"/>
      <c r="CI190" s="160"/>
      <c r="CJ190" s="160"/>
      <c r="CK190" s="160"/>
      <c r="CL190" s="160"/>
      <c r="CM190" s="160"/>
      <c r="CN190" s="160"/>
      <c r="CO190" s="160"/>
      <c r="CP190" s="160"/>
      <c r="CQ190" s="160"/>
      <c r="CR190" s="160"/>
      <c r="CS190" s="160"/>
      <c r="CT190" s="160"/>
      <c r="CU190" s="160"/>
      <c r="CV190" s="160"/>
    </row>
    <row r="191" spans="1:100" ht="39.75" customHeight="1" x14ac:dyDescent="0.2">
      <c r="A191" s="160"/>
      <c r="B191" s="160"/>
      <c r="C191" s="160"/>
      <c r="D191" s="160"/>
      <c r="E191" s="160"/>
      <c r="F191" s="160"/>
      <c r="G191" s="160"/>
      <c r="H191" s="160"/>
      <c r="I191" s="160"/>
      <c r="J191" s="160"/>
      <c r="K191" s="160"/>
      <c r="L191" s="160"/>
      <c r="M191" s="160"/>
      <c r="N191" s="160"/>
      <c r="O191" s="160"/>
      <c r="P191" s="160"/>
      <c r="Q191" s="160"/>
      <c r="R191" s="160"/>
      <c r="S191" s="160"/>
      <c r="T191" s="160"/>
      <c r="U191" s="160"/>
      <c r="V191" s="160"/>
      <c r="W191" s="160"/>
      <c r="X191" s="160"/>
      <c r="Y191" s="160"/>
      <c r="Z191" s="160"/>
      <c r="AA191" s="160"/>
      <c r="AB191" s="160"/>
      <c r="AC191" s="160"/>
      <c r="AD191" s="160"/>
      <c r="AE191" s="160"/>
      <c r="AF191" s="160"/>
      <c r="AG191" s="160"/>
      <c r="AH191" s="160"/>
      <c r="AI191" s="160"/>
      <c r="AJ191" s="160"/>
      <c r="AK191" s="160"/>
      <c r="AL191" s="160"/>
      <c r="AM191" s="160"/>
      <c r="AN191" s="160"/>
      <c r="AO191" s="160"/>
      <c r="AP191" s="160"/>
      <c r="AQ191" s="160"/>
      <c r="AR191" s="160"/>
      <c r="AS191" s="160"/>
      <c r="AT191" s="160"/>
      <c r="AU191" s="160"/>
      <c r="AV191" s="160"/>
      <c r="AW191" s="160"/>
      <c r="AX191" s="160"/>
      <c r="AY191" s="160"/>
      <c r="AZ191" s="160"/>
      <c r="BA191" s="160"/>
      <c r="BB191" s="160"/>
      <c r="BC191" s="160"/>
      <c r="BD191" s="160"/>
      <c r="BE191" s="160"/>
      <c r="BF191" s="160"/>
      <c r="BG191" s="160"/>
      <c r="BH191" s="160"/>
      <c r="BI191" s="160"/>
      <c r="BJ191" s="160"/>
      <c r="BK191" s="160"/>
      <c r="BL191" s="160"/>
      <c r="BM191" s="160"/>
      <c r="BN191" s="160"/>
      <c r="BO191" s="160"/>
      <c r="BP191" s="160"/>
      <c r="BQ191" s="160"/>
      <c r="BR191" s="160"/>
      <c r="BS191" s="160"/>
      <c r="BT191" s="160"/>
      <c r="BU191" s="160"/>
      <c r="BV191" s="160"/>
      <c r="BW191" s="160"/>
      <c r="BX191" s="160"/>
      <c r="BY191" s="160"/>
      <c r="BZ191" s="160"/>
      <c r="CA191" s="160"/>
      <c r="CB191" s="160"/>
      <c r="CC191" s="160"/>
      <c r="CD191" s="160"/>
      <c r="CE191" s="160"/>
      <c r="CF191" s="160"/>
      <c r="CG191" s="160"/>
      <c r="CH191" s="160"/>
      <c r="CI191" s="160"/>
      <c r="CJ191" s="160"/>
      <c r="CK191" s="160"/>
      <c r="CL191" s="160"/>
      <c r="CM191" s="160"/>
      <c r="CN191" s="160"/>
      <c r="CO191" s="160"/>
      <c r="CP191" s="160"/>
      <c r="CQ191" s="160"/>
      <c r="CR191" s="160"/>
      <c r="CS191" s="160"/>
      <c r="CT191" s="160"/>
      <c r="CU191" s="160"/>
      <c r="CV191" s="160"/>
    </row>
    <row r="192" spans="1:100" ht="39.75" customHeight="1" x14ac:dyDescent="0.2">
      <c r="A192" s="160"/>
      <c r="B192" s="160"/>
      <c r="C192" s="160"/>
      <c r="D192" s="160"/>
      <c r="E192" s="160"/>
      <c r="F192" s="160"/>
      <c r="G192" s="160"/>
      <c r="H192" s="160"/>
      <c r="I192" s="160"/>
      <c r="J192" s="160"/>
      <c r="K192" s="160"/>
      <c r="L192" s="160"/>
      <c r="M192" s="160"/>
      <c r="N192" s="160"/>
      <c r="O192" s="160"/>
      <c r="P192" s="160"/>
      <c r="Q192" s="160"/>
      <c r="R192" s="160"/>
      <c r="S192" s="160"/>
      <c r="T192" s="160"/>
      <c r="U192" s="160"/>
      <c r="V192" s="160"/>
      <c r="W192" s="160"/>
      <c r="X192" s="160"/>
      <c r="Y192" s="160"/>
      <c r="Z192" s="160"/>
      <c r="AA192" s="160"/>
      <c r="AB192" s="160"/>
      <c r="AC192" s="160"/>
      <c r="AD192" s="160"/>
      <c r="AE192" s="160"/>
      <c r="AF192" s="160"/>
      <c r="AG192" s="160"/>
      <c r="AH192" s="160"/>
      <c r="AI192" s="160"/>
      <c r="AJ192" s="160"/>
      <c r="AK192" s="160"/>
      <c r="AL192" s="160"/>
      <c r="AM192" s="160"/>
      <c r="AN192" s="160"/>
      <c r="AO192" s="160"/>
      <c r="AP192" s="160"/>
      <c r="AQ192" s="160"/>
      <c r="AR192" s="160"/>
      <c r="AS192" s="160"/>
      <c r="AT192" s="160"/>
      <c r="AU192" s="160"/>
      <c r="AV192" s="160"/>
      <c r="AW192" s="160"/>
      <c r="AX192" s="160"/>
      <c r="AY192" s="160"/>
      <c r="AZ192" s="160"/>
      <c r="BA192" s="160"/>
      <c r="BB192" s="160"/>
      <c r="BC192" s="160"/>
      <c r="BD192" s="160"/>
      <c r="BE192" s="160"/>
      <c r="BF192" s="160"/>
      <c r="BG192" s="160"/>
      <c r="BH192" s="160"/>
      <c r="BI192" s="160"/>
      <c r="BJ192" s="160"/>
      <c r="BK192" s="160"/>
      <c r="BL192" s="160"/>
      <c r="BM192" s="160"/>
      <c r="BN192" s="160"/>
      <c r="BO192" s="160"/>
      <c r="BP192" s="160"/>
      <c r="BQ192" s="160"/>
      <c r="BR192" s="160"/>
      <c r="BS192" s="160"/>
      <c r="BT192" s="160"/>
      <c r="BU192" s="160"/>
      <c r="BV192" s="160"/>
      <c r="BW192" s="160"/>
      <c r="BX192" s="160"/>
      <c r="BY192" s="160"/>
      <c r="BZ192" s="160"/>
      <c r="CA192" s="160"/>
      <c r="CB192" s="160"/>
      <c r="CC192" s="160"/>
      <c r="CD192" s="160"/>
      <c r="CE192" s="160"/>
      <c r="CF192" s="160"/>
      <c r="CG192" s="160"/>
      <c r="CH192" s="160"/>
      <c r="CI192" s="160"/>
      <c r="CJ192" s="160"/>
      <c r="CK192" s="160"/>
      <c r="CL192" s="160"/>
      <c r="CM192" s="160"/>
      <c r="CN192" s="160"/>
      <c r="CO192" s="160"/>
      <c r="CP192" s="160"/>
      <c r="CQ192" s="160"/>
      <c r="CR192" s="160"/>
      <c r="CS192" s="160"/>
      <c r="CT192" s="160"/>
      <c r="CU192" s="160"/>
      <c r="CV192" s="160"/>
    </row>
    <row r="193" spans="1:100" ht="39.75" customHeight="1" x14ac:dyDescent="0.2">
      <c r="A193" s="160"/>
      <c r="B193" s="160"/>
      <c r="C193" s="160"/>
      <c r="D193" s="160"/>
      <c r="E193" s="160"/>
      <c r="F193" s="160"/>
      <c r="G193" s="160"/>
      <c r="H193" s="160"/>
      <c r="I193" s="160"/>
      <c r="J193" s="160"/>
      <c r="K193" s="160"/>
      <c r="L193" s="160"/>
      <c r="M193" s="160"/>
      <c r="N193" s="160"/>
      <c r="O193" s="160"/>
      <c r="P193" s="160"/>
      <c r="Q193" s="160"/>
      <c r="R193" s="160"/>
      <c r="S193" s="160"/>
      <c r="T193" s="160"/>
      <c r="U193" s="160"/>
      <c r="V193" s="160"/>
      <c r="W193" s="160"/>
      <c r="X193" s="160"/>
      <c r="Y193" s="160"/>
      <c r="Z193" s="160"/>
      <c r="AA193" s="160"/>
      <c r="AB193" s="160"/>
      <c r="AC193" s="160"/>
      <c r="AD193" s="160"/>
      <c r="AE193" s="160"/>
      <c r="AF193" s="160"/>
      <c r="AG193" s="160"/>
      <c r="AH193" s="160"/>
      <c r="AI193" s="160"/>
      <c r="AJ193" s="160"/>
      <c r="AK193" s="160"/>
      <c r="AL193" s="160"/>
      <c r="AM193" s="160"/>
      <c r="AN193" s="160"/>
      <c r="AO193" s="160"/>
      <c r="AP193" s="160"/>
      <c r="AQ193" s="160"/>
      <c r="AR193" s="160"/>
      <c r="AS193" s="160"/>
      <c r="AT193" s="160"/>
      <c r="AU193" s="160"/>
      <c r="AV193" s="160"/>
      <c r="AW193" s="160"/>
      <c r="AX193" s="160"/>
      <c r="AY193" s="160"/>
      <c r="AZ193" s="160"/>
      <c r="BA193" s="160"/>
      <c r="BB193" s="160"/>
      <c r="BC193" s="160"/>
      <c r="BD193" s="160"/>
      <c r="BE193" s="160"/>
      <c r="BF193" s="160"/>
      <c r="BG193" s="160"/>
      <c r="BH193" s="160"/>
      <c r="BI193" s="160"/>
      <c r="BJ193" s="160"/>
      <c r="BK193" s="160"/>
      <c r="BL193" s="160"/>
      <c r="BM193" s="160"/>
      <c r="BN193" s="160"/>
      <c r="BO193" s="160"/>
      <c r="BP193" s="160"/>
      <c r="BQ193" s="160"/>
      <c r="BR193" s="160"/>
      <c r="BS193" s="160"/>
      <c r="BT193" s="160"/>
      <c r="BU193" s="160"/>
      <c r="BV193" s="160"/>
      <c r="BW193" s="160"/>
      <c r="BX193" s="160"/>
      <c r="BY193" s="160"/>
      <c r="BZ193" s="160"/>
      <c r="CA193" s="160"/>
      <c r="CB193" s="160"/>
      <c r="CC193" s="160"/>
      <c r="CD193" s="160"/>
      <c r="CE193" s="160"/>
      <c r="CF193" s="160"/>
      <c r="CG193" s="160"/>
      <c r="CH193" s="160"/>
      <c r="CI193" s="160"/>
      <c r="CJ193" s="160"/>
      <c r="CK193" s="160"/>
      <c r="CL193" s="160"/>
      <c r="CM193" s="160"/>
      <c r="CN193" s="160"/>
      <c r="CO193" s="160"/>
      <c r="CP193" s="160"/>
      <c r="CQ193" s="160"/>
      <c r="CR193" s="160"/>
      <c r="CS193" s="160"/>
      <c r="CT193" s="160"/>
      <c r="CU193" s="160"/>
      <c r="CV193" s="160"/>
    </row>
    <row r="194" spans="1:100" ht="39.75" customHeight="1" x14ac:dyDescent="0.2">
      <c r="A194" s="160"/>
      <c r="B194" s="160"/>
      <c r="C194" s="160"/>
      <c r="D194" s="160"/>
      <c r="E194" s="160"/>
      <c r="F194" s="160"/>
      <c r="G194" s="160"/>
      <c r="H194" s="160"/>
      <c r="I194" s="160"/>
      <c r="J194" s="160"/>
      <c r="K194" s="160"/>
      <c r="L194" s="160"/>
      <c r="M194" s="160"/>
      <c r="N194" s="160"/>
      <c r="O194" s="160"/>
      <c r="P194" s="160"/>
      <c r="Q194" s="160"/>
      <c r="R194" s="160"/>
      <c r="S194" s="160"/>
      <c r="T194" s="160"/>
      <c r="U194" s="160"/>
      <c r="V194" s="160"/>
      <c r="W194" s="160"/>
      <c r="X194" s="160"/>
      <c r="Y194" s="160"/>
      <c r="Z194" s="160"/>
      <c r="AA194" s="160"/>
      <c r="AB194" s="160"/>
      <c r="AC194" s="160"/>
      <c r="AD194" s="160"/>
      <c r="AE194" s="160"/>
      <c r="AF194" s="160"/>
      <c r="AG194" s="160"/>
      <c r="AH194" s="160"/>
      <c r="AI194" s="160"/>
      <c r="AJ194" s="160"/>
      <c r="AK194" s="160"/>
      <c r="AL194" s="160"/>
      <c r="AM194" s="160"/>
      <c r="AN194" s="160"/>
      <c r="AO194" s="160"/>
      <c r="AP194" s="160"/>
      <c r="AQ194" s="160"/>
      <c r="AR194" s="160"/>
      <c r="AS194" s="160"/>
      <c r="AT194" s="160"/>
      <c r="AU194" s="160"/>
      <c r="AV194" s="160"/>
      <c r="AW194" s="160"/>
      <c r="AX194" s="160"/>
      <c r="AY194" s="160"/>
      <c r="AZ194" s="160"/>
      <c r="BA194" s="160"/>
      <c r="BB194" s="160"/>
      <c r="BC194" s="160"/>
      <c r="BD194" s="160"/>
      <c r="BE194" s="160"/>
      <c r="BF194" s="160"/>
      <c r="BG194" s="160"/>
      <c r="BH194" s="160"/>
      <c r="BI194" s="160"/>
      <c r="BJ194" s="160"/>
      <c r="BK194" s="160"/>
      <c r="BL194" s="160"/>
      <c r="BM194" s="160"/>
      <c r="BN194" s="160"/>
      <c r="BO194" s="160"/>
      <c r="BP194" s="160"/>
      <c r="BQ194" s="160"/>
      <c r="BR194" s="160"/>
      <c r="BS194" s="160"/>
      <c r="BT194" s="160"/>
      <c r="BU194" s="160"/>
      <c r="BV194" s="160"/>
      <c r="BW194" s="160"/>
      <c r="BX194" s="160"/>
      <c r="BY194" s="160"/>
      <c r="BZ194" s="160"/>
      <c r="CA194" s="160"/>
      <c r="CB194" s="160"/>
      <c r="CC194" s="160"/>
      <c r="CD194" s="160"/>
      <c r="CE194" s="160"/>
      <c r="CF194" s="160"/>
      <c r="CG194" s="160"/>
      <c r="CH194" s="160"/>
      <c r="CI194" s="160"/>
      <c r="CJ194" s="160"/>
      <c r="CK194" s="160"/>
      <c r="CL194" s="160"/>
      <c r="CM194" s="160"/>
      <c r="CN194" s="160"/>
      <c r="CO194" s="160"/>
      <c r="CP194" s="160"/>
      <c r="CQ194" s="160"/>
      <c r="CR194" s="160"/>
      <c r="CS194" s="160"/>
      <c r="CT194" s="160"/>
      <c r="CU194" s="160"/>
      <c r="CV194" s="160"/>
    </row>
    <row r="195" spans="1:100" ht="39.75" customHeight="1" x14ac:dyDescent="0.2">
      <c r="A195" s="160"/>
      <c r="B195" s="160"/>
      <c r="C195" s="160"/>
      <c r="D195" s="160"/>
      <c r="E195" s="160"/>
      <c r="F195" s="160"/>
      <c r="G195" s="160"/>
      <c r="H195" s="160"/>
      <c r="I195" s="160"/>
      <c r="J195" s="160"/>
      <c r="K195" s="160"/>
      <c r="L195" s="160"/>
      <c r="M195" s="160"/>
      <c r="N195" s="160"/>
      <c r="O195" s="160"/>
      <c r="P195" s="160"/>
      <c r="Q195" s="160"/>
      <c r="R195" s="160"/>
      <c r="S195" s="160"/>
      <c r="T195" s="160"/>
      <c r="U195" s="160"/>
      <c r="V195" s="160"/>
      <c r="W195" s="160"/>
      <c r="X195" s="160"/>
      <c r="Y195" s="160"/>
      <c r="Z195" s="160"/>
      <c r="AA195" s="160"/>
      <c r="AB195" s="160"/>
      <c r="AC195" s="160"/>
      <c r="AD195" s="160"/>
      <c r="AE195" s="160"/>
      <c r="AF195" s="160"/>
      <c r="AG195" s="160"/>
      <c r="AH195" s="160"/>
      <c r="AI195" s="160"/>
      <c r="AJ195" s="160"/>
      <c r="AK195" s="160"/>
      <c r="AL195" s="160"/>
      <c r="AM195" s="160"/>
      <c r="AN195" s="160"/>
      <c r="AO195" s="160"/>
      <c r="AP195" s="160"/>
      <c r="AQ195" s="160"/>
      <c r="AR195" s="160"/>
      <c r="AS195" s="160"/>
      <c r="AT195" s="160"/>
      <c r="AU195" s="160"/>
      <c r="AV195" s="160"/>
      <c r="AW195" s="160"/>
      <c r="AX195" s="160"/>
      <c r="AY195" s="160"/>
      <c r="AZ195" s="160"/>
      <c r="BA195" s="160"/>
      <c r="BB195" s="160"/>
      <c r="BC195" s="160"/>
      <c r="BD195" s="160"/>
      <c r="BE195" s="160"/>
      <c r="BF195" s="160"/>
      <c r="BG195" s="160"/>
      <c r="BH195" s="160"/>
      <c r="BI195" s="160"/>
      <c r="BJ195" s="160"/>
      <c r="BK195" s="160"/>
      <c r="BL195" s="160"/>
      <c r="BM195" s="160"/>
      <c r="BN195" s="160"/>
      <c r="BO195" s="160"/>
      <c r="BP195" s="160"/>
      <c r="BQ195" s="160"/>
      <c r="BR195" s="160"/>
      <c r="BS195" s="160"/>
      <c r="BT195" s="160"/>
      <c r="BU195" s="160"/>
      <c r="BV195" s="160"/>
      <c r="BW195" s="160"/>
      <c r="BX195" s="160"/>
      <c r="BY195" s="160"/>
      <c r="BZ195" s="160"/>
      <c r="CA195" s="160"/>
      <c r="CB195" s="160"/>
      <c r="CC195" s="160"/>
      <c r="CD195" s="160"/>
      <c r="CE195" s="160"/>
      <c r="CF195" s="160"/>
      <c r="CG195" s="160"/>
      <c r="CH195" s="160"/>
      <c r="CI195" s="160"/>
      <c r="CJ195" s="160"/>
      <c r="CK195" s="160"/>
      <c r="CL195" s="160"/>
      <c r="CM195" s="160"/>
      <c r="CN195" s="160"/>
      <c r="CO195" s="160"/>
      <c r="CP195" s="160"/>
      <c r="CQ195" s="160"/>
      <c r="CR195" s="160"/>
      <c r="CS195" s="160"/>
      <c r="CT195" s="160"/>
      <c r="CU195" s="160"/>
      <c r="CV195" s="160"/>
    </row>
    <row r="196" spans="1:100" ht="39.75" customHeight="1" x14ac:dyDescent="0.2">
      <c r="A196" s="160"/>
      <c r="B196" s="160"/>
      <c r="C196" s="160"/>
      <c r="D196" s="160"/>
      <c r="E196" s="160"/>
      <c r="F196" s="160"/>
      <c r="G196" s="160"/>
      <c r="H196" s="160"/>
      <c r="I196" s="160"/>
      <c r="J196" s="160"/>
      <c r="K196" s="160"/>
      <c r="L196" s="160"/>
      <c r="M196" s="160"/>
      <c r="N196" s="160"/>
      <c r="O196" s="160"/>
      <c r="P196" s="160"/>
      <c r="Q196" s="160"/>
      <c r="R196" s="160"/>
      <c r="S196" s="160"/>
      <c r="T196" s="160"/>
      <c r="U196" s="160"/>
      <c r="V196" s="160"/>
      <c r="W196" s="160"/>
      <c r="X196" s="160"/>
      <c r="Y196" s="160"/>
      <c r="Z196" s="160"/>
      <c r="AA196" s="160"/>
      <c r="AB196" s="160"/>
      <c r="AC196" s="160"/>
      <c r="AD196" s="160"/>
      <c r="AE196" s="160"/>
      <c r="AF196" s="160"/>
      <c r="AG196" s="160"/>
      <c r="AH196" s="160"/>
      <c r="AI196" s="160"/>
      <c r="AJ196" s="160"/>
      <c r="AK196" s="160"/>
      <c r="AL196" s="160"/>
      <c r="AM196" s="160"/>
      <c r="AN196" s="160"/>
      <c r="AO196" s="160"/>
      <c r="AP196" s="160"/>
      <c r="AQ196" s="160"/>
      <c r="AR196" s="160"/>
      <c r="AS196" s="160"/>
      <c r="AT196" s="160"/>
      <c r="AU196" s="160"/>
      <c r="AV196" s="160"/>
      <c r="AW196" s="160"/>
      <c r="AX196" s="160"/>
      <c r="AY196" s="160"/>
      <c r="AZ196" s="160"/>
      <c r="BA196" s="160"/>
      <c r="BB196" s="160"/>
      <c r="BC196" s="160"/>
      <c r="BD196" s="160"/>
      <c r="BE196" s="160"/>
      <c r="BF196" s="160"/>
      <c r="BG196" s="160"/>
      <c r="BH196" s="160"/>
      <c r="BI196" s="160"/>
      <c r="BJ196" s="160"/>
      <c r="BK196" s="160"/>
      <c r="BL196" s="160"/>
      <c r="BM196" s="160"/>
      <c r="BN196" s="160"/>
      <c r="BO196" s="160"/>
      <c r="BP196" s="160"/>
      <c r="BQ196" s="160"/>
      <c r="BR196" s="160"/>
      <c r="BS196" s="160"/>
      <c r="BT196" s="160"/>
      <c r="BU196" s="160"/>
      <c r="BV196" s="160"/>
      <c r="BW196" s="160"/>
      <c r="BX196" s="160"/>
      <c r="BY196" s="160"/>
      <c r="BZ196" s="160"/>
      <c r="CA196" s="160"/>
      <c r="CB196" s="160"/>
      <c r="CC196" s="160"/>
      <c r="CD196" s="160"/>
      <c r="CE196" s="160"/>
      <c r="CF196" s="160"/>
      <c r="CG196" s="160"/>
      <c r="CH196" s="160"/>
      <c r="CI196" s="160"/>
      <c r="CJ196" s="160"/>
      <c r="CK196" s="160"/>
      <c r="CL196" s="160"/>
      <c r="CM196" s="160"/>
      <c r="CN196" s="160"/>
      <c r="CO196" s="160"/>
      <c r="CP196" s="160"/>
      <c r="CQ196" s="160"/>
      <c r="CR196" s="160"/>
      <c r="CS196" s="160"/>
      <c r="CT196" s="160"/>
      <c r="CU196" s="160"/>
      <c r="CV196" s="160"/>
    </row>
    <row r="197" spans="1:100" ht="39.75" customHeight="1" x14ac:dyDescent="0.2">
      <c r="A197" s="160"/>
      <c r="B197" s="160"/>
      <c r="C197" s="160"/>
      <c r="D197" s="160"/>
      <c r="E197" s="160"/>
      <c r="F197" s="160"/>
      <c r="G197" s="160"/>
      <c r="H197" s="160"/>
      <c r="I197" s="160"/>
      <c r="J197" s="160"/>
      <c r="K197" s="160"/>
      <c r="L197" s="160"/>
      <c r="M197" s="160"/>
      <c r="N197" s="160"/>
      <c r="O197" s="160"/>
      <c r="P197" s="160"/>
      <c r="Q197" s="160"/>
      <c r="R197" s="160"/>
      <c r="S197" s="160"/>
      <c r="T197" s="160"/>
      <c r="U197" s="160"/>
      <c r="V197" s="160"/>
      <c r="W197" s="160"/>
      <c r="X197" s="160"/>
      <c r="Y197" s="160"/>
      <c r="Z197" s="160"/>
      <c r="AA197" s="160"/>
      <c r="AB197" s="160"/>
      <c r="AC197" s="160"/>
      <c r="AD197" s="160"/>
      <c r="AE197" s="160"/>
      <c r="AF197" s="160"/>
      <c r="AG197" s="160"/>
      <c r="AH197" s="160"/>
      <c r="AI197" s="160"/>
      <c r="AJ197" s="160"/>
      <c r="AK197" s="160"/>
      <c r="AL197" s="160"/>
      <c r="AM197" s="160"/>
      <c r="AN197" s="160"/>
      <c r="AO197" s="160"/>
      <c r="AP197" s="160"/>
      <c r="AQ197" s="160"/>
      <c r="AR197" s="160"/>
      <c r="AS197" s="160"/>
      <c r="AT197" s="160"/>
      <c r="AU197" s="160"/>
      <c r="AV197" s="160"/>
      <c r="AW197" s="160"/>
      <c r="AX197" s="160"/>
      <c r="AY197" s="160"/>
      <c r="AZ197" s="160"/>
      <c r="BA197" s="160"/>
      <c r="BB197" s="160"/>
      <c r="BC197" s="160"/>
      <c r="BD197" s="160"/>
      <c r="BE197" s="160"/>
      <c r="BF197" s="160"/>
      <c r="BG197" s="160"/>
      <c r="BH197" s="160"/>
      <c r="BI197" s="160"/>
      <c r="BJ197" s="160"/>
      <c r="BK197" s="160"/>
      <c r="BL197" s="160"/>
      <c r="BM197" s="160"/>
      <c r="BN197" s="160"/>
      <c r="BO197" s="160"/>
      <c r="BP197" s="160"/>
      <c r="BQ197" s="160"/>
      <c r="BR197" s="160"/>
      <c r="BS197" s="160"/>
      <c r="BT197" s="160"/>
      <c r="BU197" s="160"/>
      <c r="BV197" s="160"/>
      <c r="BW197" s="160"/>
      <c r="BX197" s="160"/>
      <c r="BY197" s="160"/>
      <c r="BZ197" s="160"/>
      <c r="CA197" s="160"/>
      <c r="CB197" s="160"/>
      <c r="CC197" s="160"/>
      <c r="CD197" s="160"/>
      <c r="CE197" s="160"/>
      <c r="CF197" s="160"/>
      <c r="CG197" s="160"/>
      <c r="CH197" s="160"/>
      <c r="CI197" s="160"/>
      <c r="CJ197" s="160"/>
      <c r="CK197" s="160"/>
      <c r="CL197" s="160"/>
      <c r="CM197" s="160"/>
      <c r="CN197" s="160"/>
      <c r="CO197" s="160"/>
      <c r="CP197" s="160"/>
      <c r="CQ197" s="160"/>
      <c r="CR197" s="160"/>
      <c r="CS197" s="160"/>
      <c r="CT197" s="160"/>
      <c r="CU197" s="160"/>
      <c r="CV197" s="160"/>
    </row>
    <row r="198" spans="1:100" ht="39.75" customHeight="1" x14ac:dyDescent="0.2">
      <c r="A198" s="160"/>
      <c r="B198" s="160"/>
      <c r="C198" s="160"/>
      <c r="D198" s="160"/>
      <c r="E198" s="160"/>
      <c r="F198" s="160"/>
      <c r="G198" s="160"/>
      <c r="H198" s="160"/>
      <c r="I198" s="160"/>
      <c r="J198" s="160"/>
      <c r="K198" s="160"/>
      <c r="L198" s="160"/>
      <c r="M198" s="160"/>
      <c r="N198" s="160"/>
      <c r="O198" s="160"/>
      <c r="P198" s="160"/>
      <c r="Q198" s="160"/>
      <c r="R198" s="160"/>
      <c r="S198" s="160"/>
      <c r="T198" s="160"/>
      <c r="U198" s="160"/>
      <c r="V198" s="160"/>
      <c r="W198" s="160"/>
      <c r="X198" s="160"/>
      <c r="Y198" s="160"/>
      <c r="Z198" s="160"/>
      <c r="AA198" s="160"/>
      <c r="AB198" s="160"/>
      <c r="AC198" s="160"/>
      <c r="AD198" s="160"/>
      <c r="AE198" s="160"/>
      <c r="AF198" s="160"/>
      <c r="AG198" s="160"/>
      <c r="AH198" s="160"/>
      <c r="AI198" s="160"/>
      <c r="AJ198" s="160"/>
      <c r="AK198" s="160"/>
      <c r="AL198" s="160"/>
      <c r="AM198" s="160"/>
      <c r="AN198" s="160"/>
      <c r="AO198" s="160"/>
      <c r="AP198" s="160"/>
      <c r="AQ198" s="160"/>
      <c r="AR198" s="160"/>
      <c r="AS198" s="160"/>
      <c r="AT198" s="160"/>
      <c r="AU198" s="160"/>
      <c r="AV198" s="160"/>
      <c r="AW198" s="160"/>
      <c r="AX198" s="160"/>
      <c r="AY198" s="160"/>
      <c r="AZ198" s="160"/>
      <c r="BA198" s="160"/>
      <c r="BB198" s="160"/>
      <c r="BC198" s="160"/>
      <c r="BD198" s="160"/>
      <c r="BE198" s="160"/>
      <c r="BF198" s="160"/>
      <c r="BG198" s="160"/>
      <c r="BH198" s="160"/>
      <c r="BI198" s="160"/>
      <c r="BJ198" s="160"/>
      <c r="BK198" s="160"/>
      <c r="BL198" s="160"/>
      <c r="BM198" s="160"/>
      <c r="BN198" s="160"/>
      <c r="BO198" s="160"/>
      <c r="BP198" s="160"/>
      <c r="BQ198" s="160"/>
      <c r="BR198" s="160"/>
      <c r="BS198" s="160"/>
      <c r="BT198" s="160"/>
      <c r="BU198" s="160"/>
      <c r="BV198" s="160"/>
      <c r="BW198" s="160"/>
      <c r="BX198" s="160"/>
      <c r="BY198" s="160"/>
      <c r="BZ198" s="160"/>
      <c r="CA198" s="160"/>
      <c r="CB198" s="160"/>
      <c r="CC198" s="160"/>
      <c r="CD198" s="160"/>
      <c r="CE198" s="160"/>
      <c r="CF198" s="160"/>
      <c r="CG198" s="160"/>
      <c r="CH198" s="160"/>
      <c r="CI198" s="160"/>
      <c r="CJ198" s="160"/>
      <c r="CK198" s="160"/>
      <c r="CL198" s="160"/>
      <c r="CM198" s="160"/>
      <c r="CN198" s="160"/>
      <c r="CO198" s="160"/>
      <c r="CP198" s="160"/>
      <c r="CQ198" s="160"/>
      <c r="CR198" s="160"/>
      <c r="CS198" s="160"/>
      <c r="CT198" s="160"/>
      <c r="CU198" s="160"/>
      <c r="CV198" s="160"/>
    </row>
    <row r="199" spans="1:100" ht="39.75" customHeight="1" x14ac:dyDescent="0.2">
      <c r="A199" s="160"/>
      <c r="B199" s="160"/>
      <c r="C199" s="160"/>
      <c r="D199" s="160"/>
      <c r="E199" s="160"/>
      <c r="F199" s="160"/>
      <c r="G199" s="160"/>
      <c r="H199" s="160"/>
      <c r="I199" s="160"/>
      <c r="J199" s="160"/>
      <c r="K199" s="160"/>
      <c r="L199" s="160"/>
      <c r="M199" s="160"/>
      <c r="N199" s="160"/>
      <c r="O199" s="160"/>
      <c r="P199" s="160"/>
      <c r="Q199" s="160"/>
      <c r="R199" s="160"/>
      <c r="S199" s="160"/>
      <c r="T199" s="160"/>
      <c r="U199" s="160"/>
      <c r="V199" s="160"/>
      <c r="W199" s="160"/>
      <c r="X199" s="160"/>
      <c r="Y199" s="160"/>
      <c r="Z199" s="160"/>
      <c r="AA199" s="160"/>
      <c r="AB199" s="160"/>
      <c r="AC199" s="160"/>
      <c r="AD199" s="160"/>
      <c r="AE199" s="160"/>
      <c r="AF199" s="160"/>
      <c r="AG199" s="160"/>
      <c r="AH199" s="160"/>
      <c r="AI199" s="160"/>
      <c r="AJ199" s="160"/>
      <c r="AK199" s="160"/>
      <c r="AL199" s="160"/>
      <c r="AM199" s="160"/>
      <c r="AN199" s="160"/>
      <c r="AO199" s="160"/>
      <c r="AP199" s="160"/>
      <c r="AQ199" s="160"/>
      <c r="AR199" s="160"/>
      <c r="AS199" s="160"/>
      <c r="AT199" s="160"/>
      <c r="AU199" s="160"/>
      <c r="AV199" s="160"/>
      <c r="AW199" s="160"/>
      <c r="AX199" s="160"/>
      <c r="AY199" s="160"/>
      <c r="AZ199" s="160"/>
      <c r="BA199" s="160"/>
      <c r="BB199" s="160"/>
      <c r="BC199" s="160"/>
      <c r="BD199" s="160"/>
      <c r="BE199" s="160"/>
      <c r="BF199" s="160"/>
      <c r="BG199" s="160"/>
      <c r="BH199" s="160"/>
      <c r="BI199" s="160"/>
      <c r="BJ199" s="160"/>
      <c r="BK199" s="160"/>
      <c r="BL199" s="160"/>
      <c r="BM199" s="160"/>
      <c r="BN199" s="160"/>
      <c r="BO199" s="160"/>
      <c r="BP199" s="160"/>
      <c r="BQ199" s="160"/>
      <c r="BR199" s="160"/>
      <c r="BS199" s="160"/>
      <c r="BT199" s="160"/>
      <c r="BU199" s="160"/>
      <c r="BV199" s="160"/>
      <c r="BW199" s="160"/>
      <c r="BX199" s="160"/>
      <c r="BY199" s="160"/>
      <c r="BZ199" s="160"/>
      <c r="CA199" s="160"/>
      <c r="CB199" s="160"/>
      <c r="CC199" s="160"/>
      <c r="CD199" s="160"/>
      <c r="CE199" s="160"/>
      <c r="CF199" s="160"/>
      <c r="CG199" s="160"/>
      <c r="CH199" s="160"/>
      <c r="CI199" s="160"/>
      <c r="CJ199" s="160"/>
      <c r="CK199" s="160"/>
      <c r="CL199" s="160"/>
      <c r="CM199" s="160"/>
      <c r="CN199" s="160"/>
      <c r="CO199" s="160"/>
      <c r="CP199" s="160"/>
      <c r="CQ199" s="160"/>
      <c r="CR199" s="160"/>
      <c r="CS199" s="160"/>
      <c r="CT199" s="160"/>
      <c r="CU199" s="160"/>
      <c r="CV199" s="160"/>
    </row>
    <row r="200" spans="1:100" ht="39.75" customHeight="1" x14ac:dyDescent="0.2">
      <c r="A200" s="160"/>
      <c r="B200" s="160"/>
      <c r="C200" s="160"/>
      <c r="D200" s="160"/>
      <c r="E200" s="160"/>
      <c r="F200" s="160"/>
      <c r="G200" s="160"/>
      <c r="H200" s="160"/>
      <c r="I200" s="160"/>
      <c r="J200" s="160"/>
      <c r="K200" s="160"/>
      <c r="L200" s="160"/>
      <c r="M200" s="160"/>
      <c r="N200" s="160"/>
      <c r="O200" s="160"/>
      <c r="P200" s="160"/>
      <c r="Q200" s="160"/>
      <c r="R200" s="160"/>
      <c r="S200" s="160"/>
      <c r="T200" s="160"/>
      <c r="U200" s="160"/>
      <c r="V200" s="160"/>
      <c r="W200" s="160"/>
      <c r="X200" s="160"/>
      <c r="Y200" s="160"/>
      <c r="Z200" s="160"/>
      <c r="AA200" s="160"/>
      <c r="AB200" s="160"/>
      <c r="AC200" s="160"/>
      <c r="AD200" s="160"/>
      <c r="AE200" s="160"/>
      <c r="AF200" s="160"/>
      <c r="AG200" s="160"/>
      <c r="AH200" s="160"/>
      <c r="AI200" s="160"/>
      <c r="AJ200" s="160"/>
      <c r="AK200" s="160"/>
      <c r="AL200" s="160"/>
      <c r="AM200" s="160"/>
      <c r="AN200" s="160"/>
      <c r="AO200" s="160"/>
      <c r="AP200" s="160"/>
      <c r="AQ200" s="160"/>
      <c r="AR200" s="160"/>
      <c r="AS200" s="160"/>
      <c r="AT200" s="160"/>
      <c r="AU200" s="160"/>
      <c r="AV200" s="160"/>
      <c r="AW200" s="160"/>
      <c r="AX200" s="160"/>
      <c r="AY200" s="160"/>
      <c r="AZ200" s="160"/>
      <c r="BA200" s="160"/>
      <c r="BB200" s="160"/>
      <c r="BC200" s="160"/>
      <c r="BD200" s="160"/>
      <c r="BE200" s="160"/>
      <c r="BF200" s="160"/>
      <c r="BG200" s="160"/>
      <c r="BH200" s="160"/>
      <c r="BI200" s="160"/>
      <c r="BJ200" s="160"/>
      <c r="BK200" s="160"/>
      <c r="BL200" s="160"/>
      <c r="BM200" s="160"/>
      <c r="BN200" s="160"/>
      <c r="BO200" s="160"/>
      <c r="BP200" s="160"/>
      <c r="BQ200" s="160"/>
      <c r="BR200" s="160"/>
      <c r="BS200" s="160"/>
      <c r="BT200" s="160"/>
      <c r="BU200" s="160"/>
      <c r="BV200" s="160"/>
      <c r="BW200" s="160"/>
      <c r="BX200" s="160"/>
      <c r="BY200" s="160"/>
      <c r="BZ200" s="160"/>
      <c r="CA200" s="160"/>
      <c r="CB200" s="160"/>
      <c r="CC200" s="160"/>
      <c r="CD200" s="160"/>
      <c r="CE200" s="160"/>
      <c r="CF200" s="160"/>
      <c r="CG200" s="160"/>
      <c r="CH200" s="160"/>
      <c r="CI200" s="160"/>
      <c r="CJ200" s="160"/>
      <c r="CK200" s="160"/>
      <c r="CL200" s="160"/>
      <c r="CM200" s="160"/>
      <c r="CN200" s="160"/>
      <c r="CO200" s="160"/>
      <c r="CP200" s="160"/>
      <c r="CQ200" s="160"/>
      <c r="CR200" s="160"/>
      <c r="CS200" s="160"/>
      <c r="CT200" s="160"/>
      <c r="CU200" s="160"/>
      <c r="CV200" s="160"/>
    </row>
  </sheetData>
  <mergeCells count="207">
    <mergeCell ref="AV59:AV61"/>
    <mergeCell ref="T2:W5"/>
    <mergeCell ref="V9:V11"/>
    <mergeCell ref="V18:V19"/>
    <mergeCell ref="W17:W20"/>
    <mergeCell ref="AV39:AV41"/>
    <mergeCell ref="AV42:AV44"/>
    <mergeCell ref="AV45:AV47"/>
    <mergeCell ref="AV48:AV52"/>
    <mergeCell ref="AV53:AV55"/>
    <mergeCell ref="AV56:AV58"/>
    <mergeCell ref="AV21:AV23"/>
    <mergeCell ref="AV24:AV26"/>
    <mergeCell ref="AV27:AV29"/>
    <mergeCell ref="AV30:AV32"/>
    <mergeCell ref="AV33:AV35"/>
    <mergeCell ref="AV36:AV38"/>
    <mergeCell ref="AO59:AR61"/>
    <mergeCell ref="AS59:AS61"/>
    <mergeCell ref="AT59:AT61"/>
    <mergeCell ref="AU59:AU61"/>
    <mergeCell ref="AV3:AV5"/>
    <mergeCell ref="AV6:AV8"/>
    <mergeCell ref="AV9:AV11"/>
    <mergeCell ref="AV12:AV14"/>
    <mergeCell ref="AV15:AV17"/>
    <mergeCell ref="AV18:AV20"/>
    <mergeCell ref="AO53:AR55"/>
    <mergeCell ref="AS53:AS55"/>
    <mergeCell ref="AT53:AT55"/>
    <mergeCell ref="AU53:AU55"/>
    <mergeCell ref="AO56:AR58"/>
    <mergeCell ref="AS56:AS58"/>
    <mergeCell ref="AT56:AT58"/>
    <mergeCell ref="AU56:AU58"/>
    <mergeCell ref="AO45:AR47"/>
    <mergeCell ref="AS45:AS47"/>
    <mergeCell ref="AT45:AT47"/>
    <mergeCell ref="AU45:AU47"/>
    <mergeCell ref="AO48:AR52"/>
    <mergeCell ref="AS48:AS52"/>
    <mergeCell ref="AT48:AT52"/>
    <mergeCell ref="AU48:AU52"/>
    <mergeCell ref="AO39:AR41"/>
    <mergeCell ref="AS39:AS41"/>
    <mergeCell ref="AT39:AT41"/>
    <mergeCell ref="AU39:AU41"/>
    <mergeCell ref="AO42:AR44"/>
    <mergeCell ref="AS42:AS44"/>
    <mergeCell ref="AT42:AT44"/>
    <mergeCell ref="AU42:AU44"/>
    <mergeCell ref="AO33:AR35"/>
    <mergeCell ref="AS33:AS35"/>
    <mergeCell ref="AT33:AT35"/>
    <mergeCell ref="AU33:AU35"/>
    <mergeCell ref="AO36:AR38"/>
    <mergeCell ref="AS36:AS38"/>
    <mergeCell ref="AT36:AT38"/>
    <mergeCell ref="AU36:AU38"/>
    <mergeCell ref="AO27:AR29"/>
    <mergeCell ref="AS27:AS29"/>
    <mergeCell ref="AT27:AT29"/>
    <mergeCell ref="AU27:AU29"/>
    <mergeCell ref="AO30:AR32"/>
    <mergeCell ref="AS30:AS32"/>
    <mergeCell ref="AT30:AT32"/>
    <mergeCell ref="AU30:AU32"/>
    <mergeCell ref="AO21:AR23"/>
    <mergeCell ref="AS21:AS23"/>
    <mergeCell ref="AT21:AT23"/>
    <mergeCell ref="AU21:AU23"/>
    <mergeCell ref="AO24:AR26"/>
    <mergeCell ref="AS24:AS26"/>
    <mergeCell ref="AT24:AT26"/>
    <mergeCell ref="AU24:AU26"/>
    <mergeCell ref="AT15:AT17"/>
    <mergeCell ref="AU15:AU17"/>
    <mergeCell ref="AO18:AR20"/>
    <mergeCell ref="AS18:AS20"/>
    <mergeCell ref="AT18:AT20"/>
    <mergeCell ref="AU18:AU20"/>
    <mergeCell ref="AT9:AT11"/>
    <mergeCell ref="AU9:AU11"/>
    <mergeCell ref="AO12:AR14"/>
    <mergeCell ref="AS12:AS14"/>
    <mergeCell ref="AT12:AT14"/>
    <mergeCell ref="AU12:AU14"/>
    <mergeCell ref="AT3:AT5"/>
    <mergeCell ref="AU3:AU5"/>
    <mergeCell ref="AO6:AR8"/>
    <mergeCell ref="AS6:AS8"/>
    <mergeCell ref="AT6:AT8"/>
    <mergeCell ref="AU6:AU8"/>
    <mergeCell ref="AF48:AI52"/>
    <mergeCell ref="AF53:AI55"/>
    <mergeCell ref="G48:G50"/>
    <mergeCell ref="Q2:R4"/>
    <mergeCell ref="AO3:AR5"/>
    <mergeCell ref="AS3:AS5"/>
    <mergeCell ref="AO9:AR11"/>
    <mergeCell ref="AS9:AS11"/>
    <mergeCell ref="AO15:AR17"/>
    <mergeCell ref="AS15:AS17"/>
    <mergeCell ref="AF6:AI8"/>
    <mergeCell ref="AJ6:AJ8"/>
    <mergeCell ref="AK6:AK8"/>
    <mergeCell ref="AL6:AL8"/>
    <mergeCell ref="AF3:AI5"/>
    <mergeCell ref="AJ3:AJ5"/>
    <mergeCell ref="AK3:AK5"/>
    <mergeCell ref="AL3:AL5"/>
    <mergeCell ref="AL53:AL55"/>
    <mergeCell ref="AL48:AL52"/>
    <mergeCell ref="AL45:AL47"/>
    <mergeCell ref="AL42:AL44"/>
    <mergeCell ref="AL39:AL41"/>
    <mergeCell ref="AL36:AL38"/>
    <mergeCell ref="AJ48:AJ52"/>
    <mergeCell ref="AJ53:AJ55"/>
    <mergeCell ref="AK33:AK35"/>
    <mergeCell ref="AK36:AK38"/>
    <mergeCell ref="AK39:AK41"/>
    <mergeCell ref="AK42:AK44"/>
    <mergeCell ref="AK45:AK47"/>
    <mergeCell ref="AK48:AK52"/>
    <mergeCell ref="AK53:AK55"/>
    <mergeCell ref="AF45:AI47"/>
    <mergeCell ref="AJ30:AJ32"/>
    <mergeCell ref="AK30:AK32"/>
    <mergeCell ref="AJ33:AJ35"/>
    <mergeCell ref="AJ36:AJ38"/>
    <mergeCell ref="AJ39:AJ41"/>
    <mergeCell ref="AJ42:AJ44"/>
    <mergeCell ref="AJ45:AJ47"/>
    <mergeCell ref="AJ27:AJ29"/>
    <mergeCell ref="AK27:AK29"/>
    <mergeCell ref="AL27:AL29"/>
    <mergeCell ref="AF30:AI32"/>
    <mergeCell ref="AF33:AI35"/>
    <mergeCell ref="AF36:AI38"/>
    <mergeCell ref="AL33:AL35"/>
    <mergeCell ref="AL30:AL32"/>
    <mergeCell ref="AJ21:AJ23"/>
    <mergeCell ref="AK21:AK23"/>
    <mergeCell ref="AL21:AL23"/>
    <mergeCell ref="AJ24:AJ26"/>
    <mergeCell ref="AK24:AK26"/>
    <mergeCell ref="AL24:AL26"/>
    <mergeCell ref="AJ15:AJ17"/>
    <mergeCell ref="AK15:AK17"/>
    <mergeCell ref="AL15:AL17"/>
    <mergeCell ref="AJ18:AJ20"/>
    <mergeCell ref="AK18:AK20"/>
    <mergeCell ref="AL18:AL20"/>
    <mergeCell ref="AJ9:AJ11"/>
    <mergeCell ref="AK9:AK11"/>
    <mergeCell ref="AL9:AL11"/>
    <mergeCell ref="AJ12:AJ14"/>
    <mergeCell ref="AK12:AK14"/>
    <mergeCell ref="AL12:AL14"/>
    <mergeCell ref="AF9:AI11"/>
    <mergeCell ref="AF12:AI14"/>
    <mergeCell ref="AF15:AI17"/>
    <mergeCell ref="AF18:AI20"/>
    <mergeCell ref="AF21:AI23"/>
    <mergeCell ref="AF24:AI26"/>
    <mergeCell ref="AF27:AI29"/>
    <mergeCell ref="AF39:AI41"/>
    <mergeCell ref="AF42:AI44"/>
    <mergeCell ref="AA59:AA61"/>
    <mergeCell ref="AA67:AA69"/>
    <mergeCell ref="AA83:AA85"/>
    <mergeCell ref="AA91:AA93"/>
    <mergeCell ref="S35:S37"/>
    <mergeCell ref="S15:S17"/>
    <mergeCell ref="U28:U29"/>
    <mergeCell ref="U73:U75"/>
    <mergeCell ref="AA9:AA11"/>
    <mergeCell ref="AA17:AA19"/>
    <mergeCell ref="V54:V55"/>
    <mergeCell ref="V61:V62"/>
    <mergeCell ref="AA33:AA35"/>
    <mergeCell ref="AA41:AA43"/>
    <mergeCell ref="V15:V17"/>
    <mergeCell ref="V65:V67"/>
    <mergeCell ref="V47:V49"/>
    <mergeCell ref="Y16:Y17"/>
    <mergeCell ref="Y35:Y36"/>
    <mergeCell ref="Y66:Y67"/>
    <mergeCell ref="Y85:Y86"/>
    <mergeCell ref="W73:W74"/>
    <mergeCell ref="W28:W29"/>
    <mergeCell ref="Q91:Q93"/>
    <mergeCell ref="S85:S87"/>
    <mergeCell ref="S65:S67"/>
    <mergeCell ref="Q59:Q61"/>
    <mergeCell ref="B3:C5"/>
    <mergeCell ref="V56:V58"/>
    <mergeCell ref="F5:H8"/>
    <mergeCell ref="Q9:Q11"/>
    <mergeCell ref="Q17:Q19"/>
    <mergeCell ref="Q33:Q35"/>
    <mergeCell ref="F38:G44"/>
    <mergeCell ref="G56:G60"/>
    <mergeCell ref="Q41:Q43"/>
    <mergeCell ref="Q67:Q69"/>
    <mergeCell ref="Q83:Q85"/>
  </mergeCells>
  <dataValidations count="1">
    <dataValidation type="list" allowBlank="1" showInputMessage="1" showErrorMessage="1" sqref="B3:C5 Q2:R4" xr:uid="{8134D539-5C18-4C2D-AD86-536268D3713C}">
      <formula1>$Q$2:$W$2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7F580-E6F6-46DA-B113-B196270252C6}">
  <sheetPr codeName="Sheet13"/>
  <dimension ref="A1:CM37"/>
  <sheetViews>
    <sheetView topLeftCell="D1" zoomScale="80" zoomScaleNormal="80" workbookViewId="0">
      <selection activeCell="C2" sqref="C2"/>
    </sheetView>
  </sheetViews>
  <sheetFormatPr defaultRowHeight="15" x14ac:dyDescent="0.25"/>
  <cols>
    <col min="1" max="1" width="23.85546875" bestFit="1" customWidth="1"/>
    <col min="2" max="2" width="8.7109375" customWidth="1"/>
    <col min="3" max="3" width="10" customWidth="1"/>
    <col min="5" max="5" width="9.85546875" bestFit="1" customWidth="1"/>
    <col min="6" max="6" width="8.140625" customWidth="1"/>
    <col min="42" max="42" width="10.140625" customWidth="1"/>
  </cols>
  <sheetData>
    <row r="1" spans="1:91" x14ac:dyDescent="0.25">
      <c r="B1" t="s">
        <v>189</v>
      </c>
      <c r="D1" t="s">
        <v>188</v>
      </c>
      <c r="G1" t="s">
        <v>189</v>
      </c>
      <c r="I1" t="s">
        <v>188</v>
      </c>
      <c r="L1" t="s">
        <v>189</v>
      </c>
      <c r="N1" t="s">
        <v>188</v>
      </c>
      <c r="Q1" t="s">
        <v>189</v>
      </c>
      <c r="S1" t="s">
        <v>188</v>
      </c>
      <c r="V1" t="s">
        <v>189</v>
      </c>
      <c r="X1" t="s">
        <v>188</v>
      </c>
      <c r="AA1" t="s">
        <v>189</v>
      </c>
      <c r="AC1" t="s">
        <v>188</v>
      </c>
      <c r="AF1" t="s">
        <v>189</v>
      </c>
      <c r="AH1" t="s">
        <v>188</v>
      </c>
      <c r="AK1" t="s">
        <v>189</v>
      </c>
      <c r="AM1" t="s">
        <v>188</v>
      </c>
      <c r="AP1" t="s">
        <v>189</v>
      </c>
      <c r="AR1" t="s">
        <v>188</v>
      </c>
      <c r="AU1" t="s">
        <v>189</v>
      </c>
      <c r="AW1" t="s">
        <v>188</v>
      </c>
      <c r="AZ1" t="s">
        <v>189</v>
      </c>
      <c r="BB1" t="s">
        <v>188</v>
      </c>
      <c r="BE1" t="s">
        <v>189</v>
      </c>
      <c r="BG1" t="s">
        <v>188</v>
      </c>
      <c r="BJ1" t="s">
        <v>189</v>
      </c>
      <c r="BL1" t="s">
        <v>188</v>
      </c>
      <c r="BO1" t="s">
        <v>189</v>
      </c>
      <c r="BQ1" t="s">
        <v>188</v>
      </c>
      <c r="BT1" t="s">
        <v>189</v>
      </c>
      <c r="BV1" t="s">
        <v>188</v>
      </c>
      <c r="BY1" t="s">
        <v>189</v>
      </c>
      <c r="CA1" t="s">
        <v>188</v>
      </c>
      <c r="CD1" t="s">
        <v>189</v>
      </c>
      <c r="CF1" t="s">
        <v>188</v>
      </c>
      <c r="CI1" t="s">
        <v>189</v>
      </c>
      <c r="CK1" t="s">
        <v>188</v>
      </c>
    </row>
    <row r="2" spans="1:91" x14ac:dyDescent="0.25">
      <c r="B2" t="str">
        <f>INDEX('Historical Luck'!$A$7:$A$36,MATCH(C2,'Historical Luck'!F$7:F$36,0))</f>
        <v>Charlotte Hornets</v>
      </c>
      <c r="C2" s="5">
        <f>LARGE('Historical Luck'!F$7:F$36,ROWS(C$2:C2))</f>
        <v>9.1165740481794322E-2</v>
      </c>
      <c r="D2" t="str">
        <f>INDEX('Historical Luck'!$A$7:$A$36,MATCH(E2,'Historical Luck'!F$7:F$36,0))</f>
        <v>Dallas Mavericks</v>
      </c>
      <c r="E2" s="5">
        <f>SMALL('Historical Luck'!F$7:F$36,ROWS(E$2:E2))</f>
        <v>-9.5066226789757513E-2</v>
      </c>
      <c r="G2" t="str">
        <f>INDEX('Historical Luck'!$A$7:$A$36,MATCH(H2,'Historical Luck'!K$7:K$36,0))</f>
        <v>Los Angeles Clippers</v>
      </c>
      <c r="H2" s="5">
        <f>LARGE('Historical Luck'!K$7:K$36,ROWS(H$2:H2))</f>
        <v>5.6667016632129252E-2</v>
      </c>
      <c r="I2" t="str">
        <f>INDEX('Historical Luck'!$A$7:$A$36,MATCH(J2,'Historical Luck'!K$7:K$36,0))</f>
        <v>Utah Jazz</v>
      </c>
      <c r="J2" s="5">
        <f>SMALL('Historical Luck'!K$7:K$36,ROWS(J$2:J2))</f>
        <v>-7.4697304494818151E-2</v>
      </c>
      <c r="L2" t="str">
        <f>INDEX('Historical Luck'!$A$7:$A$36,MATCH(M2,'Historical Luck'!P$7:P$36,0))</f>
        <v>Cleveland Cavaliers</v>
      </c>
      <c r="M2" s="5">
        <f>LARGE('Historical Luck'!P$7:P$36,ROWS(M$2:M2))</f>
        <v>7.4833990004237627E-2</v>
      </c>
      <c r="N2" t="str">
        <f>INDEX('Historical Luck'!$A$7:$A$36,MATCH(O2,'Historical Luck'!P$7:P$36,0))</f>
        <v>Dallas Mavericks</v>
      </c>
      <c r="O2" s="5">
        <f>SMALL('Historical Luck'!P$7:P$36,ROWS(O$2:O2))</f>
        <v>-9.2952157224521437E-2</v>
      </c>
      <c r="Q2" t="str">
        <f>INDEX('Historical Luck'!$A$7:$A$36,MATCH(R2,'Historical Luck'!U$7:U$36,0))</f>
        <v>Orlando Magic</v>
      </c>
      <c r="R2" s="5">
        <f>LARGE('Historical Luck'!U$7:U$36,ROWS(R$2:R2))</f>
        <v>7.7616589525665414E-2</v>
      </c>
      <c r="S2" t="str">
        <f>INDEX('Historical Luck'!$A$7:$A$36,MATCH(T2,'Historical Luck'!U$7:U$36,0))</f>
        <v>Minnesota Timberwolves</v>
      </c>
      <c r="T2" s="5">
        <f>SMALL('Historical Luck'!U$7:U$36,ROWS(T$2:T2))</f>
        <v>-8.2068311163739804E-2</v>
      </c>
      <c r="V2" t="str">
        <f>INDEX('Historical Luck'!$A$7:$A$36,MATCH(W2,'Historical Luck'!Z$7:Z$36,0))</f>
        <v>Memphis Grizzlies</v>
      </c>
      <c r="W2" s="5">
        <f>LARGE('Historical Luck'!Z$7:Z$36,ROWS(W$2:W2))</f>
        <v>9.3702475789213202E-2</v>
      </c>
      <c r="X2" t="str">
        <f>INDEX('Historical Luck'!$A$7:$A$36,MATCH(Y2,'Historical Luck'!Z$7:Z$36,0))</f>
        <v>Utah Jazz</v>
      </c>
      <c r="Y2" s="5">
        <f>SMALL('Historical Luck'!Z$7:Z$36,ROWS(Y$2:Y2))</f>
        <v>-8.1370247786670458E-2</v>
      </c>
      <c r="AA2" t="str">
        <f>INDEX('Historical Luck'!$A$7:$A$36,MATCH(AB2,'Historical Luck'!AE$7:AE$36,0))</f>
        <v>Brooklyn Nets</v>
      </c>
      <c r="AB2" s="5">
        <f>LARGE('Historical Luck'!AE$7:AE$36,ROWS(AB$2:AB2))</f>
        <v>6.8078502070666014E-2</v>
      </c>
      <c r="AC2" t="str">
        <f>INDEX('Historical Luck'!$A$7:$A$36,MATCH(AD2,'Historical Luck'!AE$7:AE$36,0))</f>
        <v>Detroit Pistons</v>
      </c>
      <c r="AD2" s="5">
        <f>SMALL('Historical Luck'!AE$7:AE$36,ROWS(AD$2:AD2))</f>
        <v>-7.312021374399319E-2</v>
      </c>
      <c r="AF2" t="str">
        <f>INDEX('Historical Luck'!$A$7:$A$36,MATCH(AG2,'Historical Luck'!AJ$7:AJ$36,0))</f>
        <v>Brooklyn Nets</v>
      </c>
      <c r="AG2" s="5">
        <f>LARGE('Historical Luck'!AJ$7:AJ$36,ROWS(AG$2:AG2))</f>
        <v>7.4245333020296289E-2</v>
      </c>
      <c r="AH2" t="str">
        <f>INDEX('Historical Luck'!$A$7:$A$36,MATCH(AI2,'Historical Luck'!AJ$7:AJ$36,0))</f>
        <v>Minnesota Timberwolves</v>
      </c>
      <c r="AI2" s="5">
        <f>SMALL('Historical Luck'!AJ$7:AJ$36,ROWS(AI$2:AI2))</f>
        <v>-0.10196754304137201</v>
      </c>
      <c r="AK2" t="str">
        <f>INDEX('Historical Luck'!$A$7:$A$36,MATCH(AL2,'Historical Luck'!AO$7:AO$36,0))</f>
        <v>Charlotte Hornets</v>
      </c>
      <c r="AL2" s="5">
        <f>LARGE('Historical Luck'!AO$7:AO$36,ROWS(AL$2:AL2))</f>
        <v>5.2188879709346381E-2</v>
      </c>
      <c r="AM2" t="str">
        <f>INDEX('Historical Luck'!$A$7:$A$36,MATCH(AN2,'Historical Luck'!AO$7:AO$36,0))</f>
        <v>Houston Rockets</v>
      </c>
      <c r="AN2" s="5">
        <f>SMALL('Historical Luck'!AO$7:AO$36,ROWS(AN$2:AN2))</f>
        <v>-6.9221735206801749E-2</v>
      </c>
      <c r="AP2" t="str">
        <f>INDEX('Historical Luck'!$A$7:$A$36,MATCH(AQ2,'Historical Luck'!AT$7:AT$36,0))</f>
        <v>Los Angeles Lakers</v>
      </c>
      <c r="AQ2" s="5">
        <f>LARGE('Historical Luck'!AT$7:AT$36,ROWS(AQ$2:AQ2))</f>
        <v>7.0155397174283873E-2</v>
      </c>
      <c r="AR2" t="str">
        <f>INDEX('Historical Luck'!$A$7:$A$36,MATCH(AS2,'Historical Luck'!AT$7:AT$36,0))</f>
        <v>Philadelphia 76ers</v>
      </c>
      <c r="AS2" s="5">
        <f>SMALL('Historical Luck'!AT$7:AT$36,ROWS(AS$2:AS2))</f>
        <v>-0.12621661030911036</v>
      </c>
      <c r="AU2" t="str">
        <f>INDEX('Historical Luck'!$A$7:$A$36,MATCH(AV2,'Historical Luck'!AY$7:AY$36,0))</f>
        <v>Atlanta Hawks</v>
      </c>
      <c r="AV2" s="5">
        <f>LARGE('Historical Luck'!AY$7:AY$36,ROWS(AV$2:AV2))</f>
        <v>6.7492821872423781E-2</v>
      </c>
      <c r="AW2" t="str">
        <f>INDEX('Historical Luck'!$A$7:$A$36,MATCH(AX2,'Historical Luck'!AY$7:AY$36,0))</f>
        <v>Minnesota Timberwolves</v>
      </c>
      <c r="AX2" s="5">
        <f>SMALL('Historical Luck'!AY$7:AY$36,ROWS(AX$2:AX2))</f>
        <v>-7.776228095803947E-2</v>
      </c>
      <c r="AZ2" t="str">
        <f>INDEX('Historical Luck'!$A$7:$A$36,MATCH(BA2,'Historical Luck'!BD$7:BD$36,0))</f>
        <v>Los Angeles Clippers</v>
      </c>
      <c r="BA2" s="5">
        <f>LARGE('Historical Luck'!BD$7:BD$36,ROWS(BA$2:BA2))</f>
        <v>7.5364195191042926E-2</v>
      </c>
      <c r="BB2" t="str">
        <f>INDEX('Historical Luck'!$A$7:$A$36,MATCH(BC2,'Historical Luck'!BD$7:BD$36,0))</f>
        <v>San Antonio Spurs</v>
      </c>
      <c r="BC2" s="5">
        <f>SMALL('Historical Luck'!BD$7:BD$36,ROWS(BC$2:BC2))</f>
        <v>-7.0985651920962178E-2</v>
      </c>
      <c r="BE2" t="str">
        <f>INDEX('Historical Luck'!$A$7:$A$36,MATCH(BF2,'Historical Luck'!BI$7:BI$36,0))</f>
        <v>Los Angeles Lakers</v>
      </c>
      <c r="BF2" s="5">
        <f>LARGE('Historical Luck'!BI$7:BI$36,ROWS(BF$2:BF2))</f>
        <v>4.6835096698001677E-2</v>
      </c>
      <c r="BG2" t="str">
        <f>INDEX('Historical Luck'!$A$7:$A$36,MATCH(BH2,'Historical Luck'!BI$7:BI$36,0))</f>
        <v>Milwaukee Bucks</v>
      </c>
      <c r="BH2" s="5">
        <f>SMALL('Historical Luck'!BI$7:BI$36,ROWS(BH$2:BH2))</f>
        <v>-4.4818699055997835E-2</v>
      </c>
      <c r="BJ2" t="str">
        <f>INDEX('Historical Luck'!$A$7:$A$36,MATCH(BK2,'Historical Luck'!BN$7:BN$36,0))</f>
        <v>Brooklyn Nets</v>
      </c>
      <c r="BK2" s="5">
        <f>LARGE('Historical Luck'!BN$7:BN$36,ROWS(BK$2:BK2))</f>
        <v>9.5952660992265182E-2</v>
      </c>
      <c r="BL2" t="str">
        <f>INDEX('Historical Luck'!$A$7:$A$36,MATCH(BM2,'Historical Luck'!BN$7:BN$36,0))</f>
        <v>Toronto Raptors</v>
      </c>
      <c r="BM2" s="5">
        <f>SMALL('Historical Luck'!BN$7:BN$36,ROWS(BM$2:BM2))</f>
        <v>-0.10570534367617157</v>
      </c>
      <c r="BO2" t="str">
        <f>INDEX('Historical Luck'!$A$7:$A$36,MATCH(BP2,'Historical Luck'!BS$7:BS$36,0))</f>
        <v>Miami Heat</v>
      </c>
      <c r="BP2" s="5">
        <f>LARGE('Historical Luck'!BS$7:BS$36,ROWS(BP$2:BP2))</f>
        <v>7.1137009860446576E-2</v>
      </c>
      <c r="BQ2" t="str">
        <f>INDEX('Historical Luck'!$A$7:$A$36,MATCH(BR2,'Historical Luck'!BS$7:BS$36,0))</f>
        <v>Boston Celtics</v>
      </c>
      <c r="BR2" s="5">
        <f>SMALL('Historical Luck'!BS$7:BS$36,ROWS(BR$2:BR2))</f>
        <v>-8.3667637354902957E-2</v>
      </c>
      <c r="BT2" t="str">
        <f>INDEX('Historical Luck'!$A$7:$A$36,MATCH(BU2,'Historical Luck'!BX$7:BX$36,0))</f>
        <v>Utah Jazz</v>
      </c>
      <c r="BU2" s="5">
        <f>LARGE('Historical Luck'!BX$7:BX$36,ROWS(BU$2:BU2))</f>
        <v>9.7198580168780024E-2</v>
      </c>
      <c r="BV2" t="str">
        <f>INDEX('Historical Luck'!$A$7:$A$36,MATCH(BW2,'Historical Luck'!BX$7:BX$36,0))</f>
        <v>Indiana Pacers</v>
      </c>
      <c r="BW2" s="5">
        <f>SMALL('Historical Luck'!BX$7:BX$36,ROWS(BW$2:BW2))</f>
        <v>-7.2019356396974432E-2</v>
      </c>
      <c r="BY2" t="str">
        <f>INDEX('Historical Luck'!$A$7:$A$36,MATCH(BZ2,'Historical Luck'!CC$7:CC$36,0))</f>
        <v>Brooklyn Nets</v>
      </c>
      <c r="BZ2" s="5">
        <f>LARGE('Historical Luck'!CC$7:CC$36,ROWS(BZ$2:BZ2))</f>
        <v>6.9605106024153818E-2</v>
      </c>
      <c r="CA2" t="str">
        <f>INDEX('Historical Luck'!$A$7:$A$36,MATCH(CB2,'Historical Luck'!CC$7:CC$36,0))</f>
        <v>Charlotte Hornets</v>
      </c>
      <c r="CB2" s="5">
        <f>SMALL('Historical Luck'!CC$7:CC$36,ROWS(CB$2:CB2))</f>
        <v>-7.6740725309020569E-2</v>
      </c>
      <c r="CD2" t="str">
        <f>INDEX('Historical Luck'!$A$7:$A$36,MATCH(CE2,'Historical Luck'!CH$7:CH$36,0))</f>
        <v>Utah Jazz</v>
      </c>
      <c r="CE2" s="5">
        <f>LARGE('Historical Luck'!CH$7:CH$36,ROWS(CE$2:CE2))</f>
        <v>5.777303948552176E-2</v>
      </c>
      <c r="CF2" t="str">
        <f>INDEX('Historical Luck'!$A$7:$A$36,MATCH(CG2,'Historical Luck'!CH$7:CH$36,0))</f>
        <v>San Antonio Spurs</v>
      </c>
      <c r="CG2" s="5">
        <f>SMALL('Historical Luck'!CH$7:CH$36,ROWS(CG$2:CG2))</f>
        <v>-5.8950294572395423E-2</v>
      </c>
      <c r="CI2" t="str">
        <f>INDEX('Historical Luck'!$A$7:$A$36,MATCH(CJ2,'Historical Luck'!CM$7:CM$36,0))</f>
        <v>Boston Celtics</v>
      </c>
      <c r="CJ2" s="5">
        <f>LARGE('Historical Luck'!CM$7:CM$36,ROWS(CJ$2:CJ2))</f>
        <v>5.1967909551218827E-2</v>
      </c>
      <c r="CK2" t="str">
        <f>INDEX('Historical Luck'!$A$7:$A$36,MATCH(CL2,'Historical Luck'!CM$7:CM$36,0))</f>
        <v>Brooklyn Nets</v>
      </c>
      <c r="CL2" s="5">
        <f>SMALL('Historical Luck'!CM$7:CM$36,ROWS(CL$2:CL2))</f>
        <v>-9.0911377938743376E-2</v>
      </c>
    </row>
    <row r="3" spans="1:91" x14ac:dyDescent="0.25">
      <c r="B3" t="str">
        <f>INDEX('Historical Luck'!$A$7:$A$36,MATCH(C3,'Historical Luck'!F$7:F$36,0))</f>
        <v>Cleveland Cavaliers</v>
      </c>
      <c r="C3" s="5">
        <f>LARGE('Historical Luck'!F$7:F$36,ROWS(C$2:C3))</f>
        <v>5.4356733479587083E-2</v>
      </c>
      <c r="D3" t="str">
        <f>INDEX('Historical Luck'!$A$7:$A$36,MATCH(E3,'Historical Luck'!F$7:F$36,0))</f>
        <v>Detroit Pistons</v>
      </c>
      <c r="E3" s="5">
        <f>SMALL('Historical Luck'!F$7:F$36,ROWS(E$2:E3))</f>
        <v>-6.5184018582097492E-2</v>
      </c>
      <c r="G3" t="str">
        <f>INDEX('Historical Luck'!$A$7:$A$36,MATCH(H3,'Historical Luck'!K$7:K$36,0))</f>
        <v>Atlanta Hawks</v>
      </c>
      <c r="H3" s="5">
        <f>LARGE('Historical Luck'!K$7:K$36,ROWS(H$2:H3))</f>
        <v>5.5197475190408685E-2</v>
      </c>
      <c r="I3" t="str">
        <f>INDEX('Historical Luck'!$A$7:$A$36,MATCH(J3,'Historical Luck'!K$7:K$36,0))</f>
        <v>Boston Celtics</v>
      </c>
      <c r="J3" s="5">
        <f>SMALL('Historical Luck'!K$7:K$36,ROWS(J$2:J3))</f>
        <v>-5.8910957514683004E-2</v>
      </c>
      <c r="L3" t="str">
        <f>INDEX('Historical Luck'!$A$7:$A$36,MATCH(M3,'Historical Luck'!P$7:P$36,0))</f>
        <v>Sacramento Kings</v>
      </c>
      <c r="M3" s="5">
        <f>LARGE('Historical Luck'!P$7:P$36,ROWS(M$2:M3))</f>
        <v>7.2602426978416401E-2</v>
      </c>
      <c r="N3" t="str">
        <f>INDEX('Historical Luck'!$A$7:$A$36,MATCH(O3,'Historical Luck'!P$7:P$36,0))</f>
        <v>Utah Jazz</v>
      </c>
      <c r="O3" s="5">
        <f>SMALL('Historical Luck'!P$7:P$36,ROWS(O$2:O3))</f>
        <v>-7.339817333008003E-2</v>
      </c>
      <c r="Q3" t="str">
        <f>INDEX('Historical Luck'!$A$7:$A$36,MATCH(R3,'Historical Luck'!U$7:U$36,0))</f>
        <v>Atlanta Hawks</v>
      </c>
      <c r="R3" s="5">
        <f>LARGE('Historical Luck'!U$7:U$36,ROWS(R$2:R3))</f>
        <v>5.3784129949199344E-2</v>
      </c>
      <c r="S3" t="str">
        <f>INDEX('Historical Luck'!$A$7:$A$36,MATCH(T3,'Historical Luck'!U$7:U$36,0))</f>
        <v>Charlotte Hornets</v>
      </c>
      <c r="T3" s="5">
        <f>SMALL('Historical Luck'!U$7:U$36,ROWS(T$2:T3))</f>
        <v>-6.8368929448641647E-2</v>
      </c>
      <c r="V3" t="str">
        <f>INDEX('Historical Luck'!$A$7:$A$36,MATCH(W3,'Historical Luck'!Z$7:Z$36,0))</f>
        <v>Golden State Warriors</v>
      </c>
      <c r="W3" s="5">
        <f>LARGE('Historical Luck'!Z$7:Z$36,ROWS(W$2:W3))</f>
        <v>7.5049573745950227E-2</v>
      </c>
      <c r="X3" t="str">
        <f>INDEX('Historical Luck'!$A$7:$A$36,MATCH(Y3,'Historical Luck'!Z$7:Z$36,0))</f>
        <v>Oklahoma City Thunder</v>
      </c>
      <c r="Y3" s="5">
        <f>SMALL('Historical Luck'!Z$7:Z$36,ROWS(Y$2:Y3))</f>
        <v>-6.5794441698932338E-2</v>
      </c>
      <c r="AA3" t="str">
        <f>INDEX('Historical Luck'!$A$7:$A$36,MATCH(AB3,'Historical Luck'!AE$7:AE$36,0))</f>
        <v>Houston Rockets</v>
      </c>
      <c r="AB3" s="5">
        <f>LARGE('Historical Luck'!AE$7:AE$36,ROWS(AB$2:AB3))</f>
        <v>6.3651169308302058E-2</v>
      </c>
      <c r="AC3" t="str">
        <f>INDEX('Historical Luck'!$A$7:$A$36,MATCH(AD3,'Historical Luck'!AE$7:AE$36,0))</f>
        <v>Indiana Pacers</v>
      </c>
      <c r="AD3" s="5">
        <f>SMALL('Historical Luck'!AE$7:AE$36,ROWS(AD$2:AD3))</f>
        <v>-4.8293128713086497E-2</v>
      </c>
      <c r="AF3" t="str">
        <f>INDEX('Historical Luck'!$A$7:$A$36,MATCH(AG3,'Historical Luck'!AJ$7:AJ$36,0))</f>
        <v>Memphis Grizzlies</v>
      </c>
      <c r="AG3" s="5">
        <f>LARGE('Historical Luck'!AJ$7:AJ$36,ROWS(AG$2:AG3))</f>
        <v>5.214531213491691E-2</v>
      </c>
      <c r="AH3" t="str">
        <f>INDEX('Historical Luck'!$A$7:$A$36,MATCH(AI3,'Historical Luck'!AJ$7:AJ$36,0))</f>
        <v>Sacramento Kings</v>
      </c>
      <c r="AI3" s="5">
        <f>SMALL('Historical Luck'!AJ$7:AJ$36,ROWS(AI$2:AI3))</f>
        <v>-5.543356284939932E-2</v>
      </c>
      <c r="AK3" t="str">
        <f>INDEX('Historical Luck'!$A$7:$A$36,MATCH(AL3,'Historical Luck'!AO$7:AO$36,0))</f>
        <v>Miami Heat</v>
      </c>
      <c r="AL3" s="5">
        <f>LARGE('Historical Luck'!AO$7:AO$36,ROWS(AL$2:AL3))</f>
        <v>4.6086038292485365E-2</v>
      </c>
      <c r="AM3" t="str">
        <f>INDEX('Historical Luck'!$A$7:$A$36,MATCH(AN3,'Historical Luck'!AO$7:AO$36,0))</f>
        <v>Oklahoma City Thunder</v>
      </c>
      <c r="AN3" s="5">
        <f>SMALL('Historical Luck'!AO$7:AO$36,ROWS(AN$2:AN3))</f>
        <v>-5.5051979831378772E-2</v>
      </c>
      <c r="AP3" t="str">
        <f>INDEX('Historical Luck'!$A$7:$A$36,MATCH(AQ3,'Historical Luck'!AT$7:AT$36,0))</f>
        <v>Cleveland Cavaliers</v>
      </c>
      <c r="AQ3" s="5">
        <f>LARGE('Historical Luck'!AT$7:AT$36,ROWS(AQ$2:AQ3))</f>
        <v>5.8782933681749472E-2</v>
      </c>
      <c r="AR3" t="str">
        <f>INDEX('Historical Luck'!$A$7:$A$36,MATCH(AS3,'Historical Luck'!AT$7:AT$36,0))</f>
        <v>New York Knicks</v>
      </c>
      <c r="AS3" s="5">
        <f>SMALL('Historical Luck'!AT$7:AT$36,ROWS(AS$2:AS3))</f>
        <v>-6.6488749369514766E-2</v>
      </c>
      <c r="AU3" t="str">
        <f>INDEX('Historical Luck'!$A$7:$A$36,MATCH(AV3,'Historical Luck'!AY$7:AY$36,0))</f>
        <v>Charlotte Hornets</v>
      </c>
      <c r="AV3" s="5">
        <f>LARGE('Historical Luck'!AY$7:AY$36,ROWS(AV$2:AV3))</f>
        <v>6.3246665716600758E-2</v>
      </c>
      <c r="AW3" t="str">
        <f>INDEX('Historical Luck'!$A$7:$A$36,MATCH(AX3,'Historical Luck'!AY$7:AY$36,0))</f>
        <v>Orlando Magic</v>
      </c>
      <c r="AX3" s="5">
        <f>SMALL('Historical Luck'!AY$7:AY$36,ROWS(AX$2:AX3))</f>
        <v>-6.2497547796885211E-2</v>
      </c>
      <c r="AZ3" t="str">
        <f>INDEX('Historical Luck'!$A$7:$A$36,MATCH(BA3,'Historical Luck'!BD$7:BD$36,0))</f>
        <v>Dallas Mavericks</v>
      </c>
      <c r="BA3" s="5">
        <f>LARGE('Historical Luck'!BD$7:BD$36,ROWS(BA$2:BA3))</f>
        <v>7.3703687238658167E-2</v>
      </c>
      <c r="BB3" t="str">
        <f>INDEX('Historical Luck'!$A$7:$A$36,MATCH(BC3,'Historical Luck'!BD$7:BD$36,0))</f>
        <v>Golden State Warriors</v>
      </c>
      <c r="BC3" s="5">
        <f>SMALL('Historical Luck'!BD$7:BD$36,ROWS(BC$2:BC3))</f>
        <v>-6.5643362898508417E-2</v>
      </c>
      <c r="BE3" t="str">
        <f>INDEX('Historical Luck'!$A$7:$A$36,MATCH(BF3,'Historical Luck'!BI$7:BI$36,0))</f>
        <v>Dallas Mavericks</v>
      </c>
      <c r="BF3" s="5">
        <f>LARGE('Historical Luck'!BI$7:BI$36,ROWS(BF$2:BF3))</f>
        <v>4.1499388882377253E-2</v>
      </c>
      <c r="BG3" t="str">
        <f>INDEX('Historical Luck'!$A$7:$A$36,MATCH(BH3,'Historical Luck'!BI$7:BI$36,0))</f>
        <v>Minnesota Timberwolves</v>
      </c>
      <c r="BH3" s="5">
        <f>SMALL('Historical Luck'!BI$7:BI$36,ROWS(BH$2:BH3))</f>
        <v>-3.5544111085348384E-2</v>
      </c>
      <c r="BJ3" t="str">
        <f>INDEX('Historical Luck'!$A$7:$A$36,MATCH(BK3,'Historical Luck'!BN$7:BN$36,0))</f>
        <v>Cleveland Cavaliers</v>
      </c>
      <c r="BK3" s="5">
        <f>LARGE('Historical Luck'!BN$7:BN$36,ROWS(BK$2:BK3))</f>
        <v>6.0352684219060204E-2</v>
      </c>
      <c r="BL3" t="str">
        <f>INDEX('Historical Luck'!$A$7:$A$36,MATCH(BM3,'Historical Luck'!BN$7:BN$36,0))</f>
        <v>Utah Jazz</v>
      </c>
      <c r="BM3" s="5">
        <f>SMALL('Historical Luck'!BN$7:BN$36,ROWS(BM$2:BM3))</f>
        <v>-6.8497228080845352E-2</v>
      </c>
      <c r="BO3" t="str">
        <f>INDEX('Historical Luck'!$A$7:$A$36,MATCH(BP3,'Historical Luck'!BS$7:BS$36,0))</f>
        <v>Dallas Mavericks</v>
      </c>
      <c r="BP3" s="5">
        <f>LARGE('Historical Luck'!BS$7:BS$36,ROWS(BP$2:BP3))</f>
        <v>7.0646365396507815E-2</v>
      </c>
      <c r="BQ3" t="str">
        <f>INDEX('Historical Luck'!$A$7:$A$36,MATCH(BR3,'Historical Luck'!BS$7:BS$36,0))</f>
        <v>Chicago Bulls</v>
      </c>
      <c r="BR3" s="5">
        <f>SMALL('Historical Luck'!BS$7:BS$36,ROWS(BR$2:BR3))</f>
        <v>-8.1196779832849786E-2</v>
      </c>
      <c r="BT3" t="str">
        <f>INDEX('Historical Luck'!$A$7:$A$36,MATCH(BU3,'Historical Luck'!BX$7:BX$36,0))</f>
        <v>New Orleans Pelicans</v>
      </c>
      <c r="BU3" s="5">
        <f>LARGE('Historical Luck'!BX$7:BX$36,ROWS(BU$2:BU3))</f>
        <v>6.6926262670782777E-2</v>
      </c>
      <c r="BV3" t="str">
        <f>INDEX('Historical Luck'!$A$7:$A$36,MATCH(BW3,'Historical Luck'!BX$7:BX$36,0))</f>
        <v>Toronto Raptors</v>
      </c>
      <c r="BW3" s="5">
        <f>SMALL('Historical Luck'!BX$7:BX$36,ROWS(BW$2:BW3))</f>
        <v>-7.1990535747871121E-2</v>
      </c>
      <c r="BY3" t="str">
        <f>INDEX('Historical Luck'!$A$7:$A$36,MATCH(BZ3,'Historical Luck'!CC$7:CC$36,0))</f>
        <v>Washington Wizards</v>
      </c>
      <c r="BZ3" s="5">
        <f>LARGE('Historical Luck'!CC$7:CC$36,ROWS(BZ$2:BZ3))</f>
        <v>5.9593291864733833E-2</v>
      </c>
      <c r="CA3" t="str">
        <f>INDEX('Historical Luck'!$A$7:$A$36,MATCH(CB3,'Historical Luck'!CC$7:CC$36,0))</f>
        <v>San Antonio Spurs</v>
      </c>
      <c r="CB3" s="5">
        <f>SMALL('Historical Luck'!CC$7:CC$36,ROWS(CB$2:CB3))</f>
        <v>-4.8927213908423695E-2</v>
      </c>
      <c r="CD3" t="str">
        <f>INDEX('Historical Luck'!$A$7:$A$36,MATCH(CE3,'Historical Luck'!CH$7:CH$36,0))</f>
        <v>Portland Trail Blazers</v>
      </c>
      <c r="CE3" s="5">
        <f>LARGE('Historical Luck'!CH$7:CH$36,ROWS(CE$2:CE3))</f>
        <v>4.8458269504544904E-2</v>
      </c>
      <c r="CF3" t="str">
        <f>INDEX('Historical Luck'!$A$7:$A$36,MATCH(CG3,'Historical Luck'!CH$7:CH$36,0))</f>
        <v>Detroit Pistons</v>
      </c>
      <c r="CG3" s="5">
        <f>SMALL('Historical Luck'!CH$7:CH$36,ROWS(CG$2:CG3))</f>
        <v>-5.3820724037637269E-2</v>
      </c>
      <c r="CI3" t="str">
        <f>INDEX('Historical Luck'!$A$7:$A$36,MATCH(CJ3,'Historical Luck'!CM$7:CM$36,0))</f>
        <v>Atlanta Hawks</v>
      </c>
      <c r="CJ3" s="5">
        <f>LARGE('Historical Luck'!CM$7:CM$36,ROWS(CJ$2:CJ3))</f>
        <v>5.1328307818243823E-2</v>
      </c>
      <c r="CK3" t="str">
        <f>INDEX('Historical Luck'!$A$7:$A$36,MATCH(CL3,'Historical Luck'!CM$7:CM$36,0))</f>
        <v>Memphis Grizzlies</v>
      </c>
      <c r="CL3" s="5">
        <f>SMALL('Historical Luck'!CM$7:CM$36,ROWS(CL$2:CL3))</f>
        <v>-4.8555837491354781E-2</v>
      </c>
    </row>
    <row r="4" spans="1:91" x14ac:dyDescent="0.25">
      <c r="B4" t="str">
        <f>INDEX('Historical Luck'!$A$7:$A$36,MATCH(C4,'Historical Luck'!F$7:F$36,0))</f>
        <v>Denver Nuggets</v>
      </c>
      <c r="C4" s="5">
        <f>LARGE('Historical Luck'!F$7:F$36,ROWS(C$2:C4))</f>
        <v>5.276853447691976E-2</v>
      </c>
      <c r="D4" t="str">
        <f>INDEX('Historical Luck'!$A$7:$A$36,MATCH(E4,'Historical Luck'!F$7:F$36,0))</f>
        <v>Minnesota Timberwolves</v>
      </c>
      <c r="E4" s="5">
        <f>SMALL('Historical Luck'!F$7:F$36,ROWS(E$2:E4))</f>
        <v>-5.8468023862789209E-2</v>
      </c>
      <c r="G4" t="str">
        <f>INDEX('Historical Luck'!$A$7:$A$36,MATCH(H4,'Historical Luck'!K$7:K$36,0))</f>
        <v>Chicago Bulls</v>
      </c>
      <c r="H4" s="5">
        <f>LARGE('Historical Luck'!K$7:K$36,ROWS(H$2:H4))</f>
        <v>4.8292626826968638E-2</v>
      </c>
      <c r="I4" t="str">
        <f>INDEX('Historical Luck'!$A$7:$A$36,MATCH(J4,'Historical Luck'!K$7:K$36,0))</f>
        <v>Dallas Mavericks</v>
      </c>
      <c r="J4" s="5">
        <f>SMALL('Historical Luck'!K$7:K$36,ROWS(J$2:J4))</f>
        <v>-5.3551920756544302E-2</v>
      </c>
      <c r="L4" t="str">
        <f>INDEX('Historical Luck'!$A$7:$A$36,MATCH(M4,'Historical Luck'!P$7:P$36,0))</f>
        <v>Chicago Bulls</v>
      </c>
      <c r="M4" s="5">
        <f>LARGE('Historical Luck'!P$7:P$36,ROWS(M$2:M4))</f>
        <v>6.7437716176579843E-2</v>
      </c>
      <c r="N4" t="str">
        <f>INDEX('Historical Luck'!$A$7:$A$36,MATCH(O4,'Historical Luck'!P$7:P$36,0))</f>
        <v>Charlotte Hornets</v>
      </c>
      <c r="O4" s="5">
        <f>SMALL('Historical Luck'!P$7:P$36,ROWS(O$2:O4))</f>
        <v>-6.8194179747233796E-2</v>
      </c>
      <c r="Q4" t="str">
        <f>INDEX('Historical Luck'!$A$7:$A$36,MATCH(R4,'Historical Luck'!U$7:U$36,0))</f>
        <v>Boston Celtics</v>
      </c>
      <c r="R4" s="5">
        <f>LARGE('Historical Luck'!U$7:U$36,ROWS(R$2:R4))</f>
        <v>5.299383513213296E-2</v>
      </c>
      <c r="S4" t="str">
        <f>INDEX('Historical Luck'!$A$7:$A$36,MATCH(T4,'Historical Luck'!U$7:U$36,0))</f>
        <v>Miami Heat</v>
      </c>
      <c r="T4" s="5">
        <f>SMALL('Historical Luck'!U$7:U$36,ROWS(T$2:T4))</f>
        <v>-4.1287147413840319E-2</v>
      </c>
      <c r="V4" t="str">
        <f>INDEX('Historical Luck'!$A$7:$A$36,MATCH(W4,'Historical Luck'!Z$7:Z$36,0))</f>
        <v>Chicago Bulls</v>
      </c>
      <c r="W4" s="5">
        <f>LARGE('Historical Luck'!Z$7:Z$36,ROWS(W$2:W4))</f>
        <v>6.6807040204231061E-2</v>
      </c>
      <c r="X4" t="str">
        <f>INDEX('Historical Luck'!$A$7:$A$36,MATCH(Y4,'Historical Luck'!Z$7:Z$36,0))</f>
        <v>Philadelphia 76ers</v>
      </c>
      <c r="Y4" s="5">
        <f>SMALL('Historical Luck'!Z$7:Z$36,ROWS(Y$2:Y4))</f>
        <v>-6.1055238753784602E-2</v>
      </c>
      <c r="AA4" t="str">
        <f>INDEX('Historical Luck'!$A$7:$A$36,MATCH(AB4,'Historical Luck'!AE$7:AE$36,0))</f>
        <v>Memphis Grizzlies</v>
      </c>
      <c r="AB4" s="5">
        <f>LARGE('Historical Luck'!AE$7:AE$36,ROWS(AB$2:AB4))</f>
        <v>5.2258823632824303E-2</v>
      </c>
      <c r="AC4" t="str">
        <f>INDEX('Historical Luck'!$A$7:$A$36,MATCH(AD4,'Historical Luck'!AE$7:AE$36,0))</f>
        <v>Utah Jazz</v>
      </c>
      <c r="AD4" s="5">
        <f>SMALL('Historical Luck'!AE$7:AE$36,ROWS(AD$2:AD4))</f>
        <v>-4.4699837609060988E-2</v>
      </c>
      <c r="AF4" t="str">
        <f>INDEX('Historical Luck'!$A$7:$A$36,MATCH(AG4,'Historical Luck'!AJ$7:AJ$36,0))</f>
        <v>Utah Jazz</v>
      </c>
      <c r="AG4" s="5">
        <f>LARGE('Historical Luck'!AJ$7:AJ$36,ROWS(AG$2:AG4))</f>
        <v>5.1396810643746182E-2</v>
      </c>
      <c r="AH4" t="str">
        <f>INDEX('Historical Luck'!$A$7:$A$36,MATCH(AI4,'Historical Luck'!AJ$7:AJ$36,0))</f>
        <v>Milwaukee Bucks</v>
      </c>
      <c r="AI4" s="5">
        <f>SMALL('Historical Luck'!AJ$7:AJ$36,ROWS(AI$2:AI4))</f>
        <v>-4.5426298032810036E-2</v>
      </c>
      <c r="AK4" t="str">
        <f>INDEX('Historical Luck'!$A$7:$A$36,MATCH(AL4,'Historical Luck'!AO$7:AO$36,0))</f>
        <v>Golden State Warriors</v>
      </c>
      <c r="AL4" s="5">
        <f>LARGE('Historical Luck'!AO$7:AO$36,ROWS(AL$2:AL4))</f>
        <v>4.0984042227825812E-2</v>
      </c>
      <c r="AM4" t="str">
        <f>INDEX('Historical Luck'!$A$7:$A$36,MATCH(AN4,'Historical Luck'!AO$7:AO$36,0))</f>
        <v>Washington Wizards</v>
      </c>
      <c r="AN4" s="5">
        <f>SMALL('Historical Luck'!AO$7:AO$36,ROWS(AN$2:AN4))</f>
        <v>-4.85158539810015E-2</v>
      </c>
      <c r="AP4" t="str">
        <f>INDEX('Historical Luck'!$A$7:$A$36,MATCH(AQ4,'Historical Luck'!AT$7:AT$36,0))</f>
        <v>Detroit Pistons</v>
      </c>
      <c r="AQ4" s="5">
        <f>LARGE('Historical Luck'!AT$7:AT$36,ROWS(AQ$2:AQ4))</f>
        <v>5.2621782449107923E-2</v>
      </c>
      <c r="AR4" t="str">
        <f>INDEX('Historical Luck'!$A$7:$A$36,MATCH(AS4,'Historical Luck'!AT$7:AT$36,0))</f>
        <v>Portland Trail Blazers</v>
      </c>
      <c r="AS4" s="5">
        <f>SMALL('Historical Luck'!AT$7:AT$36,ROWS(AS$2:AS4))</f>
        <v>-5.4349575131300232E-2</v>
      </c>
      <c r="AU4" t="str">
        <f>INDEX('Historical Luck'!$A$7:$A$36,MATCH(AV4,'Historical Luck'!AY$7:AY$36,0))</f>
        <v>San Antonio Spurs</v>
      </c>
      <c r="AV4" s="5">
        <f>LARGE('Historical Luck'!AY$7:AY$36,ROWS(AV$2:AV4))</f>
        <v>4.905990288619444E-2</v>
      </c>
      <c r="AW4" t="str">
        <f>INDEX('Historical Luck'!$A$7:$A$36,MATCH(AX4,'Historical Luck'!AY$7:AY$36,0))</f>
        <v>Philadelphia 76ers</v>
      </c>
      <c r="AX4" s="5">
        <f>SMALL('Historical Luck'!AY$7:AY$36,ROWS(AX$2:AX4))</f>
        <v>-5.5357426145838717E-2</v>
      </c>
      <c r="AZ4" t="str">
        <f>INDEX('Historical Luck'!$A$7:$A$36,MATCH(BA4,'Historical Luck'!BD$7:BD$36,0))</f>
        <v>Chicago Bulls</v>
      </c>
      <c r="BA4" s="5">
        <f>LARGE('Historical Luck'!BD$7:BD$36,ROWS(BA$2:BA4))</f>
        <v>5.9512287343269132E-2</v>
      </c>
      <c r="BB4" t="str">
        <f>INDEX('Historical Luck'!$A$7:$A$36,MATCH(BC4,'Historical Luck'!BD$7:BD$36,0))</f>
        <v>Brooklyn Nets</v>
      </c>
      <c r="BC4" s="5">
        <f>SMALL('Historical Luck'!BD$7:BD$36,ROWS(BC$2:BC4))</f>
        <v>-5.4964195545662231E-2</v>
      </c>
      <c r="BE4" t="str">
        <f>INDEX('Historical Luck'!$A$7:$A$36,MATCH(BF4,'Historical Luck'!BI$7:BI$36,0))</f>
        <v>New Orleans Pelicans</v>
      </c>
      <c r="BF4" s="5">
        <f>LARGE('Historical Luck'!BI$7:BI$36,ROWS(BF$2:BF4))</f>
        <v>4.0569869439098349E-2</v>
      </c>
      <c r="BG4" t="str">
        <f>INDEX('Historical Luck'!$A$7:$A$36,MATCH(BH4,'Historical Luck'!BI$7:BI$36,0))</f>
        <v>Portland Trail Blazers</v>
      </c>
      <c r="BH4" s="5">
        <f>SMALL('Historical Luck'!BI$7:BI$36,ROWS(BH$2:BH4))</f>
        <v>-3.1217353352675059E-2</v>
      </c>
      <c r="BJ4" t="str">
        <f>INDEX('Historical Luck'!$A$7:$A$36,MATCH(BK4,'Historical Luck'!BN$7:BN$36,0))</f>
        <v>Milwaukee Bucks</v>
      </c>
      <c r="BK4" s="5">
        <f>LARGE('Historical Luck'!BN$7:BN$36,ROWS(BK$2:BK4))</f>
        <v>4.8935120596111548E-2</v>
      </c>
      <c r="BL4" t="str">
        <f>INDEX('Historical Luck'!$A$7:$A$36,MATCH(BM4,'Historical Luck'!BN$7:BN$36,0))</f>
        <v>Orlando Magic</v>
      </c>
      <c r="BM4" s="5">
        <f>SMALL('Historical Luck'!BN$7:BN$36,ROWS(BM$2:BM4))</f>
        <v>-5.3898063123696938E-2</v>
      </c>
      <c r="BO4" t="str">
        <f>INDEX('Historical Luck'!$A$7:$A$36,MATCH(BP4,'Historical Luck'!BS$7:BS$36,0))</f>
        <v>Portland Trail Blazers</v>
      </c>
      <c r="BP4" s="5">
        <f>LARGE('Historical Luck'!BS$7:BS$36,ROWS(BP$2:BP4))</f>
        <v>4.5966075385848515E-2</v>
      </c>
      <c r="BQ4" t="str">
        <f>INDEX('Historical Luck'!$A$7:$A$36,MATCH(BR4,'Historical Luck'!BS$7:BS$36,0))</f>
        <v>San Antonio Spurs</v>
      </c>
      <c r="BR4" s="5">
        <f>SMALL('Historical Luck'!BS$7:BS$36,ROWS(BR$2:BR4))</f>
        <v>-7.6711563904791835E-2</v>
      </c>
      <c r="BT4" t="str">
        <f>INDEX('Historical Luck'!$A$7:$A$36,MATCH(BU4,'Historical Luck'!BX$7:BX$36,0))</f>
        <v>Portland Trail Blazers</v>
      </c>
      <c r="BU4" s="5">
        <f>LARGE('Historical Luck'!BX$7:BX$36,ROWS(BU$2:BU4))</f>
        <v>6.4820094298120523E-2</v>
      </c>
      <c r="BV4" t="str">
        <f>INDEX('Historical Luck'!$A$7:$A$36,MATCH(BW4,'Historical Luck'!BX$7:BX$36,0))</f>
        <v>Washington Wizards</v>
      </c>
      <c r="BW4" s="5">
        <f>SMALL('Historical Luck'!BX$7:BX$36,ROWS(BW$2:BW4))</f>
        <v>-5.4512090457869977E-2</v>
      </c>
      <c r="BY4" t="str">
        <f>INDEX('Historical Luck'!$A$7:$A$36,MATCH(BZ4,'Historical Luck'!CC$7:CC$36,0))</f>
        <v>Philadelphia 76ers</v>
      </c>
      <c r="BZ4" s="5">
        <f>LARGE('Historical Luck'!CC$7:CC$36,ROWS(BZ$2:BZ4))</f>
        <v>5.2548596732393149E-2</v>
      </c>
      <c r="CA4" t="str">
        <f>INDEX('Historical Luck'!$A$7:$A$36,MATCH(CB4,'Historical Luck'!CC$7:CC$36,0))</f>
        <v>Memphis Grizzlies</v>
      </c>
      <c r="CB4" s="5">
        <f>SMALL('Historical Luck'!CC$7:CC$36,ROWS(CB$2:CB4))</f>
        <v>-3.8711524378094886E-2</v>
      </c>
      <c r="CD4" t="str">
        <f>INDEX('Historical Luck'!$A$7:$A$36,MATCH(CE4,'Historical Luck'!CH$7:CH$36,0))</f>
        <v>Los Angeles Lakers</v>
      </c>
      <c r="CE4" s="5">
        <f>LARGE('Historical Luck'!CH$7:CH$36,ROWS(CE$2:CE4))</f>
        <v>4.8006450785120891E-2</v>
      </c>
      <c r="CF4" t="str">
        <f>INDEX('Historical Luck'!$A$7:$A$36,MATCH(CG4,'Historical Luck'!CH$7:CH$36,0))</f>
        <v>Milwaukee Bucks</v>
      </c>
      <c r="CG4" s="5">
        <f>SMALL('Historical Luck'!CH$7:CH$36,ROWS(CG$2:CG4))</f>
        <v>-3.4976823283327296E-2</v>
      </c>
      <c r="CI4" t="str">
        <f>INDEX('Historical Luck'!$A$7:$A$36,MATCH(CJ4,'Historical Luck'!CM$7:CM$36,0))</f>
        <v>Minnesota Timberwolves</v>
      </c>
      <c r="CJ4" s="5">
        <f>LARGE('Historical Luck'!CM$7:CM$36,ROWS(CJ$2:CJ4))</f>
        <v>4.7316400483133347E-2</v>
      </c>
      <c r="CK4" t="str">
        <f>INDEX('Historical Luck'!$A$7:$A$36,MATCH(CL4,'Historical Luck'!CM$7:CM$36,0))</f>
        <v>Indiana Pacers</v>
      </c>
      <c r="CL4" s="5">
        <f>SMALL('Historical Luck'!CM$7:CM$36,ROWS(CL$2:CL4))</f>
        <v>-4.0330741806850146E-2</v>
      </c>
    </row>
    <row r="5" spans="1:91" x14ac:dyDescent="0.25">
      <c r="B5" s="282" t="s">
        <v>176</v>
      </c>
      <c r="C5" s="282"/>
      <c r="D5" s="282"/>
      <c r="E5" s="39" t="s">
        <v>49</v>
      </c>
      <c r="F5" s="148">
        <v>16.348977449389992</v>
      </c>
      <c r="G5" s="282" t="s">
        <v>178</v>
      </c>
      <c r="H5" s="282"/>
      <c r="I5" s="282"/>
      <c r="J5" s="39" t="s">
        <v>49</v>
      </c>
      <c r="K5" s="148">
        <f>AVERAGE(G7:H36)/$C$37</f>
        <v>16.266325585942372</v>
      </c>
      <c r="L5" s="282" t="s">
        <v>182</v>
      </c>
      <c r="M5" s="282"/>
      <c r="N5" s="282"/>
      <c r="O5" s="39" t="s">
        <v>49</v>
      </c>
      <c r="P5" s="148">
        <f>AVERAGE(L7:M36)/$C$37</f>
        <v>15.554885652195654</v>
      </c>
      <c r="Q5" s="282" t="s">
        <v>183</v>
      </c>
      <c r="R5" s="282"/>
      <c r="S5" s="282"/>
      <c r="T5" s="39" t="s">
        <v>49</v>
      </c>
      <c r="U5" s="148">
        <f>AVERAGE(Q7:R36)/$C$37</f>
        <v>15.446389843245246</v>
      </c>
      <c r="V5" s="282" t="s">
        <v>184</v>
      </c>
      <c r="W5" s="282"/>
      <c r="X5" s="282"/>
      <c r="Y5" s="39" t="s">
        <v>49</v>
      </c>
      <c r="Z5" s="148">
        <f>AVERAGE(V7:W36)/$C$37</f>
        <v>15.018745688415999</v>
      </c>
      <c r="AA5" s="282" t="s">
        <v>185</v>
      </c>
      <c r="AB5" s="282"/>
      <c r="AC5" s="282"/>
      <c r="AD5" s="39" t="s">
        <v>49</v>
      </c>
      <c r="AE5" s="148">
        <f>AVERAGE(AA7:AB36)/$C$37</f>
        <v>14.630842695067463</v>
      </c>
      <c r="AF5" s="282" t="s">
        <v>187</v>
      </c>
      <c r="AG5" s="282"/>
      <c r="AH5" s="282"/>
      <c r="AI5" s="39" t="s">
        <v>49</v>
      </c>
      <c r="AJ5" s="148">
        <f>AVERAGE(AF7:AG36)/$C$37</f>
        <v>14.776397746625646</v>
      </c>
      <c r="AK5" s="282" t="s">
        <v>252</v>
      </c>
      <c r="AL5" s="282"/>
      <c r="AM5" s="282"/>
      <c r="AN5" s="39" t="s">
        <v>49</v>
      </c>
      <c r="AO5" s="148">
        <f>AVERAGE(AK7:AL36)/$C$37</f>
        <v>14.355580294382046</v>
      </c>
      <c r="AP5" s="282" t="s">
        <v>253</v>
      </c>
      <c r="AQ5" s="282"/>
      <c r="AR5" s="282"/>
      <c r="AS5" s="39" t="s">
        <v>49</v>
      </c>
      <c r="AT5" s="148">
        <f>AVERAGE(AP7:AQ36)/$C$37</f>
        <v>14.081536947729775</v>
      </c>
      <c r="AU5" s="282" t="s">
        <v>254</v>
      </c>
      <c r="AV5" s="282"/>
      <c r="AW5" s="282"/>
      <c r="AX5" s="39" t="s">
        <v>49</v>
      </c>
      <c r="AY5" s="148">
        <f>AVERAGE(AU7:AV36)/$C$37</f>
        <v>14.563063290824282</v>
      </c>
      <c r="AZ5" s="282" t="s">
        <v>263</v>
      </c>
      <c r="BA5" s="282"/>
      <c r="BB5" s="282"/>
      <c r="BC5" s="39" t="s">
        <v>49</v>
      </c>
      <c r="BD5" s="148">
        <f>AVERAGE(AZ7:BA36)/$C$37</f>
        <v>14.694477315597924</v>
      </c>
      <c r="BE5" s="282" t="s">
        <v>256</v>
      </c>
      <c r="BF5" s="282"/>
      <c r="BG5" s="282"/>
      <c r="BH5" s="39" t="s">
        <v>49</v>
      </c>
      <c r="BI5" s="148">
        <f>AVERAGE(BE7:BF36)/$C$37</f>
        <v>14.620846451995629</v>
      </c>
      <c r="BJ5" s="282" t="s">
        <v>257</v>
      </c>
      <c r="BK5" s="282"/>
      <c r="BL5" s="282"/>
      <c r="BM5" s="39" t="s">
        <v>49</v>
      </c>
      <c r="BN5" s="148">
        <f>AVERAGE(BJ7:BK36)/$C$37</f>
        <v>14.617189289896176</v>
      </c>
      <c r="BO5" s="282" t="s">
        <v>258</v>
      </c>
      <c r="BP5" s="282"/>
      <c r="BQ5" s="282"/>
      <c r="BR5" s="39" t="s">
        <v>49</v>
      </c>
      <c r="BS5" s="148">
        <f>AVERAGE(BO7:BP36)/$C$37</f>
        <v>14.443352184768891</v>
      </c>
      <c r="BT5" s="282" t="s">
        <v>259</v>
      </c>
      <c r="BU5" s="282"/>
      <c r="BV5" s="282"/>
      <c r="BW5" s="39" t="s">
        <v>49</v>
      </c>
      <c r="BX5" s="148">
        <f>AVERAGE(BT7:BU36)/$C$37</f>
        <v>14.191251810713336</v>
      </c>
      <c r="BY5" s="282" t="s">
        <v>260</v>
      </c>
      <c r="BZ5" s="282"/>
      <c r="CA5" s="282"/>
      <c r="CB5" s="39" t="s">
        <v>49</v>
      </c>
      <c r="CC5" s="148">
        <f>AVERAGE(BY7:BZ36)/$C$37</f>
        <v>14.218314810249277</v>
      </c>
      <c r="CD5" s="282" t="s">
        <v>261</v>
      </c>
      <c r="CE5" s="282"/>
      <c r="CF5" s="282"/>
      <c r="CG5" s="39" t="s">
        <v>49</v>
      </c>
      <c r="CH5" s="148">
        <f>AVERAGE(CD7:CE36)/$C$37</f>
        <v>13.663157603552472</v>
      </c>
      <c r="CI5" s="282" t="s">
        <v>262</v>
      </c>
      <c r="CJ5" s="282"/>
      <c r="CK5" s="282"/>
      <c r="CL5" s="39" t="s">
        <v>49</v>
      </c>
      <c r="CM5" s="148">
        <f>AVERAGE(CI7:CJ36)/$C$37</f>
        <v>13.909322445556963</v>
      </c>
    </row>
    <row r="6" spans="1:91" x14ac:dyDescent="0.25">
      <c r="A6" t="s">
        <v>65</v>
      </c>
      <c r="B6" t="s">
        <v>5</v>
      </c>
      <c r="C6" t="s">
        <v>6</v>
      </c>
      <c r="D6" t="s">
        <v>3</v>
      </c>
      <c r="E6" s="6" t="s">
        <v>180</v>
      </c>
      <c r="F6" s="6" t="s">
        <v>181</v>
      </c>
      <c r="G6" t="s">
        <v>5</v>
      </c>
      <c r="H6" t="s">
        <v>6</v>
      </c>
      <c r="I6" t="s">
        <v>3</v>
      </c>
      <c r="J6" s="6" t="s">
        <v>180</v>
      </c>
      <c r="K6" s="6" t="s">
        <v>181</v>
      </c>
      <c r="L6" t="s">
        <v>5</v>
      </c>
      <c r="M6" t="s">
        <v>6</v>
      </c>
      <c r="N6" t="s">
        <v>3</v>
      </c>
      <c r="O6" s="6" t="s">
        <v>180</v>
      </c>
      <c r="P6" s="6" t="s">
        <v>181</v>
      </c>
      <c r="Q6" t="s">
        <v>5</v>
      </c>
      <c r="R6" t="s">
        <v>6</v>
      </c>
      <c r="S6" t="s">
        <v>3</v>
      </c>
      <c r="T6" s="6" t="s">
        <v>180</v>
      </c>
      <c r="U6" s="6" t="s">
        <v>181</v>
      </c>
      <c r="V6" t="s">
        <v>5</v>
      </c>
      <c r="W6" t="s">
        <v>6</v>
      </c>
      <c r="X6" t="s">
        <v>3</v>
      </c>
      <c r="Y6" s="6" t="s">
        <v>180</v>
      </c>
      <c r="Z6" s="6" t="s">
        <v>181</v>
      </c>
      <c r="AA6" t="s">
        <v>5</v>
      </c>
      <c r="AB6" t="s">
        <v>6</v>
      </c>
      <c r="AC6" t="s">
        <v>3</v>
      </c>
      <c r="AD6" s="6" t="s">
        <v>180</v>
      </c>
      <c r="AE6" s="6" t="s">
        <v>181</v>
      </c>
      <c r="AF6" t="s">
        <v>5</v>
      </c>
      <c r="AG6" t="s">
        <v>6</v>
      </c>
      <c r="AH6" t="s">
        <v>3</v>
      </c>
      <c r="AI6" s="6" t="s">
        <v>180</v>
      </c>
      <c r="AJ6" s="6" t="s">
        <v>181</v>
      </c>
      <c r="AK6" t="s">
        <v>5</v>
      </c>
      <c r="AL6" t="s">
        <v>6</v>
      </c>
      <c r="AM6" t="s">
        <v>3</v>
      </c>
      <c r="AN6" s="6" t="s">
        <v>180</v>
      </c>
      <c r="AO6" s="6" t="s">
        <v>181</v>
      </c>
      <c r="AP6" t="s">
        <v>5</v>
      </c>
      <c r="AQ6" t="s">
        <v>6</v>
      </c>
      <c r="AR6" t="s">
        <v>3</v>
      </c>
      <c r="AS6" s="6" t="s">
        <v>180</v>
      </c>
      <c r="AT6" s="6" t="s">
        <v>181</v>
      </c>
      <c r="AU6" t="s">
        <v>5</v>
      </c>
      <c r="AV6" t="s">
        <v>6</v>
      </c>
      <c r="AW6" t="s">
        <v>3</v>
      </c>
      <c r="AX6" s="6" t="s">
        <v>180</v>
      </c>
      <c r="AY6" s="6" t="s">
        <v>181</v>
      </c>
      <c r="AZ6" t="s">
        <v>5</v>
      </c>
      <c r="BA6" t="s">
        <v>6</v>
      </c>
      <c r="BB6" t="s">
        <v>3</v>
      </c>
      <c r="BC6" s="6" t="s">
        <v>180</v>
      </c>
      <c r="BD6" s="6" t="s">
        <v>181</v>
      </c>
      <c r="BE6" t="s">
        <v>5</v>
      </c>
      <c r="BF6" t="s">
        <v>6</v>
      </c>
      <c r="BG6" t="s">
        <v>3</v>
      </c>
      <c r="BH6" s="6" t="s">
        <v>180</v>
      </c>
      <c r="BI6" s="6" t="s">
        <v>181</v>
      </c>
      <c r="BJ6" t="s">
        <v>5</v>
      </c>
      <c r="BK6" t="s">
        <v>6</v>
      </c>
      <c r="BL6" t="s">
        <v>3</v>
      </c>
      <c r="BM6" s="6" t="s">
        <v>180</v>
      </c>
      <c r="BN6" s="6" t="s">
        <v>181</v>
      </c>
      <c r="BO6" t="s">
        <v>5</v>
      </c>
      <c r="BP6" t="s">
        <v>6</v>
      </c>
      <c r="BQ6" t="s">
        <v>3</v>
      </c>
      <c r="BR6" s="6" t="s">
        <v>180</v>
      </c>
      <c r="BS6" s="6" t="s">
        <v>181</v>
      </c>
      <c r="BT6" t="s">
        <v>5</v>
      </c>
      <c r="BU6" t="s">
        <v>6</v>
      </c>
      <c r="BV6" t="s">
        <v>3</v>
      </c>
      <c r="BW6" s="6" t="s">
        <v>180</v>
      </c>
      <c r="BX6" s="6" t="s">
        <v>181</v>
      </c>
      <c r="BY6" t="s">
        <v>5</v>
      </c>
      <c r="BZ6" t="s">
        <v>6</v>
      </c>
      <c r="CA6" t="s">
        <v>3</v>
      </c>
      <c r="CB6" s="6" t="s">
        <v>180</v>
      </c>
      <c r="CC6" s="6" t="s">
        <v>181</v>
      </c>
      <c r="CD6" t="s">
        <v>5</v>
      </c>
      <c r="CE6" t="s">
        <v>6</v>
      </c>
      <c r="CF6" t="s">
        <v>3</v>
      </c>
      <c r="CG6" s="6" t="s">
        <v>180</v>
      </c>
      <c r="CH6" s="6" t="s">
        <v>181</v>
      </c>
      <c r="CI6" t="s">
        <v>5</v>
      </c>
      <c r="CJ6" t="s">
        <v>6</v>
      </c>
      <c r="CK6" t="s">
        <v>3</v>
      </c>
      <c r="CL6" s="6" t="s">
        <v>180</v>
      </c>
      <c r="CM6" s="6" t="s">
        <v>181</v>
      </c>
    </row>
    <row r="7" spans="1:91" x14ac:dyDescent="0.25">
      <c r="A7" s="1" t="s">
        <v>150</v>
      </c>
      <c r="B7" s="1">
        <f>IFERROR(VLOOKUP(A7,East2020[],6,FALSE),VLOOKUP(A7,West2020[],6,FALSE))</f>
        <v>111.8</v>
      </c>
      <c r="C7" s="1">
        <f>IFERROR(VLOOKUP(A7,East2020[],7,FALSE),VLOOKUP(A7,West2020[],7,FALSE))</f>
        <v>119.7</v>
      </c>
      <c r="D7">
        <f>IFERROR(VLOOKUP(A7,East2020[],4,FALSE),VLOOKUP(A7,West2020[],4,FALSE))</f>
        <v>0.29899999999999999</v>
      </c>
      <c r="E7" s="4">
        <f>B7^F$5/(B7^$F$5+C7^$F$5)</f>
        <v>0.24670567750409608</v>
      </c>
      <c r="F7" s="5">
        <f>D7-E7</f>
        <v>5.2294322495903905E-2</v>
      </c>
      <c r="G7" s="1">
        <f>IFERROR(VLOOKUP($A7,East2019[],6,FALSE),VLOOKUP($A7,West2019[],6,FALSE))</f>
        <v>113.3</v>
      </c>
      <c r="H7" s="1">
        <f>IFERROR(VLOOKUP($A7,East2019[],7,FALSE),VLOOKUP($A7,West2019[],7,FALSE))</f>
        <v>119.4</v>
      </c>
      <c r="I7">
        <f>IFERROR(VLOOKUP($A7,East2019[],4,FALSE),VLOOKUP($A7,West2019[],4,FALSE))</f>
        <v>0.35399999999999998</v>
      </c>
      <c r="J7" s="4">
        <f>G7^K$5/(G7^K$5+H7^K$5)</f>
        <v>0.2988025248095913</v>
      </c>
      <c r="K7" s="5">
        <f>I7-J7</f>
        <v>5.5197475190408685E-2</v>
      </c>
      <c r="L7" s="1">
        <f>IFERROR(VLOOKUP($A7,East2018[],6,FALSE),VLOOKUP($A7,West2018[],6,FALSE))</f>
        <v>103.4</v>
      </c>
      <c r="M7" s="1">
        <f>IFERROR(VLOOKUP($A7,East2018[],7,FALSE),VLOOKUP($A7,West2018[],7,FALSE))</f>
        <v>108.8</v>
      </c>
      <c r="N7">
        <f>IFERROR(VLOOKUP($A7,East2018[],4,FALSE),VLOOKUP($A7,West2018[],4,FALSE))</f>
        <v>0.29299999999999998</v>
      </c>
      <c r="O7" s="4">
        <f>L7^P$5/(L7^P$5+M7^P$5)</f>
        <v>0.31177312136920532</v>
      </c>
      <c r="P7" s="5">
        <f>N7-O7</f>
        <v>-1.8773121369205337E-2</v>
      </c>
      <c r="Q7" s="1">
        <f>IFERROR(VLOOKUP($A7,East2017[],6,FALSE),VLOOKUP($A7,West2017[],6,FALSE))</f>
        <v>103.2</v>
      </c>
      <c r="R7" s="1">
        <f>IFERROR(VLOOKUP($A7,East2017[],7,FALSE),VLOOKUP($A7,West2017[],7,FALSE))</f>
        <v>104</v>
      </c>
      <c r="S7">
        <f>IFERROR(VLOOKUP($A7,East2017[],4,FALSE),VLOOKUP($A7,West2017[],4,FALSE))</f>
        <v>0.52400000000000002</v>
      </c>
      <c r="T7" s="4">
        <f>Q7^U$5/(Q7^U$5+R7^U$5)</f>
        <v>0.47021587005080068</v>
      </c>
      <c r="U7" s="5">
        <f>S7-T7</f>
        <v>5.3784129949199344E-2</v>
      </c>
      <c r="V7" s="1">
        <f>IFERROR(VLOOKUP($A7,East2016[],6,FALSE),VLOOKUP($A7,West2016[],6,FALSE))</f>
        <v>102.8</v>
      </c>
      <c r="W7" s="1">
        <f>IFERROR(VLOOKUP($A7,East2016[],7,FALSE),VLOOKUP($A7,West2016[],7,FALSE))</f>
        <v>99.2</v>
      </c>
      <c r="X7">
        <f>IFERROR(VLOOKUP($A7,East2016[],4,FALSE),VLOOKUP($A7,West2016[],4,FALSE))</f>
        <v>0.58499999999999996</v>
      </c>
      <c r="Y7" s="4">
        <f>V7^Z$5/(V7^Z$5+W7^Z$5)</f>
        <v>0.63073664253888972</v>
      </c>
      <c r="Z7" s="5">
        <f>X7-Y7</f>
        <v>-4.573664253888976E-2</v>
      </c>
      <c r="AA7" s="1">
        <f>IFERROR(VLOOKUP($A7,East2015[],6,FALSE),VLOOKUP($A7,West2015[],6,FALSE))</f>
        <v>102.5</v>
      </c>
      <c r="AB7" s="1">
        <f>IFERROR(VLOOKUP($A7,East2015[],7,FALSE),VLOOKUP($A7,West2015[],7,FALSE))</f>
        <v>97.1</v>
      </c>
      <c r="AC7">
        <f>IFERROR(VLOOKUP($A7,East2015[],4,FALSE),VLOOKUP($A7,West2015[],4,FALSE))</f>
        <v>0.73199999999999998</v>
      </c>
      <c r="AD7" s="4">
        <f>AA7^AE$5/(AA7^AE$5+AB7^AE$5)</f>
        <v>0.6882267133312302</v>
      </c>
      <c r="AE7" s="5">
        <f>AC7-AD7</f>
        <v>4.3773286668769784E-2</v>
      </c>
      <c r="AF7" s="1">
        <f>IFERROR(VLOOKUP($A7,East2014[],6,FALSE),VLOOKUP($A7,West2014[],6,FALSE))</f>
        <v>101</v>
      </c>
      <c r="AG7" s="1">
        <f>IFERROR(VLOOKUP($A7,East2014[],7,FALSE),VLOOKUP($A7,West2014[],7,FALSE))</f>
        <v>101.5</v>
      </c>
      <c r="AH7">
        <f>IFERROR(VLOOKUP($A7,East2014[],4,FALSE),VLOOKUP($A7,West2014[],4,FALSE))</f>
        <v>0.46300000000000002</v>
      </c>
      <c r="AI7" s="4">
        <f>AF7^AJ$5/(AF7^AJ$5+AG7^AJ$5)</f>
        <v>0.48176558680338588</v>
      </c>
      <c r="AJ7" s="5">
        <f>AH7-AI7</f>
        <v>-1.8765586803385859E-2</v>
      </c>
      <c r="AK7" s="1">
        <f>IFERROR(VLOOKUP($A7,East2013[],6,FALSE),VLOOKUP($A7,West2013[],6,FALSE))</f>
        <v>98</v>
      </c>
      <c r="AL7" s="1">
        <f>IFERROR(VLOOKUP($A7,East2013[],7,FALSE),VLOOKUP($A7,West2013[],7,FALSE))</f>
        <v>97.5</v>
      </c>
      <c r="AM7">
        <f>IFERROR(VLOOKUP($A7,East2013[],4,FALSE),VLOOKUP($A7,West2013[],4,FALSE))</f>
        <v>0.53700000000000003</v>
      </c>
      <c r="AN7" s="4">
        <f>AK7^AO$5/(AK7^AO$5+AL7^AO$5)</f>
        <v>0.51834931536588258</v>
      </c>
      <c r="AO7" s="5">
        <f>AM7-AN7</f>
        <v>1.8650684634117454E-2</v>
      </c>
      <c r="AP7" s="1">
        <f>IFERROR(VLOOKUP($A7,East2012[],6,FALSE),VLOOKUP($A7,West2012[],6,FALSE))</f>
        <v>96.6</v>
      </c>
      <c r="AQ7" s="1">
        <f>IFERROR(VLOOKUP($A7,East2012[],7,FALSE),VLOOKUP($A7,West2012[],7,FALSE))</f>
        <v>93.2</v>
      </c>
      <c r="AR7">
        <f>IFERROR(VLOOKUP($A7,East2012[],4,FALSE),VLOOKUP($A7,West2012[],4,FALSE))</f>
        <v>0.60599999999999998</v>
      </c>
      <c r="AS7" s="4">
        <f>AP7^AT$5/(AP7^AT$5+AQ7^AT$5)</f>
        <v>0.62352936824167138</v>
      </c>
      <c r="AT7" s="5">
        <f>AR7-AS7</f>
        <v>-1.7529368241671395E-2</v>
      </c>
      <c r="AU7" s="1">
        <f>IFERROR(VLOOKUP($A7,East2011[],6,FALSE),VLOOKUP($A7,West2011[],6,FALSE))</f>
        <v>95</v>
      </c>
      <c r="AV7" s="1">
        <f>IFERROR(VLOOKUP($A7,East2011[],7,FALSE),VLOOKUP($A7,West2011[],7,FALSE))</f>
        <v>95.8</v>
      </c>
      <c r="AW7">
        <f>IFERROR(VLOOKUP($A7,East2011[],4,FALSE),VLOOKUP($A7,West2011[],4,FALSE))</f>
        <v>0.53700000000000003</v>
      </c>
      <c r="AX7" s="4">
        <f>AU7^AY$5/(AU7^AY$5+AV7^AY$5)</f>
        <v>0.46950717812757625</v>
      </c>
      <c r="AY7" s="5">
        <f>AW7-AX7</f>
        <v>6.7492821872423781E-2</v>
      </c>
      <c r="AZ7" s="1">
        <f>IFERROR(VLOOKUP($A7,East2010[],6,FALSE),VLOOKUP($A7,West2010[],6,FALSE))</f>
        <v>101.7</v>
      </c>
      <c r="BA7" s="1">
        <f>IFERROR(VLOOKUP($A7,East2010[],7,FALSE),VLOOKUP($A7,West2010[],7,FALSE))</f>
        <v>97</v>
      </c>
      <c r="BB7">
        <f>IFERROR(VLOOKUP($A7,East2010[],4,FALSE),VLOOKUP($A7,West2010[],4,FALSE))</f>
        <v>0.64600000000000002</v>
      </c>
      <c r="BC7" s="4">
        <f>AZ7^BD$5/(AZ7^BD$5+BA7^BD$5)</f>
        <v>0.66714238052183217</v>
      </c>
      <c r="BD7" s="5">
        <f>BB7-BC7</f>
        <v>-2.1142380521832149E-2</v>
      </c>
      <c r="BE7" s="1">
        <f>IFERROR(VLOOKUP($A7,East2009[],6,FALSE),VLOOKUP($A7,West2009[],6,FALSE))</f>
        <v>98.1</v>
      </c>
      <c r="BF7" s="1">
        <f>IFERROR(VLOOKUP($A7,East2009[],7,FALSE),VLOOKUP($A7,West2009[],7,FALSE))</f>
        <v>96.5</v>
      </c>
      <c r="BG7">
        <f>IFERROR(VLOOKUP($A7,East2009[],4,FALSE),VLOOKUP($A7,West2009[],4,FALSE))</f>
        <v>0.57299999999999995</v>
      </c>
      <c r="BH7" s="4">
        <f>BE7^BI$5/(BE7^BI$5+BF7^BI$5)</f>
        <v>0.55981972088011378</v>
      </c>
      <c r="BI7" s="5">
        <f>BG7-BH7</f>
        <v>1.3180279119886174E-2</v>
      </c>
      <c r="BJ7" s="1">
        <f>IFERROR(VLOOKUP($A7,East2008[],6,FALSE),VLOOKUP($A7,West2008[],6,FALSE))</f>
        <v>98.2</v>
      </c>
      <c r="BK7" s="1">
        <f>IFERROR(VLOOKUP($A7,East2008[],7,FALSE),VLOOKUP($A7,West2008[],7,FALSE))</f>
        <v>100</v>
      </c>
      <c r="BL7">
        <f>IFERROR(VLOOKUP($A7,East2008[],4,FALSE),VLOOKUP($A7,West2008[],4,FALSE))</f>
        <v>0.45100000000000001</v>
      </c>
      <c r="BM7" s="4">
        <f>BJ7^BN$5/(BJ7^BN$5+BK7^BN$5)</f>
        <v>0.4340106480056321</v>
      </c>
      <c r="BN7" s="5">
        <f>BL7-BM7</f>
        <v>1.6989351994367907E-2</v>
      </c>
      <c r="BO7" s="1">
        <f>IFERROR(VLOOKUP($A7,East2007[],6,FALSE),VLOOKUP($A7,West2007[],6,FALSE))</f>
        <v>93.7</v>
      </c>
      <c r="BP7" s="1">
        <f>IFERROR(VLOOKUP($A7,East2007[],7,FALSE),VLOOKUP($A7,West2007[],7,FALSE))</f>
        <v>98.4</v>
      </c>
      <c r="BQ7">
        <f>IFERROR(VLOOKUP($A7,East2007[],4,FALSE),VLOOKUP($A7,West2007[],4,FALSE))</f>
        <v>0.36599999999999999</v>
      </c>
      <c r="BR7" s="4">
        <f>BO7^BS$5/(BO7^BS$5+BP7^BS$5)</f>
        <v>0.33028520085766189</v>
      </c>
      <c r="BS7" s="5">
        <f>BQ7-BR7</f>
        <v>3.5714799142338105E-2</v>
      </c>
      <c r="BT7" s="1">
        <f>IFERROR(VLOOKUP($A7,East2006[],6,FALSE),VLOOKUP($A7,West2006[],6,FALSE))</f>
        <v>97.2</v>
      </c>
      <c r="BU7" s="1">
        <f>IFERROR(VLOOKUP($A7,East2006[],7,FALSE),VLOOKUP($A7,West2006[],7,FALSE))</f>
        <v>102</v>
      </c>
      <c r="BV7">
        <f>IFERROR(VLOOKUP($A7,East2006[],4,FALSE),VLOOKUP($A7,West2006[],4,FALSE))</f>
        <v>0.317</v>
      </c>
      <c r="BW7" s="4">
        <f>BT7^BX$5/(BT7^BX$5+BU7^BX$5)</f>
        <v>0.33535839389519745</v>
      </c>
      <c r="BX7" s="5">
        <f>BV7-BW7</f>
        <v>-1.8358393895197445E-2</v>
      </c>
      <c r="BY7" s="1">
        <f>IFERROR(VLOOKUP($A7,East2005[],6,FALSE),VLOOKUP($A7,West2005[],6,FALSE))</f>
        <v>92.7</v>
      </c>
      <c r="BZ7" s="1">
        <f>IFERROR(VLOOKUP($A7,East2005[],7,FALSE),VLOOKUP($A7,West2005[],7,FALSE))</f>
        <v>102.5</v>
      </c>
      <c r="CA7">
        <f>IFERROR(VLOOKUP($A7,East2005[],4,FALSE),VLOOKUP($A7,West2005[],4,FALSE))</f>
        <v>0.159</v>
      </c>
      <c r="CB7" s="4">
        <f>BY7^CC$5/(BY7^CC$5+BZ7^CC$5)</f>
        <v>0.1932763772282399</v>
      </c>
      <c r="CC7" s="5">
        <f>CA7-CB7</f>
        <v>-3.4276377228239896E-2</v>
      </c>
      <c r="CD7" s="1">
        <f>IFERROR(VLOOKUP($A7,East2004[],6,FALSE),VLOOKUP($A7,West2004[],6,FALSE))</f>
        <v>92.8</v>
      </c>
      <c r="CE7" s="1">
        <f>IFERROR(VLOOKUP($A7,East2004[],7,FALSE),VLOOKUP($A7,West2004[],7,FALSE))</f>
        <v>97.5</v>
      </c>
      <c r="CF7">
        <f>IFERROR(VLOOKUP($A7,East2004[],4,FALSE),VLOOKUP($A7,West2004[],4,FALSE))</f>
        <v>0.34100000000000003</v>
      </c>
      <c r="CG7" s="4">
        <f>CD7^CH$5/(CD7^CH$5+CE7^CH$5)</f>
        <v>0.33736958115305665</v>
      </c>
      <c r="CH7" s="5">
        <f>CF7-CG7</f>
        <v>3.6304188469433729E-3</v>
      </c>
      <c r="CI7" s="1">
        <f>IFERROR(VLOOKUP($A7,East2003[],6,FALSE),VLOOKUP($A7,West2003[],6,FALSE))</f>
        <v>94.1</v>
      </c>
      <c r="CJ7" s="1">
        <f>IFERROR(VLOOKUP($A7,East2003[],7,FALSE),VLOOKUP($A7,West2003[],7,FALSE))</f>
        <v>97.6</v>
      </c>
      <c r="CK7">
        <f>IFERROR(VLOOKUP($A7,East2003[],4,FALSE),VLOOKUP($A7,West2003[],4,FALSE))</f>
        <v>0.42699999999999999</v>
      </c>
      <c r="CL7" s="4">
        <f>CI7^CM$5/(CI7^CM$5+CJ7^CM$5)</f>
        <v>0.37567169218175617</v>
      </c>
      <c r="CM7" s="5">
        <f>CK7-CL7</f>
        <v>5.1328307818243823E-2</v>
      </c>
    </row>
    <row r="8" spans="1:91" x14ac:dyDescent="0.25">
      <c r="A8" s="1" t="s">
        <v>130</v>
      </c>
      <c r="B8" s="1">
        <f>IFERROR(VLOOKUP(A8,East2020[],6,FALSE),VLOOKUP(A8,West2020[],6,FALSE))</f>
        <v>113.7</v>
      </c>
      <c r="C8" s="1">
        <f>IFERROR(VLOOKUP(A8,East2020[],7,FALSE),VLOOKUP(A8,West2020[],7,FALSE))</f>
        <v>107.3</v>
      </c>
      <c r="D8">
        <f>IFERROR(VLOOKUP(A8,East2020[],4,FALSE),VLOOKUP(A8,West2020[],4,FALSE))</f>
        <v>0.66700000000000004</v>
      </c>
      <c r="E8" s="4">
        <f t="shared" ref="E8:E36" si="0">B8^F$5/(B8^$F$5+C8^$F$5)</f>
        <v>0.72054647945359362</v>
      </c>
      <c r="F8" s="5">
        <f t="shared" ref="F8:F36" si="1">D8-E8</f>
        <v>-5.3546479453593587E-2</v>
      </c>
      <c r="G8" s="1">
        <f>IFERROR(VLOOKUP($A8,East2019[],6,FALSE),VLOOKUP($A8,West2019[],6,FALSE))</f>
        <v>112.4</v>
      </c>
      <c r="H8" s="1">
        <f>IFERROR(VLOOKUP($A8,East2019[],7,FALSE),VLOOKUP($A8,West2019[],7,FALSE))</f>
        <v>108</v>
      </c>
      <c r="I8">
        <f>IFERROR(VLOOKUP($A8,East2019[],4,FALSE),VLOOKUP($A8,West2019[],4,FALSE))</f>
        <v>0.59799999999999998</v>
      </c>
      <c r="J8" s="4">
        <f t="shared" ref="J8:J36" si="2">G8^K$5/(G8^K$5+H8^K$5)</f>
        <v>0.65691095751468298</v>
      </c>
      <c r="K8" s="5">
        <f t="shared" ref="K8:K36" si="3">I8-J8</f>
        <v>-5.8910957514683004E-2</v>
      </c>
      <c r="L8" s="1">
        <f>IFERROR(VLOOKUP($A8,East2018[],6,FALSE),VLOOKUP($A8,West2018[],6,FALSE))</f>
        <v>104</v>
      </c>
      <c r="M8" s="1">
        <f>IFERROR(VLOOKUP($A8,East2018[],7,FALSE),VLOOKUP($A8,West2018[],7,FALSE))</f>
        <v>100.4</v>
      </c>
      <c r="N8">
        <f>IFERROR(VLOOKUP($A8,East2018[],4,FALSE),VLOOKUP($A8,West2018[],4,FALSE))</f>
        <v>0.67100000000000004</v>
      </c>
      <c r="O8" s="4">
        <f t="shared" ref="O8:O36" si="4">L8^P$5/(L8^P$5+M8^P$5)</f>
        <v>0.63366640803383378</v>
      </c>
      <c r="P8" s="5">
        <f t="shared" ref="P8:P36" si="5">N8-O8</f>
        <v>3.7333591966166257E-2</v>
      </c>
      <c r="Q8" s="1">
        <f>IFERROR(VLOOKUP($A8,East2017[],6,FALSE),VLOOKUP($A8,West2017[],6,FALSE))</f>
        <v>108</v>
      </c>
      <c r="R8" s="1">
        <f>IFERROR(VLOOKUP($A8,East2017[],7,FALSE),VLOOKUP($A8,West2017[],7,FALSE))</f>
        <v>105.4</v>
      </c>
      <c r="S8">
        <f>IFERROR(VLOOKUP($A8,East2017[],4,FALSE),VLOOKUP($A8,West2017[],4,FALSE))</f>
        <v>0.64600000000000002</v>
      </c>
      <c r="T8" s="4">
        <f t="shared" ref="T8:T36" si="6">Q8^U$5/(Q8^U$5+R8^U$5)</f>
        <v>0.59300616486786706</v>
      </c>
      <c r="U8" s="5">
        <f t="shared" ref="U8:U36" si="7">S8-T8</f>
        <v>5.299383513213296E-2</v>
      </c>
      <c r="V8" s="1">
        <f>IFERROR(VLOOKUP($A8,East2016[],6,FALSE),VLOOKUP($A8,West2016[],6,FALSE))</f>
        <v>105.7</v>
      </c>
      <c r="W8" s="1">
        <f>IFERROR(VLOOKUP($A8,East2016[],7,FALSE),VLOOKUP($A8,West2016[],7,FALSE))</f>
        <v>102.5</v>
      </c>
      <c r="X8">
        <f>IFERROR(VLOOKUP($A8,East2016[],4,FALSE),VLOOKUP($A8,West2016[],4,FALSE))</f>
        <v>0.58499999999999996</v>
      </c>
      <c r="Y8" s="4">
        <f t="shared" ref="Y8:Y36" si="8">V8^Z$5/(V8^Z$5+W8^Z$5)</f>
        <v>0.61341921087431983</v>
      </c>
      <c r="Z8" s="5">
        <f t="shared" ref="Z8:Z36" si="9">X8-Y8</f>
        <v>-2.8419210874319867E-2</v>
      </c>
      <c r="AA8" s="1">
        <f>IFERROR(VLOOKUP($A8,East2015[],6,FALSE),VLOOKUP($A8,West2015[],6,FALSE))</f>
        <v>101.4</v>
      </c>
      <c r="AB8" s="1">
        <f>IFERROR(VLOOKUP($A8,East2015[],7,FALSE),VLOOKUP($A8,West2015[],7,FALSE))</f>
        <v>101.2</v>
      </c>
      <c r="AC8">
        <f>IFERROR(VLOOKUP($A8,East2015[],4,FALSE),VLOOKUP($A8,West2015[],4,FALSE))</f>
        <v>0.48799999999999999</v>
      </c>
      <c r="AD8" s="4">
        <f t="shared" ref="AD8:AD36" si="10">AA8^AE$5/(AA8^AE$5+AB8^AE$5)</f>
        <v>0.50722104155351599</v>
      </c>
      <c r="AE8" s="5">
        <f t="shared" ref="AE8:AE36" si="11">AC8-AD8</f>
        <v>-1.9221041553516005E-2</v>
      </c>
      <c r="AF8" s="1">
        <f>IFERROR(VLOOKUP($A8,East2014[],6,FALSE),VLOOKUP($A8,West2014[],6,FALSE))</f>
        <v>96.2</v>
      </c>
      <c r="AG8" s="1">
        <f>IFERROR(VLOOKUP($A8,East2014[],7,FALSE),VLOOKUP($A8,West2014[],7,FALSE))</f>
        <v>100.7</v>
      </c>
      <c r="AH8">
        <f>IFERROR(VLOOKUP($A8,East2014[],4,FALSE),VLOOKUP($A8,West2014[],4,FALSE))</f>
        <v>0.30499999999999999</v>
      </c>
      <c r="AI8" s="4">
        <f t="shared" ref="AI8:AI36" si="12">AF8^AJ$5/(AF8^AJ$5+AG8^AJ$5)</f>
        <v>0.33726095638718889</v>
      </c>
      <c r="AJ8" s="5">
        <f t="shared" ref="AJ8:AJ36" si="13">AH8-AI8</f>
        <v>-3.2260956387188899E-2</v>
      </c>
      <c r="AK8" s="1">
        <f>IFERROR(VLOOKUP($A8,East2013[],6,FALSE),VLOOKUP($A8,West2013[],6,FALSE))</f>
        <v>96.5</v>
      </c>
      <c r="AL8" s="1">
        <f>IFERROR(VLOOKUP($A8,East2013[],7,FALSE),VLOOKUP($A8,West2013[],7,FALSE))</f>
        <v>96.7</v>
      </c>
      <c r="AM8">
        <f>IFERROR(VLOOKUP($A8,East2013[],4,FALSE),VLOOKUP($A8,West2013[],4,FALSE))</f>
        <v>0.50600000000000001</v>
      </c>
      <c r="AN8" s="4">
        <f t="shared" ref="AN8:AN36" si="14">AK8^AO$5/(AK8^AO$5+AL8^AO$5)</f>
        <v>0.49257011970533593</v>
      </c>
      <c r="AO8" s="5">
        <f t="shared" ref="AO8:AO36" si="15">AM8-AN8</f>
        <v>1.3429880294664076E-2</v>
      </c>
      <c r="AP8" s="1">
        <f>IFERROR(VLOOKUP($A8,East2012[],6,FALSE),VLOOKUP($A8,West2012[],6,FALSE))</f>
        <v>91.8</v>
      </c>
      <c r="AQ8" s="1">
        <f>IFERROR(VLOOKUP($A8,East2012[],7,FALSE),VLOOKUP($A8,West2012[],7,FALSE))</f>
        <v>89.3</v>
      </c>
      <c r="AR8">
        <f>IFERROR(VLOOKUP($A8,East2012[],4,FALSE),VLOOKUP($A8,West2012[],4,FALSE))</f>
        <v>0.59099999999999997</v>
      </c>
      <c r="AS8" s="4">
        <f t="shared" ref="AS8:AS36" si="16">AP8^AT$5/(AP8^AT$5+AQ8^AT$5)</f>
        <v>0.59599442546781856</v>
      </c>
      <c r="AT8" s="5">
        <f t="shared" ref="AT8:AT36" si="17">AR8-AS8</f>
        <v>-4.9944254678185862E-3</v>
      </c>
      <c r="AU8" s="1">
        <f>IFERROR(VLOOKUP($A8,East2011[],6,FALSE),VLOOKUP($A8,West2011[],6,FALSE))</f>
        <v>96.5</v>
      </c>
      <c r="AV8" s="1">
        <f>IFERROR(VLOOKUP($A8,East2011[],7,FALSE),VLOOKUP($A8,West2011[],7,FALSE))</f>
        <v>91.1</v>
      </c>
      <c r="AW8">
        <f>IFERROR(VLOOKUP($A8,East2011[],4,FALSE),VLOOKUP($A8,West2011[],4,FALSE))</f>
        <v>0.68300000000000005</v>
      </c>
      <c r="AX8" s="4">
        <f t="shared" ref="AX8:AX36" si="18">AU8^AY$5/(AU8^AY$5+AV8^AY$5)</f>
        <v>0.69817385431278112</v>
      </c>
      <c r="AY8" s="5">
        <f t="shared" ref="AY8:AY36" si="19">AW8-AX8</f>
        <v>-1.5173854312781065E-2</v>
      </c>
      <c r="AZ8" s="1">
        <f>IFERROR(VLOOKUP($A8,East2010[],6,FALSE),VLOOKUP($A8,West2010[],6,FALSE))</f>
        <v>99.2</v>
      </c>
      <c r="BA8" s="1">
        <f>IFERROR(VLOOKUP($A8,East2010[],7,FALSE),VLOOKUP($A8,West2010[],7,FALSE))</f>
        <v>95.6</v>
      </c>
      <c r="BB8">
        <f>IFERROR(VLOOKUP($A8,East2010[],4,FALSE),VLOOKUP($A8,West2010[],4,FALSE))</f>
        <v>0.61</v>
      </c>
      <c r="BC8" s="4">
        <f t="shared" ref="BC8:BC36" si="20">AZ8^BD$5/(AZ8^BD$5+BA8^BD$5)</f>
        <v>0.63255283430976106</v>
      </c>
      <c r="BD8" s="5">
        <f t="shared" ref="BD8:BD36" si="21">BB8-BC8</f>
        <v>-2.2552834309761072E-2</v>
      </c>
      <c r="BE8" s="1">
        <f>IFERROR(VLOOKUP($A8,East2009[],6,FALSE),VLOOKUP($A8,West2009[],6,FALSE))</f>
        <v>100.9</v>
      </c>
      <c r="BF8" s="1">
        <f>IFERROR(VLOOKUP($A8,East2009[],7,FALSE),VLOOKUP($A8,West2009[],7,FALSE))</f>
        <v>93.4</v>
      </c>
      <c r="BG8">
        <f>IFERROR(VLOOKUP($A8,East2009[],4,FALSE),VLOOKUP($A8,West2009[],4,FALSE))</f>
        <v>0.75600000000000001</v>
      </c>
      <c r="BH8" s="4">
        <f t="shared" ref="BH8:BH36" si="22">BE8^BI$5/(BE8^BI$5+BF8^BI$5)</f>
        <v>0.75570848411854641</v>
      </c>
      <c r="BI8" s="5">
        <f t="shared" ref="BI8:BI36" si="23">BG8-BH8</f>
        <v>2.9151588145359675E-4</v>
      </c>
      <c r="BJ8" s="1">
        <f>IFERROR(VLOOKUP($A8,East2008[],6,FALSE),VLOOKUP($A8,West2008[],6,FALSE))</f>
        <v>100.5</v>
      </c>
      <c r="BK8" s="1">
        <f>IFERROR(VLOOKUP($A8,East2008[],7,FALSE),VLOOKUP($A8,West2008[],7,FALSE))</f>
        <v>90.3</v>
      </c>
      <c r="BL8">
        <f>IFERROR(VLOOKUP($A8,East2008[],4,FALSE),VLOOKUP($A8,West2008[],4,FALSE))</f>
        <v>0.80500000000000005</v>
      </c>
      <c r="BM8" s="4">
        <f t="shared" ref="BM8:BM36" si="24">BJ8^BN$5/(BJ8^BN$5+BK8^BN$5)</f>
        <v>0.82697458928385459</v>
      </c>
      <c r="BN8" s="5">
        <f t="shared" ref="BN8:BN36" si="25">BL8-BM8</f>
        <v>-2.197458928385454E-2</v>
      </c>
      <c r="BO8" s="1">
        <f>IFERROR(VLOOKUP($A8,East2007[],6,FALSE),VLOOKUP($A8,West2007[],6,FALSE))</f>
        <v>95.8</v>
      </c>
      <c r="BP8" s="1">
        <f>IFERROR(VLOOKUP($A8,East2007[],7,FALSE),VLOOKUP($A8,West2007[],7,FALSE))</f>
        <v>99.2</v>
      </c>
      <c r="BQ8">
        <f>IFERROR(VLOOKUP($A8,East2007[],4,FALSE),VLOOKUP($A8,West2007[],4,FALSE))</f>
        <v>0.29299999999999998</v>
      </c>
      <c r="BR8" s="4">
        <f t="shared" ref="BR8:BR36" si="26">BO8^BS$5/(BO8^BS$5+BP8^BS$5)</f>
        <v>0.37666763735490294</v>
      </c>
      <c r="BS8" s="5">
        <f t="shared" ref="BS8:BS36" si="27">BQ8-BR8</f>
        <v>-8.3667637354902957E-2</v>
      </c>
      <c r="BT8" s="1">
        <f>IFERROR(VLOOKUP($A8,East2006[],6,FALSE),VLOOKUP($A8,West2006[],6,FALSE))</f>
        <v>98</v>
      </c>
      <c r="BU8" s="1">
        <f>IFERROR(VLOOKUP($A8,East2006[],7,FALSE),VLOOKUP($A8,West2006[],7,FALSE))</f>
        <v>99.5</v>
      </c>
      <c r="BV8">
        <f>IFERROR(VLOOKUP($A8,East2006[],4,FALSE),VLOOKUP($A8,West2006[],4,FALSE))</f>
        <v>0.40200000000000002</v>
      </c>
      <c r="BW8" s="4">
        <f t="shared" ref="BW8:BW36" si="28">BT8^BX$5/(BT8^BX$5+BU8^BX$5)</f>
        <v>0.44631586211015889</v>
      </c>
      <c r="BX8" s="5">
        <f t="shared" ref="BX8:BX36" si="29">BV8-BW8</f>
        <v>-4.4315862110158866E-2</v>
      </c>
      <c r="BY8" s="1">
        <f>IFERROR(VLOOKUP($A8,East2005[],6,FALSE),VLOOKUP($A8,West2005[],6,FALSE))</f>
        <v>101.3</v>
      </c>
      <c r="BZ8" s="1">
        <f>IFERROR(VLOOKUP($A8,East2005[],7,FALSE),VLOOKUP($A8,West2005[],7,FALSE))</f>
        <v>100.4</v>
      </c>
      <c r="CA8">
        <f>IFERROR(VLOOKUP($A8,East2005[],4,FALSE),VLOOKUP($A8,West2005[],4,FALSE))</f>
        <v>0.54900000000000004</v>
      </c>
      <c r="CB8" s="4">
        <f t="shared" ref="CB8:CB36" si="30">BY8^CC$5/(BY8^CC$5+BZ8^CC$5)</f>
        <v>0.53167929289943627</v>
      </c>
      <c r="CC8" s="5">
        <f t="shared" ref="CC8:CC36" si="31">CA8-CB8</f>
        <v>1.732070710056377E-2</v>
      </c>
      <c r="CD8" s="1">
        <f>IFERROR(VLOOKUP($A8,East2004[],6,FALSE),VLOOKUP($A8,West2004[],6,FALSE))</f>
        <v>95.3</v>
      </c>
      <c r="CE8" s="1">
        <f>IFERROR(VLOOKUP($A8,East2004[],7,FALSE),VLOOKUP($A8,West2004[],7,FALSE))</f>
        <v>96.7</v>
      </c>
      <c r="CF8">
        <f>IFERROR(VLOOKUP($A8,East2004[],4,FALSE),VLOOKUP($A8,West2004[],4,FALSE))</f>
        <v>0.439</v>
      </c>
      <c r="CG8" s="4">
        <f t="shared" ref="CG8:CG36" si="32">CD8^CH$5/(CD8^CH$5+CE8^CH$5)</f>
        <v>0.45034968825911376</v>
      </c>
      <c r="CH8" s="5">
        <f t="shared" ref="CH8:CH36" si="33">CF8-CG8</f>
        <v>-1.1349688259113755E-2</v>
      </c>
      <c r="CI8" s="1">
        <f>IFERROR(VLOOKUP($A8,East2003[],6,FALSE),VLOOKUP($A8,West2003[],6,FALSE))</f>
        <v>92.7</v>
      </c>
      <c r="CJ8" s="1">
        <f>IFERROR(VLOOKUP($A8,East2003[],7,FALSE),VLOOKUP($A8,West2003[],7,FALSE))</f>
        <v>93.1</v>
      </c>
      <c r="CK8">
        <f>IFERROR(VLOOKUP($A8,East2003[],4,FALSE),VLOOKUP($A8,West2003[],4,FALSE))</f>
        <v>0.53700000000000003</v>
      </c>
      <c r="CL8" s="4">
        <f t="shared" ref="CL8:CL36" si="34">CI8^CM$5/(CI8^CM$5+CJ8^CM$5)</f>
        <v>0.48503209044878121</v>
      </c>
      <c r="CM8" s="5">
        <f t="shared" ref="CM8:CM36" si="35">CK8-CL8</f>
        <v>5.1967909551218827E-2</v>
      </c>
    </row>
    <row r="9" spans="1:91" x14ac:dyDescent="0.25">
      <c r="A9" s="1" t="s">
        <v>136</v>
      </c>
      <c r="B9" s="1">
        <f>IFERROR(VLOOKUP(A9,East2020[],6,FALSE),VLOOKUP(A9,West2020[],6,FALSE))</f>
        <v>111.8</v>
      </c>
      <c r="C9" s="1">
        <f>IFERROR(VLOOKUP(A9,East2020[],7,FALSE),VLOOKUP(A9,West2020[],7,FALSE))</f>
        <v>112.3</v>
      </c>
      <c r="D9">
        <f>IFERROR(VLOOKUP(A9,East2020[],4,FALSE),VLOOKUP(A9,West2020[],4,FALSE))</f>
        <v>0.48599999999999999</v>
      </c>
      <c r="E9" s="4">
        <f t="shared" si="0"/>
        <v>0.48176957022517658</v>
      </c>
      <c r="F9" s="5">
        <f t="shared" si="1"/>
        <v>4.2304297748234077E-3</v>
      </c>
      <c r="G9" s="1">
        <f>IFERROR(VLOOKUP($A9,East2019[],6,FALSE),VLOOKUP($A9,West2019[],6,FALSE))</f>
        <v>112.2</v>
      </c>
      <c r="H9" s="1">
        <f>IFERROR(VLOOKUP($A9,East2019[],7,FALSE),VLOOKUP($A9,West2019[],7,FALSE))</f>
        <v>112.3</v>
      </c>
      <c r="I9">
        <f>IFERROR(VLOOKUP($A9,East2019[],4,FALSE),VLOOKUP($A9,West2019[],4,FALSE))</f>
        <v>0.51200000000000001</v>
      </c>
      <c r="J9" s="4">
        <f t="shared" si="2"/>
        <v>0.49637727349319793</v>
      </c>
      <c r="K9" s="5">
        <f t="shared" si="3"/>
        <v>1.5622726506802076E-2</v>
      </c>
      <c r="L9" s="1">
        <f>IFERROR(VLOOKUP($A9,East2018[],6,FALSE),VLOOKUP($A9,West2018[],6,FALSE))</f>
        <v>106.6</v>
      </c>
      <c r="M9" s="1">
        <f>IFERROR(VLOOKUP($A9,East2018[],7,FALSE),VLOOKUP($A9,West2018[],7,FALSE))</f>
        <v>110.3</v>
      </c>
      <c r="N9">
        <f>IFERROR(VLOOKUP($A9,East2018[],4,FALSE),VLOOKUP($A9,West2018[],4,FALSE))</f>
        <v>0.34100000000000003</v>
      </c>
      <c r="O9" s="4">
        <f t="shared" si="4"/>
        <v>0.37034451037900562</v>
      </c>
      <c r="P9" s="5">
        <f t="shared" si="5"/>
        <v>-2.9344510379005595E-2</v>
      </c>
      <c r="Q9" s="1">
        <f>IFERROR(VLOOKUP($A9,East2017[],6,FALSE),VLOOKUP($A9,West2017[],6,FALSE))</f>
        <v>105.8</v>
      </c>
      <c r="R9" s="1">
        <f>IFERROR(VLOOKUP($A9,East2017[],7,FALSE),VLOOKUP($A9,West2017[],7,FALSE))</f>
        <v>112.5</v>
      </c>
      <c r="S9">
        <f>IFERROR(VLOOKUP($A9,East2017[],4,FALSE),VLOOKUP($A9,West2017[],4,FALSE))</f>
        <v>0.24399999999999999</v>
      </c>
      <c r="T9" s="4">
        <f t="shared" si="6"/>
        <v>0.27919663102756809</v>
      </c>
      <c r="U9" s="5">
        <f t="shared" si="7"/>
        <v>-3.5196631027568093E-2</v>
      </c>
      <c r="V9" s="1">
        <f>IFERROR(VLOOKUP($A9,East2016[],6,FALSE),VLOOKUP($A9,West2016[],6,FALSE))</f>
        <v>98.6</v>
      </c>
      <c r="W9" s="1">
        <f>IFERROR(VLOOKUP($A9,East2016[],7,FALSE),VLOOKUP($A9,West2016[],7,FALSE))</f>
        <v>106</v>
      </c>
      <c r="X9">
        <f>IFERROR(VLOOKUP($A9,East2016[],4,FALSE),VLOOKUP($A9,West2016[],4,FALSE))</f>
        <v>0.25600000000000001</v>
      </c>
      <c r="Y9" s="4">
        <f t="shared" si="8"/>
        <v>0.25220736784688497</v>
      </c>
      <c r="Z9" s="5">
        <f t="shared" si="9"/>
        <v>3.7926321531150387E-3</v>
      </c>
      <c r="AA9" s="1">
        <f>IFERROR(VLOOKUP($A9,East2015[],6,FALSE),VLOOKUP($A9,West2015[],6,FALSE))</f>
        <v>98</v>
      </c>
      <c r="AB9" s="1">
        <f>IFERROR(VLOOKUP($A9,East2015[],7,FALSE),VLOOKUP($A9,West2015[],7,FALSE))</f>
        <v>100.9</v>
      </c>
      <c r="AC9">
        <f>IFERROR(VLOOKUP($A9,East2015[],4,FALSE),VLOOKUP($A9,West2015[],4,FALSE))</f>
        <v>0.46300000000000002</v>
      </c>
      <c r="AD9" s="4">
        <f t="shared" si="10"/>
        <v>0.39492149792933401</v>
      </c>
      <c r="AE9" s="5">
        <f t="shared" si="11"/>
        <v>6.8078502070666014E-2</v>
      </c>
      <c r="AF9" s="1">
        <f>IFERROR(VLOOKUP($A9,East2014[],6,FALSE),VLOOKUP($A9,West2014[],6,FALSE))</f>
        <v>98.5</v>
      </c>
      <c r="AG9" s="1">
        <f>IFERROR(VLOOKUP($A9,East2014[],7,FALSE),VLOOKUP($A9,West2014[],7,FALSE))</f>
        <v>99.5</v>
      </c>
      <c r="AH9">
        <f>IFERROR(VLOOKUP($A9,East2014[],4,FALSE),VLOOKUP($A9,West2014[],4,FALSE))</f>
        <v>0.53700000000000003</v>
      </c>
      <c r="AI9" s="4">
        <f t="shared" si="12"/>
        <v>0.46275466697970374</v>
      </c>
      <c r="AJ9" s="5">
        <f t="shared" si="13"/>
        <v>7.4245333020296289E-2</v>
      </c>
      <c r="AK9" s="1">
        <f>IFERROR(VLOOKUP($A9,East2013[],6,FALSE),VLOOKUP($A9,West2013[],6,FALSE))</f>
        <v>96.9</v>
      </c>
      <c r="AL9" s="1">
        <f>IFERROR(VLOOKUP($A9,East2013[],7,FALSE),VLOOKUP($A9,West2013[],7,FALSE))</f>
        <v>95.1</v>
      </c>
      <c r="AM9">
        <f>IFERROR(VLOOKUP($A9,East2013[],4,FALSE),VLOOKUP($A9,West2013[],4,FALSE))</f>
        <v>0.59799999999999998</v>
      </c>
      <c r="AN9" s="4">
        <f t="shared" si="14"/>
        <v>0.56689036156651773</v>
      </c>
      <c r="AO9" s="5">
        <f t="shared" si="15"/>
        <v>3.1109638433482245E-2</v>
      </c>
      <c r="AP9" s="1">
        <f>IFERROR(VLOOKUP($A9,East2012[],6,FALSE),VLOOKUP($A9,West2012[],6,FALSE))</f>
        <v>93.1</v>
      </c>
      <c r="AQ9" s="1">
        <f>IFERROR(VLOOKUP($A9,East2012[],7,FALSE),VLOOKUP($A9,West2012[],7,FALSE))</f>
        <v>99.1</v>
      </c>
      <c r="AR9">
        <f>IFERROR(VLOOKUP($A9,East2012[],4,FALSE),VLOOKUP($A9,West2012[],4,FALSE))</f>
        <v>0.33300000000000002</v>
      </c>
      <c r="AS9" s="4">
        <f t="shared" si="16"/>
        <v>0.29328844702115503</v>
      </c>
      <c r="AT9" s="5">
        <f t="shared" si="17"/>
        <v>3.9711552978844988E-2</v>
      </c>
      <c r="AU9" s="1">
        <f>IFERROR(VLOOKUP($A9,East2011[],6,FALSE),VLOOKUP($A9,West2011[],6,FALSE))</f>
        <v>94.2</v>
      </c>
      <c r="AV9" s="1">
        <f>IFERROR(VLOOKUP($A9,East2011[],7,FALSE),VLOOKUP($A9,West2011[],7,FALSE))</f>
        <v>100.4</v>
      </c>
      <c r="AW9">
        <f>IFERROR(VLOOKUP($A9,East2011[],4,FALSE),VLOOKUP($A9,West2011[],4,FALSE))</f>
        <v>0.29299999999999998</v>
      </c>
      <c r="AX9" s="4">
        <f t="shared" si="18"/>
        <v>0.28327396719191383</v>
      </c>
      <c r="AY9" s="5">
        <f t="shared" si="19"/>
        <v>9.7260328080861491E-3</v>
      </c>
      <c r="AZ9" s="1">
        <f>IFERROR(VLOOKUP($A9,East2010[],6,FALSE),VLOOKUP($A9,West2010[],6,FALSE))</f>
        <v>92.4</v>
      </c>
      <c r="BA9" s="1">
        <f>IFERROR(VLOOKUP($A9,East2010[],7,FALSE),VLOOKUP($A9,West2010[],7,FALSE))</f>
        <v>101.5</v>
      </c>
      <c r="BB9">
        <f>IFERROR(VLOOKUP($A9,East2010[],4,FALSE),VLOOKUP($A9,West2010[],4,FALSE))</f>
        <v>0.14599999999999999</v>
      </c>
      <c r="BC9" s="4">
        <f t="shared" si="20"/>
        <v>0.20096419554566222</v>
      </c>
      <c r="BD9" s="5">
        <f t="shared" si="21"/>
        <v>-5.4964195545662231E-2</v>
      </c>
      <c r="BE9" s="1">
        <f>IFERROR(VLOOKUP($A9,East2009[],6,FALSE),VLOOKUP($A9,West2009[],6,FALSE))</f>
        <v>98.1</v>
      </c>
      <c r="BF9" s="1">
        <f>IFERROR(VLOOKUP($A9,East2009[],7,FALSE),VLOOKUP($A9,West2009[],7,FALSE))</f>
        <v>100.5</v>
      </c>
      <c r="BG9">
        <f>IFERROR(VLOOKUP($A9,East2009[],4,FALSE),VLOOKUP($A9,West2009[],4,FALSE))</f>
        <v>0.41499999999999998</v>
      </c>
      <c r="BH9" s="4">
        <f t="shared" si="22"/>
        <v>0.41256032174609142</v>
      </c>
      <c r="BI9" s="5">
        <f t="shared" si="23"/>
        <v>2.4396782539085615E-3</v>
      </c>
      <c r="BJ9" s="1">
        <f>IFERROR(VLOOKUP($A9,East2008[],6,FALSE),VLOOKUP($A9,West2008[],6,FALSE))</f>
        <v>95.8</v>
      </c>
      <c r="BK9" s="1">
        <f>IFERROR(VLOOKUP($A9,East2008[],7,FALSE),VLOOKUP($A9,West2008[],7,FALSE))</f>
        <v>100.9</v>
      </c>
      <c r="BL9">
        <f>IFERROR(VLOOKUP($A9,East2008[],4,FALSE),VLOOKUP($A9,West2008[],4,FALSE))</f>
        <v>0.41499999999999998</v>
      </c>
      <c r="BM9" s="4">
        <f t="shared" si="24"/>
        <v>0.3190473390077348</v>
      </c>
      <c r="BN9" s="5">
        <f t="shared" si="25"/>
        <v>9.5952660992265182E-2</v>
      </c>
      <c r="BO9" s="1">
        <f>IFERROR(VLOOKUP($A9,East2007[],6,FALSE),VLOOKUP($A9,West2007[],6,FALSE))</f>
        <v>97.6</v>
      </c>
      <c r="BP9" s="1">
        <f>IFERROR(VLOOKUP($A9,East2007[],7,FALSE),VLOOKUP($A9,West2007[],7,FALSE))</f>
        <v>98.3</v>
      </c>
      <c r="BQ9">
        <f>IFERROR(VLOOKUP($A9,East2007[],4,FALSE),VLOOKUP($A9,West2007[],4,FALSE))</f>
        <v>0.5</v>
      </c>
      <c r="BR9" s="4">
        <f t="shared" si="26"/>
        <v>0.47421791097763738</v>
      </c>
      <c r="BS9" s="5">
        <f t="shared" si="27"/>
        <v>2.578208902236262E-2</v>
      </c>
      <c r="BT9" s="1">
        <f>IFERROR(VLOOKUP($A9,East2006[],6,FALSE),VLOOKUP($A9,West2006[],6,FALSE))</f>
        <v>93.8</v>
      </c>
      <c r="BU9" s="1">
        <f>IFERROR(VLOOKUP($A9,East2006[],7,FALSE),VLOOKUP($A9,West2006[],7,FALSE))</f>
        <v>92.4</v>
      </c>
      <c r="BV9">
        <f>IFERROR(VLOOKUP($A9,East2006[],4,FALSE),VLOOKUP($A9,West2006[],4,FALSE))</f>
        <v>0.59799999999999998</v>
      </c>
      <c r="BW9" s="4">
        <f t="shared" si="28"/>
        <v>0.55315001476260628</v>
      </c>
      <c r="BX9" s="5">
        <f t="shared" si="29"/>
        <v>4.4849985237393697E-2</v>
      </c>
      <c r="BY9" s="1">
        <f>IFERROR(VLOOKUP($A9,East2005[],6,FALSE),VLOOKUP($A9,West2005[],6,FALSE))</f>
        <v>91.4</v>
      </c>
      <c r="BZ9" s="1">
        <f>IFERROR(VLOOKUP($A9,East2005[],7,FALSE),VLOOKUP($A9,West2005[],7,FALSE))</f>
        <v>92.9</v>
      </c>
      <c r="CA9">
        <f>IFERROR(VLOOKUP($A9,East2005[],4,FALSE),VLOOKUP($A9,West2005[],4,FALSE))</f>
        <v>0.51200000000000001</v>
      </c>
      <c r="CB9" s="4">
        <f t="shared" si="30"/>
        <v>0.44239489397584619</v>
      </c>
      <c r="CC9" s="5">
        <f t="shared" si="31"/>
        <v>6.9605106024153818E-2</v>
      </c>
      <c r="CD9" s="1">
        <f>IFERROR(VLOOKUP($A9,East2004[],6,FALSE),VLOOKUP($A9,West2004[],6,FALSE))</f>
        <v>90.3</v>
      </c>
      <c r="CE9" s="1">
        <f>IFERROR(VLOOKUP($A9,East2004[],7,FALSE),VLOOKUP($A9,West2004[],7,FALSE))</f>
        <v>87.8</v>
      </c>
      <c r="CF9">
        <f>IFERROR(VLOOKUP($A9,East2004[],4,FALSE),VLOOKUP($A9,West2004[],4,FALSE))</f>
        <v>0.57299999999999995</v>
      </c>
      <c r="CG9" s="4">
        <f t="shared" si="32"/>
        <v>0.59474259451666245</v>
      </c>
      <c r="CH9" s="5">
        <f t="shared" si="33"/>
        <v>-2.1742594516662495E-2</v>
      </c>
      <c r="CI9" s="1">
        <f>IFERROR(VLOOKUP($A9,East2003[],6,FALSE),VLOOKUP($A9,West2003[],6,FALSE))</f>
        <v>95.4</v>
      </c>
      <c r="CJ9" s="1">
        <f>IFERROR(VLOOKUP($A9,East2003[],7,FALSE),VLOOKUP($A9,West2003[],7,FALSE))</f>
        <v>90.1</v>
      </c>
      <c r="CK9">
        <f>IFERROR(VLOOKUP($A9,East2003[],4,FALSE),VLOOKUP($A9,West2003[],4,FALSE))</f>
        <v>0.59799999999999998</v>
      </c>
      <c r="CL9" s="4">
        <f t="shared" si="34"/>
        <v>0.68891137793874335</v>
      </c>
      <c r="CM9" s="5">
        <f t="shared" si="35"/>
        <v>-9.0911377938743376E-2</v>
      </c>
    </row>
    <row r="10" spans="1:91" x14ac:dyDescent="0.25">
      <c r="A10" s="1" t="s">
        <v>140</v>
      </c>
      <c r="B10" s="1">
        <f>IFERROR(VLOOKUP(A10,East2020[],6,FALSE),VLOOKUP(A10,West2020[],6,FALSE))</f>
        <v>102.9</v>
      </c>
      <c r="C10" s="1">
        <f>IFERROR(VLOOKUP(A10,East2020[],7,FALSE),VLOOKUP(A10,West2020[],7,FALSE))</f>
        <v>109.6</v>
      </c>
      <c r="D10">
        <f>IFERROR(VLOOKUP(A10,East2020[],4,FALSE),VLOOKUP(A10,West2020[],4,FALSE))</f>
        <v>0.35399999999999998</v>
      </c>
      <c r="E10" s="4">
        <f t="shared" si="0"/>
        <v>0.26283425951820566</v>
      </c>
      <c r="F10" s="5">
        <f t="shared" si="1"/>
        <v>9.1165740481794322E-2</v>
      </c>
      <c r="G10" s="1">
        <f>IFERROR(VLOOKUP($A10,East2019[],6,FALSE),VLOOKUP($A10,West2019[],6,FALSE))</f>
        <v>110.7</v>
      </c>
      <c r="H10" s="1">
        <f>IFERROR(VLOOKUP($A10,East2019[],7,FALSE),VLOOKUP($A10,West2019[],7,FALSE))</f>
        <v>111.8</v>
      </c>
      <c r="I10">
        <f>IFERROR(VLOOKUP($A10,East2019[],4,FALSE),VLOOKUP($A10,West2019[],4,FALSE))</f>
        <v>0.47599999999999998</v>
      </c>
      <c r="J10" s="4">
        <f t="shared" si="2"/>
        <v>0.45987723343262993</v>
      </c>
      <c r="K10" s="5">
        <f t="shared" si="3"/>
        <v>1.612276656737005E-2</v>
      </c>
      <c r="L10" s="1">
        <f>IFERROR(VLOOKUP($A10,East2018[],6,FALSE),VLOOKUP($A10,West2018[],6,FALSE))</f>
        <v>108.2</v>
      </c>
      <c r="M10" s="1">
        <f>IFERROR(VLOOKUP($A10,East2018[],7,FALSE),VLOOKUP($A10,West2018[],7,FALSE))</f>
        <v>108</v>
      </c>
      <c r="N10">
        <f>IFERROR(VLOOKUP($A10,East2018[],4,FALSE),VLOOKUP($A10,West2018[],4,FALSE))</f>
        <v>0.439</v>
      </c>
      <c r="O10" s="4">
        <f t="shared" si="4"/>
        <v>0.5071941797472338</v>
      </c>
      <c r="P10" s="5">
        <f t="shared" si="5"/>
        <v>-6.8194179747233796E-2</v>
      </c>
      <c r="Q10" s="1">
        <f>IFERROR(VLOOKUP($A10,East2017[],6,FALSE),VLOOKUP($A10,West2017[],6,FALSE))</f>
        <v>104.9</v>
      </c>
      <c r="R10" s="1">
        <f>IFERROR(VLOOKUP($A10,East2017[],7,FALSE),VLOOKUP($A10,West2017[],7,FALSE))</f>
        <v>104.7</v>
      </c>
      <c r="S10">
        <f>IFERROR(VLOOKUP($A10,East2017[],4,FALSE),VLOOKUP($A10,West2017[],4,FALSE))</f>
        <v>0.439</v>
      </c>
      <c r="T10" s="4">
        <f t="shared" si="6"/>
        <v>0.50736892944864165</v>
      </c>
      <c r="U10" s="5">
        <f t="shared" si="7"/>
        <v>-6.8368929448641647E-2</v>
      </c>
      <c r="V10" s="1">
        <f>IFERROR(VLOOKUP($A10,East2016[],6,FALSE),VLOOKUP($A10,West2016[],6,FALSE))</f>
        <v>103.4</v>
      </c>
      <c r="W10" s="1">
        <f>IFERROR(VLOOKUP($A10,East2016[],7,FALSE),VLOOKUP($A10,West2016[],7,FALSE))</f>
        <v>100.7</v>
      </c>
      <c r="X10">
        <f>IFERROR(VLOOKUP($A10,East2016[],4,FALSE),VLOOKUP($A10,West2016[],4,FALSE))</f>
        <v>0.58499999999999996</v>
      </c>
      <c r="Y10" s="4">
        <f t="shared" si="8"/>
        <v>0.59805883914621805</v>
      </c>
      <c r="Z10" s="5">
        <f t="shared" si="9"/>
        <v>-1.3058839146218082E-2</v>
      </c>
      <c r="AA10" s="1">
        <f>IFERROR(VLOOKUP($A10,East2015[],6,FALSE),VLOOKUP($A10,West2015[],6,FALSE))</f>
        <v>94.2</v>
      </c>
      <c r="AB10" s="1">
        <f>IFERROR(VLOOKUP($A10,East2015[],7,FALSE),VLOOKUP($A10,West2015[],7,FALSE))</f>
        <v>97.3</v>
      </c>
      <c r="AC10">
        <f>IFERROR(VLOOKUP($A10,East2015[],4,FALSE),VLOOKUP($A10,West2015[],4,FALSE))</f>
        <v>0.40200000000000002</v>
      </c>
      <c r="AD10" s="4">
        <f t="shared" si="10"/>
        <v>0.38373396298983808</v>
      </c>
      <c r="AE10" s="5">
        <f t="shared" si="11"/>
        <v>1.826603701016194E-2</v>
      </c>
      <c r="AF10" s="1">
        <f>IFERROR(VLOOKUP($A10,East2014[],6,FALSE),VLOOKUP($A10,West2014[],6,FALSE))</f>
        <v>96.9</v>
      </c>
      <c r="AG10" s="1">
        <f>IFERROR(VLOOKUP($A10,East2014[],7,FALSE),VLOOKUP($A10,West2014[],7,FALSE))</f>
        <v>97.1</v>
      </c>
      <c r="AH10">
        <f>IFERROR(VLOOKUP($A10,East2014[],4,FALSE),VLOOKUP($A10,West2014[],4,FALSE))</f>
        <v>0.52400000000000002</v>
      </c>
      <c r="AI10" s="4">
        <f t="shared" si="12"/>
        <v>0.49238388654632875</v>
      </c>
      <c r="AJ10" s="5">
        <f t="shared" si="13"/>
        <v>3.1616113453671268E-2</v>
      </c>
      <c r="AK10" s="1">
        <f>IFERROR(VLOOKUP($A10,East2013[],6,FALSE),VLOOKUP($A10,West2013[],6,FALSE))</f>
        <v>93.4</v>
      </c>
      <c r="AL10" s="1">
        <f>IFERROR(VLOOKUP($A10,East2013[],7,FALSE),VLOOKUP($A10,West2013[],7,FALSE))</f>
        <v>102.7</v>
      </c>
      <c r="AM10">
        <f>IFERROR(VLOOKUP($A10,East2013[],4,FALSE),VLOOKUP($A10,West2013[],4,FALSE))</f>
        <v>0.25600000000000001</v>
      </c>
      <c r="AN10" s="4">
        <f t="shared" si="14"/>
        <v>0.20381112029065362</v>
      </c>
      <c r="AO10" s="5">
        <f t="shared" si="15"/>
        <v>5.2188879709346381E-2</v>
      </c>
      <c r="AP10" s="1">
        <f>IFERROR(VLOOKUP($A10,East2012[],6,FALSE),VLOOKUP($A10,West2012[],6,FALSE))</f>
        <v>87</v>
      </c>
      <c r="AQ10" s="1">
        <f>IFERROR(VLOOKUP($A10,East2012[],7,FALSE),VLOOKUP($A10,West2012[],7,FALSE))</f>
        <v>100.9</v>
      </c>
      <c r="AR10">
        <f>IFERROR(VLOOKUP($A10,East2012[],4,FALSE),VLOOKUP($A10,West2012[],4,FALSE))</f>
        <v>0.106</v>
      </c>
      <c r="AS10" s="4">
        <f t="shared" si="16"/>
        <v>0.11034804819219445</v>
      </c>
      <c r="AT10" s="5">
        <f t="shared" si="17"/>
        <v>-4.348048192194448E-3</v>
      </c>
      <c r="AU10" s="1">
        <f>IFERROR(VLOOKUP($A10,East2011[],6,FALSE),VLOOKUP($A10,West2011[],6,FALSE))</f>
        <v>93.3</v>
      </c>
      <c r="AV10" s="1">
        <f>IFERROR(VLOOKUP($A10,East2011[],7,FALSE),VLOOKUP($A10,West2011[],7,FALSE))</f>
        <v>97.3</v>
      </c>
      <c r="AW10">
        <f>IFERROR(VLOOKUP($A10,East2011[],4,FALSE),VLOOKUP($A10,West2011[],4,FALSE))</f>
        <v>0.41499999999999998</v>
      </c>
      <c r="AX10" s="4">
        <f t="shared" si="18"/>
        <v>0.35175333428339922</v>
      </c>
      <c r="AY10" s="5">
        <f t="shared" si="19"/>
        <v>6.3246665716600758E-2</v>
      </c>
      <c r="AZ10" s="1">
        <f>IFERROR(VLOOKUP($A10,East2010[],6,FALSE),VLOOKUP($A10,West2010[],6,FALSE))</f>
        <v>95.3</v>
      </c>
      <c r="BA10" s="1">
        <f>IFERROR(VLOOKUP($A10,East2010[],7,FALSE),VLOOKUP($A10,West2010[],7,FALSE))</f>
        <v>93.8</v>
      </c>
      <c r="BB10">
        <f>IFERROR(VLOOKUP($A10,East2010[],4,FALSE),VLOOKUP($A10,West2010[],4,FALSE))</f>
        <v>0.53700000000000003</v>
      </c>
      <c r="BC10" s="4">
        <f t="shared" si="20"/>
        <v>0.55801927103456295</v>
      </c>
      <c r="BD10" s="5">
        <f t="shared" si="21"/>
        <v>-2.1019271034562914E-2</v>
      </c>
      <c r="BE10" s="1">
        <f>IFERROR(VLOOKUP($A10,East2009[],6,FALSE),VLOOKUP($A10,West2009[],6,FALSE))</f>
        <v>93.6</v>
      </c>
      <c r="BF10" s="1">
        <f>IFERROR(VLOOKUP($A10,East2009[],7,FALSE),VLOOKUP($A10,West2009[],7,FALSE))</f>
        <v>94.9</v>
      </c>
      <c r="BG10">
        <f>IFERROR(VLOOKUP($A10,East2009[],4,FALSE),VLOOKUP($A10,West2009[],4,FALSE))</f>
        <v>0.42699999999999999</v>
      </c>
      <c r="BH10" s="4">
        <f t="shared" si="22"/>
        <v>0.44975267337820302</v>
      </c>
      <c r="BI10" s="5">
        <f t="shared" si="23"/>
        <v>-2.2752673378203025E-2</v>
      </c>
      <c r="BJ10" s="1">
        <f>IFERROR(VLOOKUP($A10,East2008[],6,FALSE),VLOOKUP($A10,West2008[],6,FALSE))</f>
        <v>97.1</v>
      </c>
      <c r="BK10" s="1">
        <f>IFERROR(VLOOKUP($A10,East2008[],7,FALSE),VLOOKUP($A10,West2008[],7,FALSE))</f>
        <v>101.4</v>
      </c>
      <c r="BL10">
        <f>IFERROR(VLOOKUP($A10,East2008[],4,FALSE),VLOOKUP($A10,West2008[],4,FALSE))</f>
        <v>0.39</v>
      </c>
      <c r="BM10" s="4">
        <f t="shared" si="24"/>
        <v>0.34674274075238676</v>
      </c>
      <c r="BN10" s="5">
        <f t="shared" si="25"/>
        <v>4.3257259247613256E-2</v>
      </c>
      <c r="BO10" s="1">
        <f>IFERROR(VLOOKUP($A10,East2007[],6,FALSE),VLOOKUP($A10,West2007[],6,FALSE))</f>
        <v>96.9</v>
      </c>
      <c r="BP10" s="1">
        <f>IFERROR(VLOOKUP($A10,East2007[],7,FALSE),VLOOKUP($A10,West2007[],7,FALSE))</f>
        <v>100.6</v>
      </c>
      <c r="BQ10">
        <f>IFERROR(VLOOKUP($A10,East2007[],4,FALSE),VLOOKUP($A10,West2007[],4,FALSE))</f>
        <v>0.40200000000000002</v>
      </c>
      <c r="BR10" s="4">
        <f t="shared" si="26"/>
        <v>0.36790104275302593</v>
      </c>
      <c r="BS10" s="5">
        <f t="shared" si="27"/>
        <v>3.4098957246974093E-2</v>
      </c>
      <c r="BT10" s="1">
        <f>IFERROR(VLOOKUP($A10,East2006[],6,FALSE),VLOOKUP($A10,West2006[],6,FALSE))</f>
        <v>96.9</v>
      </c>
      <c r="BU10" s="1">
        <f>IFERROR(VLOOKUP($A10,East2006[],7,FALSE),VLOOKUP($A10,West2006[],7,FALSE))</f>
        <v>100.9</v>
      </c>
      <c r="BV10">
        <f>IFERROR(VLOOKUP($A10,East2006[],4,FALSE),VLOOKUP($A10,West2006[],4,FALSE))</f>
        <v>0.317</v>
      </c>
      <c r="BW10" s="4">
        <f t="shared" si="28"/>
        <v>0.3603046941315563</v>
      </c>
      <c r="BX10" s="5">
        <f t="shared" si="29"/>
        <v>-4.3304694131556298E-2</v>
      </c>
      <c r="BY10" s="1">
        <f>IFERROR(VLOOKUP($A10,East2005[],6,FALSE),VLOOKUP($A10,West2005[],6,FALSE))</f>
        <v>94.3</v>
      </c>
      <c r="BZ10" s="1">
        <f>IFERROR(VLOOKUP($A10,East2005[],7,FALSE),VLOOKUP($A10,West2005[],7,FALSE))</f>
        <v>100.2</v>
      </c>
      <c r="CA10">
        <f>IFERROR(VLOOKUP($A10,East2005[],4,FALSE),VLOOKUP($A10,West2005[],4,FALSE))</f>
        <v>0.22</v>
      </c>
      <c r="CB10" s="4">
        <f t="shared" si="30"/>
        <v>0.29674072530902057</v>
      </c>
      <c r="CC10" s="5">
        <f t="shared" si="31"/>
        <v>-7.6740725309020569E-2</v>
      </c>
      <c r="CD10" s="1"/>
      <c r="CE10" s="1"/>
      <c r="CG10" s="4"/>
      <c r="CH10" s="5"/>
      <c r="CI10" s="1"/>
      <c r="CJ10" s="1"/>
      <c r="CL10" s="4"/>
      <c r="CM10" s="5"/>
    </row>
    <row r="11" spans="1:91" x14ac:dyDescent="0.25">
      <c r="A11" s="1" t="s">
        <v>144</v>
      </c>
      <c r="B11" s="1">
        <f>IFERROR(VLOOKUP(A11,East2020[],6,FALSE),VLOOKUP(A11,West2020[],6,FALSE))</f>
        <v>106.8</v>
      </c>
      <c r="C11" s="1">
        <f>IFERROR(VLOOKUP(A11,East2020[],7,FALSE),VLOOKUP(A11,West2020[],7,FALSE))</f>
        <v>109.9</v>
      </c>
      <c r="D11">
        <f>IFERROR(VLOOKUP(A11,East2020[],4,FALSE),VLOOKUP(A11,West2020[],4,FALSE))</f>
        <v>0.33800000000000002</v>
      </c>
      <c r="E11" s="4">
        <f t="shared" si="0"/>
        <v>0.38513892676508199</v>
      </c>
      <c r="F11" s="5">
        <f t="shared" si="1"/>
        <v>-4.7138926765081968E-2</v>
      </c>
      <c r="G11" s="1">
        <f>IFERROR(VLOOKUP($A11,East2019[],6,FALSE),VLOOKUP($A11,West2019[],6,FALSE))</f>
        <v>104.9</v>
      </c>
      <c r="H11" s="1">
        <f>IFERROR(VLOOKUP($A11,East2019[],7,FALSE),VLOOKUP($A11,West2019[],7,FALSE))</f>
        <v>113.4</v>
      </c>
      <c r="I11">
        <f>IFERROR(VLOOKUP($A11,East2019[],4,FALSE),VLOOKUP($A11,West2019[],4,FALSE))</f>
        <v>0.26800000000000002</v>
      </c>
      <c r="J11" s="4">
        <f t="shared" si="2"/>
        <v>0.21970737317303138</v>
      </c>
      <c r="K11" s="5">
        <f t="shared" si="3"/>
        <v>4.8292626826968638E-2</v>
      </c>
      <c r="L11" s="1">
        <f>IFERROR(VLOOKUP($A11,East2018[],6,FALSE),VLOOKUP($A11,West2018[],6,FALSE))</f>
        <v>102.9</v>
      </c>
      <c r="M11" s="1">
        <f>IFERROR(VLOOKUP($A11,East2018[],7,FALSE),VLOOKUP($A11,West2018[],7,FALSE))</f>
        <v>110</v>
      </c>
      <c r="N11">
        <f>IFERROR(VLOOKUP($A11,East2018[],4,FALSE),VLOOKUP($A11,West2018[],4,FALSE))</f>
        <v>0.32900000000000001</v>
      </c>
      <c r="O11" s="4">
        <f t="shared" si="4"/>
        <v>0.26156228382342017</v>
      </c>
      <c r="P11" s="5">
        <f t="shared" si="5"/>
        <v>6.7437716176579843E-2</v>
      </c>
      <c r="Q11" s="1">
        <f>IFERROR(VLOOKUP($A11,East2017[],6,FALSE),VLOOKUP($A11,West2017[],6,FALSE))</f>
        <v>102.9</v>
      </c>
      <c r="R11" s="1">
        <f>IFERROR(VLOOKUP($A11,East2017[],7,FALSE),VLOOKUP($A11,West2017[],7,FALSE))</f>
        <v>102.4</v>
      </c>
      <c r="S11">
        <f>IFERROR(VLOOKUP($A11,East2017[],4,FALSE),VLOOKUP($A11,West2017[],4,FALSE))</f>
        <v>0.5</v>
      </c>
      <c r="T11" s="4">
        <f t="shared" si="6"/>
        <v>0.51880070374389387</v>
      </c>
      <c r="U11" s="5">
        <f t="shared" si="7"/>
        <v>-1.8800703743893865E-2</v>
      </c>
      <c r="V11" s="1">
        <f>IFERROR(VLOOKUP($A11,East2016[],6,FALSE),VLOOKUP($A11,West2016[],6,FALSE))</f>
        <v>101.6</v>
      </c>
      <c r="W11" s="1">
        <f>IFERROR(VLOOKUP($A11,East2016[],7,FALSE),VLOOKUP($A11,West2016[],7,FALSE))</f>
        <v>103.1</v>
      </c>
      <c r="X11">
        <f>IFERROR(VLOOKUP($A11,East2016[],4,FALSE),VLOOKUP($A11,West2016[],4,FALSE))</f>
        <v>0.51200000000000001</v>
      </c>
      <c r="Y11" s="4">
        <f t="shared" si="8"/>
        <v>0.44519295979576895</v>
      </c>
      <c r="Z11" s="5">
        <f t="shared" si="9"/>
        <v>6.6807040204231061E-2</v>
      </c>
      <c r="AA11" s="1">
        <f>IFERROR(VLOOKUP($A11,East2015[],6,FALSE),VLOOKUP($A11,West2015[],6,FALSE))</f>
        <v>100.8</v>
      </c>
      <c r="AB11" s="1">
        <f>IFERROR(VLOOKUP($A11,East2015[],7,FALSE),VLOOKUP($A11,West2015[],7,FALSE))</f>
        <v>97.8</v>
      </c>
      <c r="AC11">
        <f>IFERROR(VLOOKUP($A11,East2015[],4,FALSE),VLOOKUP($A11,West2015[],4,FALSE))</f>
        <v>0.61</v>
      </c>
      <c r="AD11" s="4">
        <f t="shared" si="10"/>
        <v>0.6087481206495543</v>
      </c>
      <c r="AE11" s="5">
        <f t="shared" si="11"/>
        <v>1.2518793504456838E-3</v>
      </c>
      <c r="AF11" s="1">
        <f>IFERROR(VLOOKUP($A11,East2014[],6,FALSE),VLOOKUP($A11,West2014[],6,FALSE))</f>
        <v>93.7</v>
      </c>
      <c r="AG11" s="1">
        <f>IFERROR(VLOOKUP($A11,East2014[],7,FALSE),VLOOKUP($A11,West2014[],7,FALSE))</f>
        <v>91.8</v>
      </c>
      <c r="AH11">
        <f>IFERROR(VLOOKUP($A11,East2014[],4,FALSE),VLOOKUP($A11,West2014[],4,FALSE))</f>
        <v>0.58499999999999996</v>
      </c>
      <c r="AI11" s="4">
        <f t="shared" si="12"/>
        <v>0.57510429856557699</v>
      </c>
      <c r="AJ11" s="5">
        <f t="shared" si="13"/>
        <v>9.8957014344229766E-3</v>
      </c>
      <c r="AK11" s="1">
        <f>IFERROR(VLOOKUP($A11,East2013[],6,FALSE),VLOOKUP($A11,West2013[],6,FALSE))</f>
        <v>93.2</v>
      </c>
      <c r="AL11" s="1">
        <f>IFERROR(VLOOKUP($A11,East2013[],7,FALSE),VLOOKUP($A11,West2013[],7,FALSE))</f>
        <v>92.9</v>
      </c>
      <c r="AM11">
        <f>IFERROR(VLOOKUP($A11,East2013[],4,FALSE),VLOOKUP($A11,West2013[],4,FALSE))</f>
        <v>0.54900000000000004</v>
      </c>
      <c r="AN11" s="4">
        <f t="shared" si="14"/>
        <v>0.51156880490032786</v>
      </c>
      <c r="AO11" s="5">
        <f t="shared" si="15"/>
        <v>3.7431195099672188E-2</v>
      </c>
      <c r="AP11" s="1">
        <f>IFERROR(VLOOKUP($A11,East2012[],6,FALSE),VLOOKUP($A11,West2012[],6,FALSE))</f>
        <v>96.3</v>
      </c>
      <c r="AQ11" s="1">
        <f>IFERROR(VLOOKUP($A11,East2012[],7,FALSE),VLOOKUP($A11,West2012[],7,FALSE))</f>
        <v>88.2</v>
      </c>
      <c r="AR11">
        <f>IFERROR(VLOOKUP($A11,East2012[],4,FALSE),VLOOKUP($A11,West2012[],4,FALSE))</f>
        <v>0.75800000000000001</v>
      </c>
      <c r="AS11" s="4">
        <f t="shared" si="16"/>
        <v>0.77508025477504283</v>
      </c>
      <c r="AT11" s="5">
        <f t="shared" si="17"/>
        <v>-1.7080254775042825E-2</v>
      </c>
      <c r="AU11" s="1">
        <f>IFERROR(VLOOKUP($A11,East2011[],6,FALSE),VLOOKUP($A11,West2011[],6,FALSE))</f>
        <v>98.6</v>
      </c>
      <c r="AV11" s="1">
        <f>IFERROR(VLOOKUP($A11,East2011[],7,FALSE),VLOOKUP($A11,West2011[],7,FALSE))</f>
        <v>91.3</v>
      </c>
      <c r="AW11">
        <f>IFERROR(VLOOKUP($A11,East2011[],4,FALSE),VLOOKUP($A11,West2011[],4,FALSE))</f>
        <v>0.75600000000000001</v>
      </c>
      <c r="AX11" s="4">
        <f t="shared" si="18"/>
        <v>0.75402539173904615</v>
      </c>
      <c r="AY11" s="5">
        <f t="shared" si="19"/>
        <v>1.9746082609538584E-3</v>
      </c>
      <c r="AZ11" s="1">
        <f>IFERROR(VLOOKUP($A11,East2010[],6,FALSE),VLOOKUP($A11,West2010[],6,FALSE))</f>
        <v>97.5</v>
      </c>
      <c r="BA11" s="1">
        <f>IFERROR(VLOOKUP($A11,East2010[],7,FALSE),VLOOKUP($A11,West2010[],7,FALSE))</f>
        <v>99.1</v>
      </c>
      <c r="BB11">
        <f>IFERROR(VLOOKUP($A11,East2010[],4,FALSE),VLOOKUP($A11,West2010[],4,FALSE))</f>
        <v>0.5</v>
      </c>
      <c r="BC11" s="4">
        <f t="shared" si="20"/>
        <v>0.44048771265673087</v>
      </c>
      <c r="BD11" s="5">
        <f t="shared" si="21"/>
        <v>5.9512287343269132E-2</v>
      </c>
      <c r="BE11" s="1">
        <f>IFERROR(VLOOKUP($A11,East2009[],6,FALSE),VLOOKUP($A11,West2009[],6,FALSE))</f>
        <v>102.2</v>
      </c>
      <c r="BF11" s="1">
        <f>IFERROR(VLOOKUP($A11,East2009[],7,FALSE),VLOOKUP($A11,West2009[],7,FALSE))</f>
        <v>102.5</v>
      </c>
      <c r="BG11">
        <f>IFERROR(VLOOKUP($A11,East2009[],4,FALSE),VLOOKUP($A11,West2009[],4,FALSE))</f>
        <v>0.5</v>
      </c>
      <c r="BH11" s="4">
        <f t="shared" si="22"/>
        <v>0.48928777262860373</v>
      </c>
      <c r="BI11" s="5">
        <f t="shared" si="23"/>
        <v>1.0712227371396266E-2</v>
      </c>
      <c r="BJ11" s="1">
        <f>IFERROR(VLOOKUP($A11,East2008[],6,FALSE),VLOOKUP($A11,West2008[],6,FALSE))</f>
        <v>97.3</v>
      </c>
      <c r="BK11" s="1">
        <f>IFERROR(VLOOKUP($A11,East2008[],7,FALSE),VLOOKUP($A11,West2008[],7,FALSE))</f>
        <v>100.4</v>
      </c>
      <c r="BL11">
        <f>IFERROR(VLOOKUP($A11,East2008[],4,FALSE),VLOOKUP($A11,West2008[],4,FALSE))</f>
        <v>0.40200000000000002</v>
      </c>
      <c r="BM11" s="4">
        <f t="shared" si="24"/>
        <v>0.38735546718787778</v>
      </c>
      <c r="BN11" s="5">
        <f t="shared" si="25"/>
        <v>1.4644532812122246E-2</v>
      </c>
      <c r="BO11" s="1">
        <f>IFERROR(VLOOKUP($A11,East2007[],6,FALSE),VLOOKUP($A11,West2007[],6,FALSE))</f>
        <v>98.8</v>
      </c>
      <c r="BP11" s="1">
        <f>IFERROR(VLOOKUP($A11,East2007[],7,FALSE),VLOOKUP($A11,West2007[],7,FALSE))</f>
        <v>93.8</v>
      </c>
      <c r="BQ11">
        <f>IFERROR(VLOOKUP($A11,East2007[],4,FALSE),VLOOKUP($A11,West2007[],4,FALSE))</f>
        <v>0.59799999999999998</v>
      </c>
      <c r="BR11" s="4">
        <f t="shared" si="26"/>
        <v>0.67919677983284976</v>
      </c>
      <c r="BS11" s="5">
        <f t="shared" si="27"/>
        <v>-8.1196779832849786E-2</v>
      </c>
      <c r="BT11" s="1">
        <f>IFERROR(VLOOKUP($A11,East2006[],6,FALSE),VLOOKUP($A11,West2006[],6,FALSE))</f>
        <v>97.8</v>
      </c>
      <c r="BU11" s="1">
        <f>IFERROR(VLOOKUP($A11,East2006[],7,FALSE),VLOOKUP($A11,West2006[],7,FALSE))</f>
        <v>97.2</v>
      </c>
      <c r="BV11">
        <f>IFERROR(VLOOKUP($A11,East2006[],4,FALSE),VLOOKUP($A11,West2006[],4,FALSE))</f>
        <v>0.5</v>
      </c>
      <c r="BW11" s="4">
        <f t="shared" si="28"/>
        <v>0.52181889854913943</v>
      </c>
      <c r="BX11" s="5">
        <f t="shared" si="29"/>
        <v>-2.1818898549139432E-2</v>
      </c>
      <c r="BY11" s="1">
        <f>IFERROR(VLOOKUP($A11,East2005[],6,FALSE),VLOOKUP($A11,West2005[],6,FALSE))</f>
        <v>94.5</v>
      </c>
      <c r="BZ11" s="1">
        <f>IFERROR(VLOOKUP($A11,East2005[],7,FALSE),VLOOKUP($A11,West2005[],7,FALSE))</f>
        <v>93.4</v>
      </c>
      <c r="CA11">
        <f>IFERROR(VLOOKUP($A11,East2005[],4,FALSE),VLOOKUP($A11,West2005[],4,FALSE))</f>
        <v>0.57299999999999995</v>
      </c>
      <c r="CB11" s="4">
        <f t="shared" si="30"/>
        <v>0.5415228939950496</v>
      </c>
      <c r="CC11" s="5">
        <f t="shared" si="31"/>
        <v>3.147710600495035E-2</v>
      </c>
      <c r="CD11" s="1">
        <f>IFERROR(VLOOKUP($A11,East2004[],6,FALSE),VLOOKUP($A11,West2004[],6,FALSE))</f>
        <v>89.7</v>
      </c>
      <c r="CE11" s="1">
        <f>IFERROR(VLOOKUP($A11,East2004[],7,FALSE),VLOOKUP($A11,West2004[],7,FALSE))</f>
        <v>96</v>
      </c>
      <c r="CF11">
        <f>IFERROR(VLOOKUP($A11,East2004[],4,FALSE),VLOOKUP($A11,West2004[],4,FALSE))</f>
        <v>0.28000000000000003</v>
      </c>
      <c r="CG11" s="4">
        <f t="shared" si="32"/>
        <v>0.28344844983944806</v>
      </c>
      <c r="CH11" s="5">
        <f t="shared" si="33"/>
        <v>-3.4484498394480312E-3</v>
      </c>
      <c r="CI11" s="1">
        <f>IFERROR(VLOOKUP($A11,East2003[],6,FALSE),VLOOKUP($A11,West2003[],6,FALSE))</f>
        <v>95</v>
      </c>
      <c r="CJ11" s="1">
        <f>IFERROR(VLOOKUP($A11,East2003[],7,FALSE),VLOOKUP($A11,West2003[],7,FALSE))</f>
        <v>100.1</v>
      </c>
      <c r="CK11">
        <f>IFERROR(VLOOKUP($A11,East2003[],4,FALSE),VLOOKUP($A11,West2003[],4,FALSE))</f>
        <v>0.36599999999999999</v>
      </c>
      <c r="CL11" s="4">
        <f t="shared" si="34"/>
        <v>0.32577490790648927</v>
      </c>
      <c r="CM11" s="5">
        <f t="shared" si="35"/>
        <v>4.0225092093510717E-2</v>
      </c>
    </row>
    <row r="12" spans="1:91" x14ac:dyDescent="0.25">
      <c r="A12" s="1" t="s">
        <v>152</v>
      </c>
      <c r="B12" s="1">
        <f>IFERROR(VLOOKUP(A12,East2020[],6,FALSE),VLOOKUP(A12,West2020[],6,FALSE))</f>
        <v>106.9</v>
      </c>
      <c r="C12" s="1">
        <f>IFERROR(VLOOKUP(A12,East2020[],7,FALSE),VLOOKUP(A12,West2020[],7,FALSE))</f>
        <v>114.8</v>
      </c>
      <c r="D12">
        <f>IFERROR(VLOOKUP(A12,East2020[],4,FALSE),VLOOKUP(A12,West2020[],4,FALSE))</f>
        <v>0.29199999999999998</v>
      </c>
      <c r="E12" s="4">
        <f t="shared" si="0"/>
        <v>0.2376432665204129</v>
      </c>
      <c r="F12" s="5">
        <f t="shared" si="1"/>
        <v>5.4356733479587083E-2</v>
      </c>
      <c r="G12" s="1">
        <f>IFERROR(VLOOKUP($A12,East2019[],6,FALSE),VLOOKUP($A12,West2019[],6,FALSE))</f>
        <v>104.5</v>
      </c>
      <c r="H12" s="1">
        <f>IFERROR(VLOOKUP($A12,East2019[],7,FALSE),VLOOKUP($A12,West2019[],7,FALSE))</f>
        <v>114.1</v>
      </c>
      <c r="I12">
        <f>IFERROR(VLOOKUP($A12,East2019[],4,FALSE),VLOOKUP($A12,West2019[],4,FALSE))</f>
        <v>0.23200000000000001</v>
      </c>
      <c r="J12" s="4">
        <f t="shared" si="2"/>
        <v>0.19315823618673469</v>
      </c>
      <c r="K12" s="5">
        <f t="shared" si="3"/>
        <v>3.8841763813265318E-2</v>
      </c>
      <c r="L12" s="1">
        <f>IFERROR(VLOOKUP($A12,East2018[],6,FALSE),VLOOKUP($A12,West2018[],6,FALSE))</f>
        <v>110.9</v>
      </c>
      <c r="M12" s="1">
        <f>IFERROR(VLOOKUP($A12,East2018[],7,FALSE),VLOOKUP($A12,West2018[],7,FALSE))</f>
        <v>109.9</v>
      </c>
      <c r="N12">
        <f>IFERROR(VLOOKUP($A12,East2018[],4,FALSE),VLOOKUP($A12,West2018[],4,FALSE))</f>
        <v>0.61</v>
      </c>
      <c r="O12" s="4">
        <f t="shared" si="4"/>
        <v>0.53516600999576236</v>
      </c>
      <c r="P12" s="5">
        <f t="shared" si="5"/>
        <v>7.4833990004237627E-2</v>
      </c>
      <c r="Q12" s="1">
        <f>IFERROR(VLOOKUP($A12,East2017[],6,FALSE),VLOOKUP($A12,West2017[],6,FALSE))</f>
        <v>110.3</v>
      </c>
      <c r="R12" s="1">
        <f>IFERROR(VLOOKUP($A12,East2017[],7,FALSE),VLOOKUP($A12,West2017[],7,FALSE))</f>
        <v>107.2</v>
      </c>
      <c r="S12">
        <f>IFERROR(VLOOKUP($A12,East2017[],4,FALSE),VLOOKUP($A12,West2017[],4,FALSE))</f>
        <v>0.622</v>
      </c>
      <c r="T12" s="4">
        <f t="shared" si="6"/>
        <v>0.60834021023866047</v>
      </c>
      <c r="U12" s="5">
        <f t="shared" si="7"/>
        <v>1.3659789761339525E-2</v>
      </c>
      <c r="V12" s="1">
        <f>IFERROR(VLOOKUP($A12,East2016[],6,FALSE),VLOOKUP($A12,West2016[],6,FALSE))</f>
        <v>104.3</v>
      </c>
      <c r="W12" s="1">
        <f>IFERROR(VLOOKUP($A12,East2016[],7,FALSE),VLOOKUP($A12,West2016[],7,FALSE))</f>
        <v>98.3</v>
      </c>
      <c r="X12">
        <f>IFERROR(VLOOKUP($A12,East2016[],4,FALSE),VLOOKUP($A12,West2016[],4,FALSE))</f>
        <v>0.69499999999999995</v>
      </c>
      <c r="Y12" s="4">
        <f t="shared" si="8"/>
        <v>0.70885316064318904</v>
      </c>
      <c r="Z12" s="5">
        <f t="shared" si="9"/>
        <v>-1.3853160643189089E-2</v>
      </c>
      <c r="AA12" s="1">
        <f>IFERROR(VLOOKUP($A12,East2015[],6,FALSE),VLOOKUP($A12,West2015[],6,FALSE))</f>
        <v>103.1</v>
      </c>
      <c r="AB12" s="1">
        <f>IFERROR(VLOOKUP($A12,East2015[],7,FALSE),VLOOKUP($A12,West2015[],7,FALSE))</f>
        <v>98.7</v>
      </c>
      <c r="AC12">
        <f>IFERROR(VLOOKUP($A12,East2015[],4,FALSE),VLOOKUP($A12,West2015[],4,FALSE))</f>
        <v>0.64600000000000002</v>
      </c>
      <c r="AD12" s="4">
        <f t="shared" si="10"/>
        <v>0.65432747338116404</v>
      </c>
      <c r="AE12" s="5">
        <f t="shared" si="11"/>
        <v>-8.3274733811640189E-3</v>
      </c>
      <c r="AF12" s="1">
        <f>IFERROR(VLOOKUP($A12,East2014[],6,FALSE),VLOOKUP($A12,West2014[],6,FALSE))</f>
        <v>98.2</v>
      </c>
      <c r="AG12" s="1">
        <f>IFERROR(VLOOKUP($A12,East2014[],7,FALSE),VLOOKUP($A12,West2014[],7,FALSE))</f>
        <v>101.5</v>
      </c>
      <c r="AH12">
        <f>IFERROR(VLOOKUP($A12,East2014[],4,FALSE),VLOOKUP($A12,West2014[],4,FALSE))</f>
        <v>0.40200000000000002</v>
      </c>
      <c r="AI12" s="4">
        <f t="shared" si="12"/>
        <v>0.38027100342087683</v>
      </c>
      <c r="AJ12" s="5">
        <f t="shared" si="13"/>
        <v>2.1728996579123194E-2</v>
      </c>
      <c r="AK12" s="1">
        <f>IFERROR(VLOOKUP($A12,East2013[],6,FALSE),VLOOKUP($A12,West2013[],6,FALSE))</f>
        <v>96.5</v>
      </c>
      <c r="AL12" s="1">
        <f>IFERROR(VLOOKUP($A12,East2013[],7,FALSE),VLOOKUP($A12,West2013[],7,FALSE))</f>
        <v>101.2</v>
      </c>
      <c r="AM12">
        <f>IFERROR(VLOOKUP($A12,East2013[],4,FALSE),VLOOKUP($A12,West2013[],4,FALSE))</f>
        <v>0.29299999999999998</v>
      </c>
      <c r="AN12" s="4">
        <f t="shared" si="14"/>
        <v>0.33566110550006539</v>
      </c>
      <c r="AO12" s="5">
        <f t="shared" si="15"/>
        <v>-4.266110550006541E-2</v>
      </c>
      <c r="AP12" s="1">
        <f>IFERROR(VLOOKUP($A12,East2012[],6,FALSE),VLOOKUP($A12,West2012[],6,FALSE))</f>
        <v>93</v>
      </c>
      <c r="AQ12" s="1">
        <f>IFERROR(VLOOKUP($A12,East2012[],7,FALSE),VLOOKUP($A12,West2012[],7,FALSE))</f>
        <v>100.2</v>
      </c>
      <c r="AR12">
        <f>IFERROR(VLOOKUP($A12,East2012[],4,FALSE),VLOOKUP($A12,West2012[],4,FALSE))</f>
        <v>0.318</v>
      </c>
      <c r="AS12" s="4">
        <f t="shared" si="16"/>
        <v>0.25921706631825053</v>
      </c>
      <c r="AT12" s="5">
        <f t="shared" si="17"/>
        <v>5.8782933681749472E-2</v>
      </c>
      <c r="AU12" s="1">
        <f>IFERROR(VLOOKUP($A12,East2011[],6,FALSE),VLOOKUP($A12,West2011[],6,FALSE))</f>
        <v>95.5</v>
      </c>
      <c r="AV12" s="1">
        <f>IFERROR(VLOOKUP($A12,East2011[],7,FALSE),VLOOKUP($A12,West2011[],7,FALSE))</f>
        <v>104.5</v>
      </c>
      <c r="AW12">
        <f>IFERROR(VLOOKUP($A12,East2011[],4,FALSE),VLOOKUP($A12,West2011[],4,FALSE))</f>
        <v>0.23200000000000001</v>
      </c>
      <c r="AX12" s="4">
        <f t="shared" si="18"/>
        <v>0.21222566953248018</v>
      </c>
      <c r="AY12" s="5">
        <f t="shared" si="19"/>
        <v>1.9774330467519835E-2</v>
      </c>
      <c r="AZ12" s="1">
        <f>IFERROR(VLOOKUP($A12,East2010[],6,FALSE),VLOOKUP($A12,West2010[],6,FALSE))</f>
        <v>102.1</v>
      </c>
      <c r="BA12" s="1">
        <f>IFERROR(VLOOKUP($A12,East2010[],7,FALSE),VLOOKUP($A12,West2010[],7,FALSE))</f>
        <v>95.6</v>
      </c>
      <c r="BB12">
        <f>IFERROR(VLOOKUP($A12,East2010[],4,FALSE),VLOOKUP($A12,West2010[],4,FALSE))</f>
        <v>0.74399999999999999</v>
      </c>
      <c r="BC12" s="4">
        <f t="shared" si="20"/>
        <v>0.72444155142357558</v>
      </c>
      <c r="BD12" s="5">
        <f t="shared" si="21"/>
        <v>1.9558448576424414E-2</v>
      </c>
      <c r="BE12" s="1">
        <f>IFERROR(VLOOKUP($A12,East2009[],6,FALSE),VLOOKUP($A12,West2009[],6,FALSE))</f>
        <v>100.3</v>
      </c>
      <c r="BF12" s="1">
        <f>IFERROR(VLOOKUP($A12,East2009[],7,FALSE),VLOOKUP($A12,West2009[],7,FALSE))</f>
        <v>91.4</v>
      </c>
      <c r="BG12">
        <f>IFERROR(VLOOKUP($A12,East2009[],4,FALSE),VLOOKUP($A12,West2009[],4,FALSE))</f>
        <v>0.80500000000000005</v>
      </c>
      <c r="BH12" s="4">
        <f t="shared" si="22"/>
        <v>0.79552754771338874</v>
      </c>
      <c r="BI12" s="5">
        <f t="shared" si="23"/>
        <v>9.4724522866113103E-3</v>
      </c>
      <c r="BJ12" s="1">
        <f>IFERROR(VLOOKUP($A12,East2008[],6,FALSE),VLOOKUP($A12,West2008[],6,FALSE))</f>
        <v>96.4</v>
      </c>
      <c r="BK12" s="1">
        <f>IFERROR(VLOOKUP($A12,East2008[],7,FALSE),VLOOKUP($A12,West2008[],7,FALSE))</f>
        <v>96.7</v>
      </c>
      <c r="BL12">
        <f>IFERROR(VLOOKUP($A12,East2008[],4,FALSE),VLOOKUP($A12,West2008[],4,FALSE))</f>
        <v>0.54900000000000004</v>
      </c>
      <c r="BM12" s="4">
        <f t="shared" si="24"/>
        <v>0.48864731578093984</v>
      </c>
      <c r="BN12" s="5">
        <f t="shared" si="25"/>
        <v>6.0352684219060204E-2</v>
      </c>
      <c r="BO12" s="1">
        <f>IFERROR(VLOOKUP($A12,East2007[],6,FALSE),VLOOKUP($A12,West2007[],6,FALSE))</f>
        <v>96.8</v>
      </c>
      <c r="BP12" s="1">
        <f>IFERROR(VLOOKUP($A12,East2007[],7,FALSE),VLOOKUP($A12,West2007[],7,FALSE))</f>
        <v>92.9</v>
      </c>
      <c r="BQ12">
        <f>IFERROR(VLOOKUP($A12,East2007[],4,FALSE),VLOOKUP($A12,West2007[],4,FALSE))</f>
        <v>0.61</v>
      </c>
      <c r="BR12" s="4">
        <f t="shared" si="26"/>
        <v>0.64427300877293436</v>
      </c>
      <c r="BS12" s="5">
        <f t="shared" si="27"/>
        <v>-3.4273008772934377E-2</v>
      </c>
      <c r="BT12" s="1">
        <f>IFERROR(VLOOKUP($A12,East2006[],6,FALSE),VLOOKUP($A12,West2006[],6,FALSE))</f>
        <v>97.6</v>
      </c>
      <c r="BU12" s="1">
        <f>IFERROR(VLOOKUP($A12,East2006[],7,FALSE),VLOOKUP($A12,West2006[],7,FALSE))</f>
        <v>95.4</v>
      </c>
      <c r="BV12">
        <f>IFERROR(VLOOKUP($A12,East2006[],4,FALSE),VLOOKUP($A12,West2006[],4,FALSE))</f>
        <v>0.61</v>
      </c>
      <c r="BW12" s="4">
        <f t="shared" si="28"/>
        <v>0.58018798693124274</v>
      </c>
      <c r="BX12" s="5">
        <f t="shared" si="29"/>
        <v>2.9812013068757248E-2</v>
      </c>
      <c r="BY12" s="1">
        <f>IFERROR(VLOOKUP($A12,East2005[],6,FALSE),VLOOKUP($A12,West2005[],6,FALSE))</f>
        <v>96.5</v>
      </c>
      <c r="BZ12" s="1">
        <f>IFERROR(VLOOKUP($A12,East2005[],7,FALSE),VLOOKUP($A12,West2005[],7,FALSE))</f>
        <v>95.7</v>
      </c>
      <c r="CA12">
        <f>IFERROR(VLOOKUP($A12,East2005[],4,FALSE),VLOOKUP($A12,West2005[],4,FALSE))</f>
        <v>0.51200000000000001</v>
      </c>
      <c r="CB12" s="4">
        <f t="shared" si="30"/>
        <v>0.52955633778761424</v>
      </c>
      <c r="CC12" s="5">
        <f t="shared" si="31"/>
        <v>-1.7556337787614229E-2</v>
      </c>
      <c r="CD12" s="1">
        <f>IFERROR(VLOOKUP($A12,East2004[],6,FALSE),VLOOKUP($A12,West2004[],6,FALSE))</f>
        <v>92.9</v>
      </c>
      <c r="CE12" s="1">
        <f>IFERROR(VLOOKUP($A12,East2004[],7,FALSE),VLOOKUP($A12,West2004[],7,FALSE))</f>
        <v>95.5</v>
      </c>
      <c r="CF12">
        <f>IFERROR(VLOOKUP($A12,East2004[],4,FALSE),VLOOKUP($A12,West2004[],4,FALSE))</f>
        <v>0.42699999999999999</v>
      </c>
      <c r="CG12" s="4">
        <f t="shared" si="32"/>
        <v>0.40681719353774953</v>
      </c>
      <c r="CH12" s="5">
        <f t="shared" si="33"/>
        <v>2.0182806462250458E-2</v>
      </c>
      <c r="CI12" s="1">
        <f>IFERROR(VLOOKUP($A12,East2003[],6,FALSE),VLOOKUP($A12,West2003[],6,FALSE))</f>
        <v>91.4</v>
      </c>
      <c r="CJ12" s="1">
        <f>IFERROR(VLOOKUP($A12,East2003[],7,FALSE),VLOOKUP($A12,West2003[],7,FALSE))</f>
        <v>101</v>
      </c>
      <c r="CK12">
        <f>IFERROR(VLOOKUP($A12,East2003[],4,FALSE),VLOOKUP($A12,West2003[],4,FALSE))</f>
        <v>0.20699999999999999</v>
      </c>
      <c r="CL12" s="4">
        <f t="shared" si="34"/>
        <v>0.19953644326693157</v>
      </c>
      <c r="CM12" s="5">
        <f t="shared" si="35"/>
        <v>7.4635567330684216E-3</v>
      </c>
    </row>
    <row r="13" spans="1:91" x14ac:dyDescent="0.25">
      <c r="A13" s="1" t="s">
        <v>159</v>
      </c>
      <c r="B13" s="1">
        <f>IFERROR(VLOOKUP(A13,East2020[],6,FALSE),VLOOKUP(A13,West2020[],6,FALSE))</f>
        <v>117</v>
      </c>
      <c r="C13" s="1">
        <f>IFERROR(VLOOKUP(A13,East2020[],7,FALSE),VLOOKUP(A13,West2020[],7,FALSE))</f>
        <v>112.1</v>
      </c>
      <c r="D13">
        <f>IFERROR(VLOOKUP(A13,East2020[],4,FALSE),VLOOKUP(A13,West2020[],4,FALSE))</f>
        <v>0.57299999999999995</v>
      </c>
      <c r="E13" s="4">
        <f t="shared" si="0"/>
        <v>0.66806622678975747</v>
      </c>
      <c r="F13" s="5">
        <f t="shared" si="1"/>
        <v>-9.5066226789757513E-2</v>
      </c>
      <c r="G13" s="1">
        <f>IFERROR(VLOOKUP($A13,East2019[],6,FALSE),VLOOKUP($A13,West2019[],6,FALSE))</f>
        <v>108.9</v>
      </c>
      <c r="H13" s="1">
        <f>IFERROR(VLOOKUP($A13,East2019[],7,FALSE),VLOOKUP($A13,West2019[],7,FALSE))</f>
        <v>110.1</v>
      </c>
      <c r="I13">
        <f>IFERROR(VLOOKUP($A13,East2019[],4,FALSE),VLOOKUP($A13,West2019[],4,FALSE))</f>
        <v>0.40200000000000002</v>
      </c>
      <c r="J13" s="4">
        <f t="shared" si="2"/>
        <v>0.45555192075654433</v>
      </c>
      <c r="K13" s="5">
        <f t="shared" si="3"/>
        <v>-5.3551920756544302E-2</v>
      </c>
      <c r="L13" s="1">
        <f>IFERROR(VLOOKUP($A13,East2018[],6,FALSE),VLOOKUP($A13,West2018[],6,FALSE))</f>
        <v>102.3</v>
      </c>
      <c r="M13" s="1">
        <f>IFERROR(VLOOKUP($A13,East2018[],7,FALSE),VLOOKUP($A13,West2018[],7,FALSE))</f>
        <v>105.4</v>
      </c>
      <c r="N13">
        <f>IFERROR(VLOOKUP($A13,East2018[],4,FALSE),VLOOKUP($A13,West2018[],4,FALSE))</f>
        <v>0.29299999999999998</v>
      </c>
      <c r="O13" s="4">
        <f t="shared" si="4"/>
        <v>0.38595215722452142</v>
      </c>
      <c r="P13" s="5">
        <f t="shared" si="5"/>
        <v>-9.2952157224521437E-2</v>
      </c>
      <c r="Q13" s="1">
        <f>IFERROR(VLOOKUP($A13,East2017[],6,FALSE),VLOOKUP($A13,West2017[],6,FALSE))</f>
        <v>97.9</v>
      </c>
      <c r="R13" s="1">
        <f>IFERROR(VLOOKUP($A13,East2017[],7,FALSE),VLOOKUP($A13,West2017[],7,FALSE))</f>
        <v>100.8</v>
      </c>
      <c r="S13">
        <f>IFERROR(VLOOKUP($A13,East2017[],4,FALSE),VLOOKUP($A13,West2017[],4,FALSE))</f>
        <v>0.40200000000000002</v>
      </c>
      <c r="T13" s="4">
        <f t="shared" si="6"/>
        <v>0.38914489851250522</v>
      </c>
      <c r="U13" s="5">
        <f t="shared" si="7"/>
        <v>1.2855101487494802E-2</v>
      </c>
      <c r="V13" s="1">
        <f>IFERROR(VLOOKUP($A13,East2016[],6,FALSE),VLOOKUP($A13,West2016[],6,FALSE))</f>
        <v>102.3</v>
      </c>
      <c r="W13" s="1">
        <f>IFERROR(VLOOKUP($A13,East2016[],7,FALSE),VLOOKUP($A13,West2016[],7,FALSE))</f>
        <v>102.6</v>
      </c>
      <c r="X13">
        <f>IFERROR(VLOOKUP($A13,East2016[],4,FALSE),VLOOKUP($A13,West2016[],4,FALSE))</f>
        <v>0.51200000000000001</v>
      </c>
      <c r="Y13" s="4">
        <f t="shared" si="8"/>
        <v>0.48900707452574876</v>
      </c>
      <c r="Z13" s="5">
        <f t="shared" si="9"/>
        <v>2.2992925474251247E-2</v>
      </c>
      <c r="AA13" s="1">
        <f>IFERROR(VLOOKUP($A13,East2015[],6,FALSE),VLOOKUP($A13,West2015[],6,FALSE))</f>
        <v>105.2</v>
      </c>
      <c r="AB13" s="1">
        <f>IFERROR(VLOOKUP($A13,East2015[],7,FALSE),VLOOKUP($A13,West2015[],7,FALSE))</f>
        <v>102.3</v>
      </c>
      <c r="AC13">
        <f>IFERROR(VLOOKUP($A13,East2015[],4,FALSE),VLOOKUP($A13,West2015[],4,FALSE))</f>
        <v>0.61</v>
      </c>
      <c r="AD13" s="4">
        <f t="shared" si="10"/>
        <v>0.60084450578414261</v>
      </c>
      <c r="AE13" s="5">
        <f t="shared" si="11"/>
        <v>9.1554942158573738E-3</v>
      </c>
      <c r="AF13" s="1">
        <f>IFERROR(VLOOKUP($A13,East2014[],6,FALSE),VLOOKUP($A13,West2014[],6,FALSE))</f>
        <v>104.8</v>
      </c>
      <c r="AG13" s="1">
        <f>IFERROR(VLOOKUP($A13,East2014[],7,FALSE),VLOOKUP($A13,West2014[],7,FALSE))</f>
        <v>102.4</v>
      </c>
      <c r="AH13">
        <f>IFERROR(VLOOKUP($A13,East2014[],4,FALSE),VLOOKUP($A13,West2014[],4,FALSE))</f>
        <v>0.59799999999999998</v>
      </c>
      <c r="AI13" s="4">
        <f t="shared" si="12"/>
        <v>0.58475534818800201</v>
      </c>
      <c r="AJ13" s="5">
        <f t="shared" si="13"/>
        <v>1.3244651811997965E-2</v>
      </c>
      <c r="AK13" s="1">
        <f>IFERROR(VLOOKUP($A13,East2013[],6,FALSE),VLOOKUP($A13,West2013[],6,FALSE))</f>
        <v>101.1</v>
      </c>
      <c r="AL13" s="1">
        <f>IFERROR(VLOOKUP($A13,East2013[],7,FALSE),VLOOKUP($A13,West2013[],7,FALSE))</f>
        <v>101.7</v>
      </c>
      <c r="AM13">
        <f>IFERROR(VLOOKUP($A13,East2013[],4,FALSE),VLOOKUP($A13,West2013[],4,FALSE))</f>
        <v>0.5</v>
      </c>
      <c r="AN13" s="4">
        <f t="shared" si="14"/>
        <v>0.47877663253725755</v>
      </c>
      <c r="AO13" s="5">
        <f t="shared" si="15"/>
        <v>2.1223367462742448E-2</v>
      </c>
      <c r="AP13" s="1">
        <f>IFERROR(VLOOKUP($A13,East2012[],6,FALSE),VLOOKUP($A13,West2012[],6,FALSE))</f>
        <v>95.8</v>
      </c>
      <c r="AQ13" s="1">
        <f>IFERROR(VLOOKUP($A13,East2012[],7,FALSE),VLOOKUP($A13,West2012[],7,FALSE))</f>
        <v>94.8</v>
      </c>
      <c r="AR13">
        <f>IFERROR(VLOOKUP($A13,East2012[],4,FALSE),VLOOKUP($A13,West2012[],4,FALSE))</f>
        <v>0.54500000000000004</v>
      </c>
      <c r="AS13" s="4">
        <f t="shared" si="16"/>
        <v>0.53687329756165381</v>
      </c>
      <c r="AT13" s="5">
        <f t="shared" si="17"/>
        <v>8.1267024383462338E-3</v>
      </c>
      <c r="AU13" s="1">
        <f>IFERROR(VLOOKUP($A13,East2011[],6,FALSE),VLOOKUP($A13,West2011[],6,FALSE))</f>
        <v>100.2</v>
      </c>
      <c r="AV13" s="1">
        <f>IFERROR(VLOOKUP($A13,East2011[],7,FALSE),VLOOKUP($A13,West2011[],7,FALSE))</f>
        <v>96</v>
      </c>
      <c r="AW13">
        <f>IFERROR(VLOOKUP($A13,East2011[],4,FALSE),VLOOKUP($A13,West2011[],4,FALSE))</f>
        <v>0.69499999999999995</v>
      </c>
      <c r="AX13" s="4">
        <f t="shared" si="18"/>
        <v>0.65103467183171992</v>
      </c>
      <c r="AY13" s="5">
        <f t="shared" si="19"/>
        <v>4.3965328168280027E-2</v>
      </c>
      <c r="AZ13" s="1">
        <f>IFERROR(VLOOKUP($A13,East2010[],6,FALSE),VLOOKUP($A13,West2010[],6,FALSE))</f>
        <v>102</v>
      </c>
      <c r="BA13" s="1">
        <f>IFERROR(VLOOKUP($A13,East2010[],7,FALSE),VLOOKUP($A13,West2010[],7,FALSE))</f>
        <v>99.3</v>
      </c>
      <c r="BB13">
        <f>IFERROR(VLOOKUP($A13,East2010[],4,FALSE),VLOOKUP($A13,West2010[],4,FALSE))</f>
        <v>0.67100000000000004</v>
      </c>
      <c r="BC13" s="4">
        <f t="shared" si="20"/>
        <v>0.59729631276134187</v>
      </c>
      <c r="BD13" s="5">
        <f t="shared" si="21"/>
        <v>7.3703687238658167E-2</v>
      </c>
      <c r="BE13" s="1">
        <f>IFERROR(VLOOKUP($A13,East2009[],6,FALSE),VLOOKUP($A13,West2009[],6,FALSE))</f>
        <v>101.7</v>
      </c>
      <c r="BF13" s="1">
        <f>IFERROR(VLOOKUP($A13,East2009[],7,FALSE),VLOOKUP($A13,West2009[],7,FALSE))</f>
        <v>99.8</v>
      </c>
      <c r="BG13">
        <f>IFERROR(VLOOKUP($A13,East2009[],4,FALSE),VLOOKUP($A13,West2009[],4,FALSE))</f>
        <v>0.61</v>
      </c>
      <c r="BH13" s="4">
        <f t="shared" si="22"/>
        <v>0.56850061111762273</v>
      </c>
      <c r="BI13" s="5">
        <f t="shared" si="23"/>
        <v>4.1499388882377253E-2</v>
      </c>
      <c r="BJ13" s="1">
        <f>IFERROR(VLOOKUP($A13,East2008[],6,FALSE),VLOOKUP($A13,West2008[],6,FALSE))</f>
        <v>100.4</v>
      </c>
      <c r="BK13" s="1">
        <f>IFERROR(VLOOKUP($A13,East2008[],7,FALSE),VLOOKUP($A13,West2008[],7,FALSE))</f>
        <v>95.9</v>
      </c>
      <c r="BL13">
        <f>IFERROR(VLOOKUP($A13,East2008[],4,FALSE),VLOOKUP($A13,West2008[],4,FALSE))</f>
        <v>0.622</v>
      </c>
      <c r="BM13" s="4">
        <f t="shared" si="24"/>
        <v>0.66156789640132818</v>
      </c>
      <c r="BN13" s="5">
        <f t="shared" si="25"/>
        <v>-3.9567896401328184E-2</v>
      </c>
      <c r="BO13" s="1">
        <f>IFERROR(VLOOKUP($A13,East2007[],6,FALSE),VLOOKUP($A13,West2007[],6,FALSE))</f>
        <v>100</v>
      </c>
      <c r="BP13" s="1">
        <f>IFERROR(VLOOKUP($A13,East2007[],7,FALSE),VLOOKUP($A13,West2007[],7,FALSE))</f>
        <v>92.8</v>
      </c>
      <c r="BQ13">
        <f>IFERROR(VLOOKUP($A13,East2007[],4,FALSE),VLOOKUP($A13,West2007[],4,FALSE))</f>
        <v>0.81699999999999995</v>
      </c>
      <c r="BR13" s="4">
        <f t="shared" si="26"/>
        <v>0.74635363460349213</v>
      </c>
      <c r="BS13" s="5">
        <f t="shared" si="27"/>
        <v>7.0646365396507815E-2</v>
      </c>
      <c r="BT13" s="1">
        <f>IFERROR(VLOOKUP($A13,East2006[],6,FALSE),VLOOKUP($A13,West2006[],6,FALSE))</f>
        <v>99.1</v>
      </c>
      <c r="BU13" s="1">
        <f>IFERROR(VLOOKUP($A13,East2006[],7,FALSE),VLOOKUP($A13,West2006[],7,FALSE))</f>
        <v>93.1</v>
      </c>
      <c r="BV13">
        <f>IFERROR(VLOOKUP($A13,East2006[],4,FALSE),VLOOKUP($A13,West2006[],4,FALSE))</f>
        <v>0.73199999999999998</v>
      </c>
      <c r="BW13" s="4">
        <f t="shared" si="28"/>
        <v>0.7081298108320111</v>
      </c>
      <c r="BX13" s="5">
        <f t="shared" si="29"/>
        <v>2.3870189167988887E-2</v>
      </c>
      <c r="BY13" s="1">
        <f>IFERROR(VLOOKUP($A13,East2005[],6,FALSE),VLOOKUP($A13,West2005[],6,FALSE))</f>
        <v>102.5</v>
      </c>
      <c r="BZ13" s="1">
        <f>IFERROR(VLOOKUP($A13,East2005[],7,FALSE),VLOOKUP($A13,West2005[],7,FALSE))</f>
        <v>96.8</v>
      </c>
      <c r="CA13">
        <f>IFERROR(VLOOKUP($A13,East2005[],4,FALSE),VLOOKUP($A13,West2005[],4,FALSE))</f>
        <v>0.70699999999999996</v>
      </c>
      <c r="CB13" s="4">
        <f t="shared" si="30"/>
        <v>0.69285745244556129</v>
      </c>
      <c r="CC13" s="5">
        <f t="shared" si="31"/>
        <v>1.4142547554438667E-2</v>
      </c>
      <c r="CD13" s="1">
        <f>IFERROR(VLOOKUP($A13,East2004[],6,FALSE),VLOOKUP($A13,West2004[],6,FALSE))</f>
        <v>105.2</v>
      </c>
      <c r="CE13" s="1">
        <f>IFERROR(VLOOKUP($A13,East2004[],7,FALSE),VLOOKUP($A13,West2004[],7,FALSE))</f>
        <v>100.8</v>
      </c>
      <c r="CF13">
        <f>IFERROR(VLOOKUP($A13,East2004[],4,FALSE),VLOOKUP($A13,West2004[],4,FALSE))</f>
        <v>0.63400000000000001</v>
      </c>
      <c r="CG13" s="4">
        <f t="shared" si="32"/>
        <v>0.64193158304234743</v>
      </c>
      <c r="CH13" s="5">
        <f t="shared" si="33"/>
        <v>-7.9315830423474232E-3</v>
      </c>
      <c r="CI13" s="1">
        <f>IFERROR(VLOOKUP($A13,East2003[],6,FALSE),VLOOKUP($A13,West2003[],6,FALSE))</f>
        <v>103</v>
      </c>
      <c r="CJ13" s="1">
        <f>IFERROR(VLOOKUP($A13,East2003[],7,FALSE),VLOOKUP($A13,West2003[],7,FALSE))</f>
        <v>95.2</v>
      </c>
      <c r="CK13">
        <f>IFERROR(VLOOKUP($A13,East2003[],4,FALSE),VLOOKUP($A13,West2003[],4,FALSE))</f>
        <v>0.73199999999999998</v>
      </c>
      <c r="CL13" s="4">
        <f t="shared" si="34"/>
        <v>0.74938704821442736</v>
      </c>
      <c r="CM13" s="5">
        <f t="shared" si="35"/>
        <v>-1.7387048214427381E-2</v>
      </c>
    </row>
    <row r="14" spans="1:91" x14ac:dyDescent="0.25">
      <c r="A14" s="1" t="s">
        <v>155</v>
      </c>
      <c r="B14" s="1">
        <f>IFERROR(VLOOKUP(A14,East2020[],6,FALSE),VLOOKUP(A14,West2020[],6,FALSE))</f>
        <v>111.3</v>
      </c>
      <c r="C14" s="1">
        <f>IFERROR(VLOOKUP(A14,East2020[],7,FALSE),VLOOKUP(A14,West2020[],7,FALSE))</f>
        <v>109.2</v>
      </c>
      <c r="D14">
        <f>IFERROR(VLOOKUP(A14,East2020[],4,FALSE),VLOOKUP(A14,West2020[],4,FALSE))</f>
        <v>0.63</v>
      </c>
      <c r="E14" s="4">
        <f t="shared" si="0"/>
        <v>0.57723146552308024</v>
      </c>
      <c r="F14" s="5">
        <f t="shared" si="1"/>
        <v>5.276853447691976E-2</v>
      </c>
      <c r="G14" s="1">
        <f>IFERROR(VLOOKUP($A14,East2019[],6,FALSE),VLOOKUP($A14,West2019[],6,FALSE))</f>
        <v>110.7</v>
      </c>
      <c r="H14" s="1">
        <f>IFERROR(VLOOKUP($A14,East2019[],7,FALSE),VLOOKUP($A14,West2019[],7,FALSE))</f>
        <v>106.7</v>
      </c>
      <c r="I14">
        <f>IFERROR(VLOOKUP($A14,East2019[],4,FALSE),VLOOKUP($A14,West2019[],4,FALSE))</f>
        <v>0.65900000000000003</v>
      </c>
      <c r="J14" s="4">
        <f t="shared" si="2"/>
        <v>0.64534610469524512</v>
      </c>
      <c r="K14" s="5">
        <f t="shared" si="3"/>
        <v>1.3653895304754915E-2</v>
      </c>
      <c r="L14" s="1">
        <f>IFERROR(VLOOKUP($A14,East2018[],6,FALSE),VLOOKUP($A14,West2018[],6,FALSE))</f>
        <v>110</v>
      </c>
      <c r="M14" s="1">
        <f>IFERROR(VLOOKUP($A14,East2018[],7,FALSE),VLOOKUP($A14,West2018[],7,FALSE))</f>
        <v>108.5</v>
      </c>
      <c r="N14">
        <f>IFERROR(VLOOKUP($A14,East2018[],4,FALSE),VLOOKUP($A14,West2018[],4,FALSE))</f>
        <v>0.56100000000000005</v>
      </c>
      <c r="O14" s="4">
        <f t="shared" si="4"/>
        <v>0.55319086621314895</v>
      </c>
      <c r="P14" s="5">
        <f t="shared" si="5"/>
        <v>7.8091337868511079E-3</v>
      </c>
      <c r="Q14" s="1">
        <f>IFERROR(VLOOKUP($A14,East2017[],6,FALSE),VLOOKUP($A14,West2017[],6,FALSE))</f>
        <v>111.7</v>
      </c>
      <c r="R14" s="1">
        <f>IFERROR(VLOOKUP($A14,East2017[],7,FALSE),VLOOKUP($A14,West2017[],7,FALSE))</f>
        <v>111.2</v>
      </c>
      <c r="S14">
        <f>IFERROR(VLOOKUP($A14,East2017[],4,FALSE),VLOOKUP($A14,West2017[],4,FALSE))</f>
        <v>0.48799999999999999</v>
      </c>
      <c r="T14" s="4">
        <f t="shared" si="6"/>
        <v>0.51731744884469311</v>
      </c>
      <c r="U14" s="5">
        <f t="shared" si="7"/>
        <v>-2.9317448844693117E-2</v>
      </c>
      <c r="V14" s="1">
        <f>IFERROR(VLOOKUP($A14,East2016[],6,FALSE),VLOOKUP($A14,West2016[],6,FALSE))</f>
        <v>101.9</v>
      </c>
      <c r="W14" s="1">
        <f>IFERROR(VLOOKUP($A14,East2016[],7,FALSE),VLOOKUP($A14,West2016[],7,FALSE))</f>
        <v>105</v>
      </c>
      <c r="X14">
        <f>IFERROR(VLOOKUP($A14,East2016[],4,FALSE),VLOOKUP($A14,West2016[],4,FALSE))</f>
        <v>0.40200000000000002</v>
      </c>
      <c r="Y14" s="4">
        <f t="shared" si="8"/>
        <v>0.38933986072520615</v>
      </c>
      <c r="Z14" s="5">
        <f t="shared" si="9"/>
        <v>1.2660139274793869E-2</v>
      </c>
      <c r="AA14" s="1">
        <f>IFERROR(VLOOKUP($A14,East2015[],6,FALSE),VLOOKUP($A14,West2015[],6,FALSE))</f>
        <v>101.5</v>
      </c>
      <c r="AB14" s="1">
        <f>IFERROR(VLOOKUP($A14,East2015[],7,FALSE),VLOOKUP($A14,West2015[],7,FALSE))</f>
        <v>105</v>
      </c>
      <c r="AC14">
        <f>IFERROR(VLOOKUP($A14,East2015[],4,FALSE),VLOOKUP($A14,West2015[],4,FALSE))</f>
        <v>0.36599999999999999</v>
      </c>
      <c r="AD14" s="4">
        <f t="shared" si="10"/>
        <v>0.37847919777000921</v>
      </c>
      <c r="AE14" s="5">
        <f t="shared" si="11"/>
        <v>-1.247919777000922E-2</v>
      </c>
      <c r="AF14" s="1">
        <f>IFERROR(VLOOKUP($A14,East2014[],6,FALSE),VLOOKUP($A14,West2014[],6,FALSE))</f>
        <v>104.4</v>
      </c>
      <c r="AG14" s="1">
        <f>IFERROR(VLOOKUP($A14,East2014[],7,FALSE),VLOOKUP($A14,West2014[],7,FALSE))</f>
        <v>106.5</v>
      </c>
      <c r="AH14">
        <f>IFERROR(VLOOKUP($A14,East2014[],4,FALSE),VLOOKUP($A14,West2014[],4,FALSE))</f>
        <v>0.439</v>
      </c>
      <c r="AI14" s="4">
        <f t="shared" si="12"/>
        <v>0.4269572237603651</v>
      </c>
      <c r="AJ14" s="5">
        <f t="shared" si="13"/>
        <v>1.20427762396349E-2</v>
      </c>
      <c r="AK14" s="1">
        <f>IFERROR(VLOOKUP($A14,East2013[],6,FALSE),VLOOKUP($A14,West2013[],6,FALSE))</f>
        <v>106.1</v>
      </c>
      <c r="AL14" s="1">
        <f>IFERROR(VLOOKUP($A14,East2013[],7,FALSE),VLOOKUP($A14,West2013[],7,FALSE))</f>
        <v>101.1</v>
      </c>
      <c r="AM14">
        <f>IFERROR(VLOOKUP($A14,East2013[],4,FALSE),VLOOKUP($A14,West2013[],4,FALSE))</f>
        <v>0.69499999999999995</v>
      </c>
      <c r="AN14" s="4">
        <f t="shared" si="14"/>
        <v>0.66662760710670854</v>
      </c>
      <c r="AO14" s="5">
        <f t="shared" si="15"/>
        <v>2.8372392893291409E-2</v>
      </c>
      <c r="AP14" s="1">
        <f>IFERROR(VLOOKUP($A14,East2012[],6,FALSE),VLOOKUP($A14,West2012[],6,FALSE))</f>
        <v>104.1</v>
      </c>
      <c r="AQ14" s="1">
        <f>IFERROR(VLOOKUP($A14,East2012[],7,FALSE),VLOOKUP($A14,West2012[],7,FALSE))</f>
        <v>101.2</v>
      </c>
      <c r="AR14">
        <f>IFERROR(VLOOKUP($A14,East2012[],4,FALSE),VLOOKUP($A14,West2012[],4,FALSE))</f>
        <v>0.57599999999999996</v>
      </c>
      <c r="AS14" s="4">
        <f t="shared" si="16"/>
        <v>0.59817068817882368</v>
      </c>
      <c r="AT14" s="5">
        <f t="shared" si="17"/>
        <v>-2.2170688178823728E-2</v>
      </c>
      <c r="AU14" s="1">
        <f>IFERROR(VLOOKUP($A14,East2011[],6,FALSE),VLOOKUP($A14,West2011[],6,FALSE))</f>
        <v>107.5</v>
      </c>
      <c r="AV14" s="1">
        <f>IFERROR(VLOOKUP($A14,East2011[],7,FALSE),VLOOKUP($A14,West2011[],7,FALSE))</f>
        <v>102.7</v>
      </c>
      <c r="AW14">
        <f>IFERROR(VLOOKUP($A14,East2011[],4,FALSE),VLOOKUP($A14,West2011[],4,FALSE))</f>
        <v>0.61</v>
      </c>
      <c r="AX14" s="4">
        <f t="shared" si="18"/>
        <v>0.66043251589014096</v>
      </c>
      <c r="AY14" s="5">
        <f t="shared" si="19"/>
        <v>-5.0432515890140972E-2</v>
      </c>
      <c r="AZ14" s="1">
        <f>IFERROR(VLOOKUP($A14,East2010[],6,FALSE),VLOOKUP($A14,West2010[],6,FALSE))</f>
        <v>106.5</v>
      </c>
      <c r="BA14" s="1">
        <f>IFERROR(VLOOKUP($A14,East2010[],7,FALSE),VLOOKUP($A14,West2010[],7,FALSE))</f>
        <v>102.4</v>
      </c>
      <c r="BB14">
        <f>IFERROR(VLOOKUP($A14,East2010[],4,FALSE),VLOOKUP($A14,West2010[],4,FALSE))</f>
        <v>0.64600000000000002</v>
      </c>
      <c r="BC14" s="4">
        <f t="shared" si="20"/>
        <v>0.64034913171303376</v>
      </c>
      <c r="BD14" s="5">
        <f t="shared" si="21"/>
        <v>5.6508682869662596E-3</v>
      </c>
      <c r="BE14" s="1">
        <f>IFERROR(VLOOKUP($A14,East2009[],6,FALSE),VLOOKUP($A14,West2009[],6,FALSE))</f>
        <v>104.3</v>
      </c>
      <c r="BF14" s="1">
        <f>IFERROR(VLOOKUP($A14,East2009[],7,FALSE),VLOOKUP($A14,West2009[],7,FALSE))</f>
        <v>100.9</v>
      </c>
      <c r="BG14">
        <f>IFERROR(VLOOKUP($A14,East2009[],4,FALSE),VLOOKUP($A14,West2009[],4,FALSE))</f>
        <v>0.65900000000000003</v>
      </c>
      <c r="BH14" s="4">
        <f t="shared" si="22"/>
        <v>0.61882308836842137</v>
      </c>
      <c r="BI14" s="5">
        <f t="shared" si="23"/>
        <v>4.017691163157866E-2</v>
      </c>
      <c r="BJ14" s="1">
        <f>IFERROR(VLOOKUP($A14,East2008[],6,FALSE),VLOOKUP($A14,West2008[],6,FALSE))</f>
        <v>110.7</v>
      </c>
      <c r="BK14" s="1">
        <f>IFERROR(VLOOKUP($A14,East2008[],7,FALSE),VLOOKUP($A14,West2008[],7,FALSE))</f>
        <v>107</v>
      </c>
      <c r="BL14">
        <f>IFERROR(VLOOKUP($A14,East2008[],4,FALSE),VLOOKUP($A14,West2008[],4,FALSE))</f>
        <v>0.61</v>
      </c>
      <c r="BM14" s="4">
        <f t="shared" si="24"/>
        <v>0.62173323095670108</v>
      </c>
      <c r="BN14" s="5">
        <f t="shared" si="25"/>
        <v>-1.1733230956701091E-2</v>
      </c>
      <c r="BO14" s="1">
        <f>IFERROR(VLOOKUP($A14,East2007[],6,FALSE),VLOOKUP($A14,West2007[],6,FALSE))</f>
        <v>105.4</v>
      </c>
      <c r="BP14" s="1">
        <f>IFERROR(VLOOKUP($A14,East2007[],7,FALSE),VLOOKUP($A14,West2007[],7,FALSE))</f>
        <v>103.7</v>
      </c>
      <c r="BQ14">
        <f>IFERROR(VLOOKUP($A14,East2007[],4,FALSE),VLOOKUP($A14,West2007[],4,FALSE))</f>
        <v>0.54900000000000004</v>
      </c>
      <c r="BR14" s="4">
        <f t="shared" si="26"/>
        <v>0.55844571057209169</v>
      </c>
      <c r="BS14" s="5">
        <f t="shared" si="27"/>
        <v>-9.4457105720916479E-3</v>
      </c>
      <c r="BT14" s="1">
        <f>IFERROR(VLOOKUP($A14,East2006[],6,FALSE),VLOOKUP($A14,West2006[],6,FALSE))</f>
        <v>100.3</v>
      </c>
      <c r="BU14" s="1">
        <f>IFERROR(VLOOKUP($A14,East2006[],7,FALSE),VLOOKUP($A14,West2006[],7,FALSE))</f>
        <v>100.1</v>
      </c>
      <c r="BV14">
        <f>IFERROR(VLOOKUP($A14,East2006[],4,FALSE),VLOOKUP($A14,West2006[],4,FALSE))</f>
        <v>0.53700000000000003</v>
      </c>
      <c r="BW14" s="4">
        <f t="shared" si="28"/>
        <v>0.50708099188137934</v>
      </c>
      <c r="BX14" s="5">
        <f t="shared" si="29"/>
        <v>2.9919008118620694E-2</v>
      </c>
      <c r="BY14" s="1">
        <f>IFERROR(VLOOKUP($A14,East2005[],6,FALSE),VLOOKUP($A14,West2005[],6,FALSE))</f>
        <v>99.5</v>
      </c>
      <c r="BZ14" s="1">
        <f>IFERROR(VLOOKUP($A14,East2005[],7,FALSE),VLOOKUP($A14,West2005[],7,FALSE))</f>
        <v>97.5</v>
      </c>
      <c r="CA14">
        <f>IFERROR(VLOOKUP($A14,East2005[],4,FALSE),VLOOKUP($A14,West2005[],4,FALSE))</f>
        <v>0.59799999999999998</v>
      </c>
      <c r="CB14" s="4">
        <f t="shared" si="30"/>
        <v>0.57167947405508124</v>
      </c>
      <c r="CC14" s="5">
        <f t="shared" si="31"/>
        <v>2.6320525944918738E-2</v>
      </c>
      <c r="CD14" s="1">
        <f>IFERROR(VLOOKUP($A14,East2004[],6,FALSE),VLOOKUP($A14,West2004[],6,FALSE))</f>
        <v>97.2</v>
      </c>
      <c r="CE14" s="1">
        <f>IFERROR(VLOOKUP($A14,East2004[],7,FALSE),VLOOKUP($A14,West2004[],7,FALSE))</f>
        <v>96.1</v>
      </c>
      <c r="CF14">
        <f>IFERROR(VLOOKUP($A14,East2004[],4,FALSE),VLOOKUP($A14,West2004[],4,FALSE))</f>
        <v>0.52400000000000002</v>
      </c>
      <c r="CG14" s="4">
        <f t="shared" si="32"/>
        <v>0.53879829636779086</v>
      </c>
      <c r="CH14" s="5">
        <f t="shared" si="33"/>
        <v>-1.4798296367790842E-2</v>
      </c>
      <c r="CI14" s="1">
        <f>IFERROR(VLOOKUP($A14,East2003[],6,FALSE),VLOOKUP($A14,West2003[],6,FALSE))</f>
        <v>84.2</v>
      </c>
      <c r="CJ14" s="1">
        <f>IFERROR(VLOOKUP($A14,East2003[],7,FALSE),VLOOKUP($A14,West2003[],7,FALSE))</f>
        <v>92.4</v>
      </c>
      <c r="CK14">
        <f>IFERROR(VLOOKUP($A14,East2003[],4,FALSE),VLOOKUP($A14,West2003[],4,FALSE))</f>
        <v>0.20699999999999999</v>
      </c>
      <c r="CL14" s="4">
        <f t="shared" si="34"/>
        <v>0.21540934890373042</v>
      </c>
      <c r="CM14" s="5">
        <f t="shared" si="35"/>
        <v>-8.4093489037304348E-3</v>
      </c>
    </row>
    <row r="15" spans="1:91" x14ac:dyDescent="0.25">
      <c r="A15" s="1" t="s">
        <v>148</v>
      </c>
      <c r="B15" s="1">
        <f>IFERROR(VLOOKUP(A15,East2020[],6,FALSE),VLOOKUP(A15,West2020[],6,FALSE))</f>
        <v>107.2</v>
      </c>
      <c r="C15" s="1">
        <f>IFERROR(VLOOKUP(A15,East2020[],7,FALSE),VLOOKUP(A15,West2020[],7,FALSE))</f>
        <v>110.8</v>
      </c>
      <c r="D15">
        <f>IFERROR(VLOOKUP(A15,East2020[],4,FALSE),VLOOKUP(A15,West2020[],4,FALSE))</f>
        <v>0.30299999999999999</v>
      </c>
      <c r="E15" s="4">
        <f t="shared" si="0"/>
        <v>0.36818401858209748</v>
      </c>
      <c r="F15" s="5">
        <f t="shared" si="1"/>
        <v>-6.5184018582097492E-2</v>
      </c>
      <c r="G15" s="1">
        <f>IFERROR(VLOOKUP($A15,East2019[],6,FALSE),VLOOKUP($A15,West2019[],6,FALSE))</f>
        <v>107</v>
      </c>
      <c r="H15" s="1">
        <f>IFERROR(VLOOKUP($A15,East2019[],7,FALSE),VLOOKUP($A15,West2019[],7,FALSE))</f>
        <v>107.3</v>
      </c>
      <c r="I15">
        <f>IFERROR(VLOOKUP($A15,East2019[],4,FALSE),VLOOKUP($A15,West2019[],4,FALSE))</f>
        <v>0.5</v>
      </c>
      <c r="J15" s="4">
        <f t="shared" si="2"/>
        <v>0.48861629124400552</v>
      </c>
      <c r="K15" s="5">
        <f t="shared" si="3"/>
        <v>1.1383708755994482E-2</v>
      </c>
      <c r="L15" s="1">
        <f>IFERROR(VLOOKUP($A15,East2018[],6,FALSE),VLOOKUP($A15,West2018[],6,FALSE))</f>
        <v>103.8</v>
      </c>
      <c r="M15" s="1">
        <f>IFERROR(VLOOKUP($A15,East2018[],7,FALSE),VLOOKUP($A15,West2018[],7,FALSE))</f>
        <v>103.9</v>
      </c>
      <c r="N15">
        <f>IFERROR(VLOOKUP($A15,East2018[],4,FALSE),VLOOKUP($A15,West2018[],4,FALSE))</f>
        <v>0.47599999999999998</v>
      </c>
      <c r="O15" s="4">
        <f t="shared" si="4"/>
        <v>0.49625551370904225</v>
      </c>
      <c r="P15" s="5">
        <f t="shared" si="5"/>
        <v>-2.0255513709042272E-2</v>
      </c>
      <c r="Q15" s="1">
        <f>IFERROR(VLOOKUP($A15,East2017[],6,FALSE),VLOOKUP($A15,West2017[],6,FALSE))</f>
        <v>101.3</v>
      </c>
      <c r="R15" s="1">
        <f>IFERROR(VLOOKUP($A15,East2017[],7,FALSE),VLOOKUP($A15,West2017[],7,FALSE))</f>
        <v>102.5</v>
      </c>
      <c r="S15">
        <f>IFERROR(VLOOKUP($A15,East2017[],4,FALSE),VLOOKUP($A15,West2017[],4,FALSE))</f>
        <v>0.45100000000000001</v>
      </c>
      <c r="T15" s="4">
        <f t="shared" si="6"/>
        <v>0.45464931286319105</v>
      </c>
      <c r="U15" s="5">
        <f t="shared" si="7"/>
        <v>-3.6493128631910343E-3</v>
      </c>
      <c r="V15" s="1">
        <f>IFERROR(VLOOKUP($A15,East2016[],6,FALSE),VLOOKUP($A15,West2016[],6,FALSE))</f>
        <v>102</v>
      </c>
      <c r="W15" s="1">
        <f>IFERROR(VLOOKUP($A15,East2016[],7,FALSE),VLOOKUP($A15,West2016[],7,FALSE))</f>
        <v>101.4</v>
      </c>
      <c r="X15">
        <f>IFERROR(VLOOKUP($A15,East2016[],4,FALSE),VLOOKUP($A15,West2016[],4,FALSE))</f>
        <v>0.53700000000000003</v>
      </c>
      <c r="Y15" s="4">
        <f t="shared" si="8"/>
        <v>0.52213712506367205</v>
      </c>
      <c r="Z15" s="5">
        <f t="shared" si="9"/>
        <v>1.4862874936327986E-2</v>
      </c>
      <c r="AA15" s="1">
        <f>IFERROR(VLOOKUP($A15,East2015[],6,FALSE),VLOOKUP($A15,West2015[],6,FALSE))</f>
        <v>98.5</v>
      </c>
      <c r="AB15" s="1">
        <f>IFERROR(VLOOKUP($A15,East2015[],7,FALSE),VLOOKUP($A15,West2015[],7,FALSE))</f>
        <v>99.5</v>
      </c>
      <c r="AC15">
        <f>IFERROR(VLOOKUP($A15,East2015[],4,FALSE),VLOOKUP($A15,West2015[],4,FALSE))</f>
        <v>0.39</v>
      </c>
      <c r="AD15" s="4">
        <f t="shared" si="10"/>
        <v>0.4631202137439932</v>
      </c>
      <c r="AE15" s="5">
        <f t="shared" si="11"/>
        <v>-7.312021374399319E-2</v>
      </c>
      <c r="AF15" s="1">
        <f>IFERROR(VLOOKUP($A15,East2014[],6,FALSE),VLOOKUP($A15,West2014[],6,FALSE))</f>
        <v>101</v>
      </c>
      <c r="AG15" s="1">
        <f>IFERROR(VLOOKUP($A15,East2014[],7,FALSE),VLOOKUP($A15,West2014[],7,FALSE))</f>
        <v>104.7</v>
      </c>
      <c r="AH15">
        <f>IFERROR(VLOOKUP($A15,East2014[],4,FALSE),VLOOKUP($A15,West2014[],4,FALSE))</f>
        <v>0.35399999999999998</v>
      </c>
      <c r="AI15" s="4">
        <f t="shared" si="12"/>
        <v>0.37013583636992253</v>
      </c>
      <c r="AJ15" s="5">
        <f t="shared" si="13"/>
        <v>-1.6135836369922552E-2</v>
      </c>
      <c r="AK15" s="1">
        <f>IFERROR(VLOOKUP($A15,East2013[],6,FALSE),VLOOKUP($A15,West2013[],6,FALSE))</f>
        <v>94.9</v>
      </c>
      <c r="AL15" s="1">
        <f>IFERROR(VLOOKUP($A15,East2013[],7,FALSE),VLOOKUP($A15,West2013[],7,FALSE))</f>
        <v>98.8</v>
      </c>
      <c r="AM15">
        <f>IFERROR(VLOOKUP($A15,East2013[],4,FALSE),VLOOKUP($A15,West2013[],4,FALSE))</f>
        <v>0.35399999999999998</v>
      </c>
      <c r="AN15" s="4">
        <f t="shared" si="14"/>
        <v>0.35935719414641715</v>
      </c>
      <c r="AO15" s="5">
        <f t="shared" si="15"/>
        <v>-5.3571941464171657E-3</v>
      </c>
      <c r="AP15" s="1">
        <f>IFERROR(VLOOKUP($A15,East2012[],6,FALSE),VLOOKUP($A15,West2012[],6,FALSE))</f>
        <v>90.9</v>
      </c>
      <c r="AQ15" s="1">
        <f>IFERROR(VLOOKUP($A15,East2012[],7,FALSE),VLOOKUP($A15,West2012[],7,FALSE))</f>
        <v>95.7</v>
      </c>
      <c r="AR15">
        <f>IFERROR(VLOOKUP($A15,East2012[],4,FALSE),VLOOKUP($A15,West2012[],4,FALSE))</f>
        <v>0.379</v>
      </c>
      <c r="AS15" s="4">
        <f t="shared" si="16"/>
        <v>0.32637821755089208</v>
      </c>
      <c r="AT15" s="5">
        <f t="shared" si="17"/>
        <v>5.2621782449107923E-2</v>
      </c>
      <c r="AU15" s="1">
        <f>IFERROR(VLOOKUP($A15,East2011[],6,FALSE),VLOOKUP($A15,West2011[],6,FALSE))</f>
        <v>97</v>
      </c>
      <c r="AV15" s="1">
        <f>IFERROR(VLOOKUP($A15,East2011[],7,FALSE),VLOOKUP($A15,West2011[],7,FALSE))</f>
        <v>100.6</v>
      </c>
      <c r="AW15">
        <f>IFERROR(VLOOKUP($A15,East2011[],4,FALSE),VLOOKUP($A15,West2011[],4,FALSE))</f>
        <v>0.36599999999999999</v>
      </c>
      <c r="AX15" s="4">
        <f t="shared" si="18"/>
        <v>0.37035441901390181</v>
      </c>
      <c r="AY15" s="5">
        <f t="shared" si="19"/>
        <v>-4.3544190139018224E-3</v>
      </c>
      <c r="AZ15" s="1">
        <f>IFERROR(VLOOKUP($A15,East2010[],6,FALSE),VLOOKUP($A15,West2010[],6,FALSE))</f>
        <v>94</v>
      </c>
      <c r="BA15" s="1">
        <f>IFERROR(VLOOKUP($A15,East2010[],7,FALSE),VLOOKUP($A15,West2010[],7,FALSE))</f>
        <v>99.1</v>
      </c>
      <c r="BB15">
        <f>IFERROR(VLOOKUP($A15,East2010[],4,FALSE),VLOOKUP($A15,West2010[],4,FALSE))</f>
        <v>0.32900000000000001</v>
      </c>
      <c r="BC15" s="4">
        <f t="shared" si="20"/>
        <v>0.31510109941612419</v>
      </c>
      <c r="BD15" s="5">
        <f t="shared" si="21"/>
        <v>1.3898900583875828E-2</v>
      </c>
      <c r="BE15" s="1">
        <f>IFERROR(VLOOKUP($A15,East2009[],6,FALSE),VLOOKUP($A15,West2009[],6,FALSE))</f>
        <v>94.2</v>
      </c>
      <c r="BF15" s="1">
        <f>IFERROR(VLOOKUP($A15,East2009[],7,FALSE),VLOOKUP($A15,West2009[],7,FALSE))</f>
        <v>94.7</v>
      </c>
      <c r="BG15">
        <f>IFERROR(VLOOKUP($A15,East2009[],4,FALSE),VLOOKUP($A15,West2009[],4,FALSE))</f>
        <v>0.47599999999999998</v>
      </c>
      <c r="BH15" s="4">
        <f t="shared" si="22"/>
        <v>0.48065962709831805</v>
      </c>
      <c r="BI15" s="5">
        <f t="shared" si="23"/>
        <v>-4.6596270983180754E-3</v>
      </c>
      <c r="BJ15" s="1">
        <f>IFERROR(VLOOKUP($A15,East2008[],6,FALSE),VLOOKUP($A15,West2008[],6,FALSE))</f>
        <v>97.5</v>
      </c>
      <c r="BK15" s="1">
        <f>IFERROR(VLOOKUP($A15,East2008[],7,FALSE),VLOOKUP($A15,West2008[],7,FALSE))</f>
        <v>90.1</v>
      </c>
      <c r="BL15">
        <f>IFERROR(VLOOKUP($A15,East2008[],4,FALSE),VLOOKUP($A15,West2008[],4,FALSE))</f>
        <v>0.72</v>
      </c>
      <c r="BM15" s="4">
        <f t="shared" si="24"/>
        <v>0.76019832109087393</v>
      </c>
      <c r="BN15" s="5">
        <f t="shared" si="25"/>
        <v>-4.0198321090873956E-2</v>
      </c>
      <c r="BO15" s="1">
        <f>IFERROR(VLOOKUP($A15,East2007[],6,FALSE),VLOOKUP($A15,West2007[],6,FALSE))</f>
        <v>96</v>
      </c>
      <c r="BP15" s="1">
        <f>IFERROR(VLOOKUP($A15,East2007[],7,FALSE),VLOOKUP($A15,West2007[],7,FALSE))</f>
        <v>91.8</v>
      </c>
      <c r="BQ15">
        <f>IFERROR(VLOOKUP($A15,East2007[],4,FALSE),VLOOKUP($A15,West2007[],4,FALSE))</f>
        <v>0.64600000000000002</v>
      </c>
      <c r="BR15" s="4">
        <f t="shared" si="26"/>
        <v>0.65613925252740646</v>
      </c>
      <c r="BS15" s="5">
        <f t="shared" si="27"/>
        <v>-1.0139252527406439E-2</v>
      </c>
      <c r="BT15" s="1">
        <f>IFERROR(VLOOKUP($A15,East2006[],6,FALSE),VLOOKUP($A15,West2006[],6,FALSE))</f>
        <v>96.8</v>
      </c>
      <c r="BU15" s="1">
        <f>IFERROR(VLOOKUP($A15,East2006[],7,FALSE),VLOOKUP($A15,West2006[],7,FALSE))</f>
        <v>90.2</v>
      </c>
      <c r="BV15">
        <f>IFERROR(VLOOKUP($A15,East2006[],4,FALSE),VLOOKUP($A15,West2006[],4,FALSE))</f>
        <v>0.78</v>
      </c>
      <c r="BW15" s="4">
        <f t="shared" si="28"/>
        <v>0.73148141393638488</v>
      </c>
      <c r="BX15" s="5">
        <f t="shared" si="29"/>
        <v>4.8518586063615143E-2</v>
      </c>
      <c r="BY15" s="1">
        <f>IFERROR(VLOOKUP($A15,East2005[],6,FALSE),VLOOKUP($A15,West2005[],6,FALSE))</f>
        <v>93.3</v>
      </c>
      <c r="BZ15" s="1">
        <f>IFERROR(VLOOKUP($A15,East2005[],7,FALSE),VLOOKUP($A15,West2005[],7,FALSE))</f>
        <v>89.5</v>
      </c>
      <c r="CA15">
        <f>IFERROR(VLOOKUP($A15,East2005[],4,FALSE),VLOOKUP($A15,West2005[],4,FALSE))</f>
        <v>0.65900000000000003</v>
      </c>
      <c r="CB15" s="4">
        <f t="shared" si="30"/>
        <v>0.64364470242325256</v>
      </c>
      <c r="CC15" s="5">
        <f t="shared" si="31"/>
        <v>1.5355297576747473E-2</v>
      </c>
      <c r="CD15" s="1">
        <f>IFERROR(VLOOKUP($A15,East2004[],6,FALSE),VLOOKUP($A15,West2004[],6,FALSE))</f>
        <v>90.1</v>
      </c>
      <c r="CE15" s="1">
        <f>IFERROR(VLOOKUP($A15,East2004[],7,FALSE),VLOOKUP($A15,West2004[],7,FALSE))</f>
        <v>84.3</v>
      </c>
      <c r="CF15">
        <f>IFERROR(VLOOKUP($A15,East2004[],4,FALSE),VLOOKUP($A15,West2004[],4,FALSE))</f>
        <v>0.65900000000000003</v>
      </c>
      <c r="CG15" s="4">
        <f t="shared" si="32"/>
        <v>0.7128207240376373</v>
      </c>
      <c r="CH15" s="5">
        <f t="shared" si="33"/>
        <v>-5.3820724037637269E-2</v>
      </c>
      <c r="CI15" s="1">
        <f>IFERROR(VLOOKUP($A15,East2003[],6,FALSE),VLOOKUP($A15,West2003[],6,FALSE))</f>
        <v>91.4</v>
      </c>
      <c r="CJ15" s="1">
        <f>IFERROR(VLOOKUP($A15,East2003[],7,FALSE),VLOOKUP($A15,West2003[],7,FALSE))</f>
        <v>87.7</v>
      </c>
      <c r="CK15">
        <f>IFERROR(VLOOKUP($A15,East2003[],4,FALSE),VLOOKUP($A15,West2003[],4,FALSE))</f>
        <v>0.61</v>
      </c>
      <c r="CL15" s="4">
        <f t="shared" si="34"/>
        <v>0.63986609010998086</v>
      </c>
      <c r="CM15" s="5">
        <f t="shared" si="35"/>
        <v>-2.986609010998087E-2</v>
      </c>
    </row>
    <row r="16" spans="1:91" x14ac:dyDescent="0.25">
      <c r="A16" s="1" t="s">
        <v>173</v>
      </c>
      <c r="B16" s="1">
        <f>IFERROR(VLOOKUP(A16,East2020[],6,FALSE),VLOOKUP(A16,West2020[],6,FALSE))</f>
        <v>106.3</v>
      </c>
      <c r="C16" s="1">
        <f>IFERROR(VLOOKUP(A16,East2020[],7,FALSE),VLOOKUP(A16,West2020[],7,FALSE))</f>
        <v>115</v>
      </c>
      <c r="D16">
        <f>IFERROR(VLOOKUP(A16,East2020[],4,FALSE),VLOOKUP(A16,West2020[],4,FALSE))</f>
        <v>0.23100000000000001</v>
      </c>
      <c r="E16" s="4">
        <f t="shared" si="0"/>
        <v>0.2165098507646693</v>
      </c>
      <c r="F16" s="5">
        <f t="shared" si="1"/>
        <v>1.4490149235330707E-2</v>
      </c>
      <c r="G16" s="1">
        <f>IFERROR(VLOOKUP($A16,East2019[],6,FALSE),VLOOKUP($A16,West2019[],6,FALSE))</f>
        <v>117.7</v>
      </c>
      <c r="H16" s="1">
        <f>IFERROR(VLOOKUP($A16,East2019[],7,FALSE),VLOOKUP($A16,West2019[],7,FALSE))</f>
        <v>111.2</v>
      </c>
      <c r="I16">
        <f>IFERROR(VLOOKUP($A16,East2019[],4,FALSE),VLOOKUP($A16,West2019[],4,FALSE))</f>
        <v>0.69499999999999995</v>
      </c>
      <c r="J16" s="4">
        <f t="shared" si="2"/>
        <v>0.7158702044569295</v>
      </c>
      <c r="K16" s="5">
        <f t="shared" si="3"/>
        <v>-2.0870204456929553E-2</v>
      </c>
      <c r="L16" s="1">
        <f>IFERROR(VLOOKUP($A16,East2018[],6,FALSE),VLOOKUP($A16,West2018[],6,FALSE))</f>
        <v>113.5</v>
      </c>
      <c r="M16" s="1">
        <f>IFERROR(VLOOKUP($A16,East2018[],7,FALSE),VLOOKUP($A16,West2018[],7,FALSE))</f>
        <v>107.5</v>
      </c>
      <c r="N16">
        <f>IFERROR(VLOOKUP($A16,East2018[],4,FALSE),VLOOKUP($A16,West2018[],4,FALSE))</f>
        <v>0.70699999999999996</v>
      </c>
      <c r="O16" s="4">
        <f t="shared" si="4"/>
        <v>0.69947871554432495</v>
      </c>
      <c r="P16" s="5">
        <f t="shared" si="5"/>
        <v>7.5212844556750147E-3</v>
      </c>
      <c r="Q16" s="1">
        <f>IFERROR(VLOOKUP($A16,East2017[],6,FALSE),VLOOKUP($A16,West2017[],6,FALSE))</f>
        <v>115.9</v>
      </c>
      <c r="R16" s="1">
        <f>IFERROR(VLOOKUP($A16,East2017[],7,FALSE),VLOOKUP($A16,West2017[],7,FALSE))</f>
        <v>104.3</v>
      </c>
      <c r="S16">
        <f>IFERROR(VLOOKUP($A16,East2017[],4,FALSE),VLOOKUP($A16,West2017[],4,FALSE))</f>
        <v>0.81699999999999995</v>
      </c>
      <c r="T16" s="4">
        <f t="shared" si="6"/>
        <v>0.83602170247518637</v>
      </c>
      <c r="U16" s="5">
        <f t="shared" si="7"/>
        <v>-1.9021702475186419E-2</v>
      </c>
      <c r="V16" s="1">
        <f>IFERROR(VLOOKUP($A16,East2016[],6,FALSE),VLOOKUP($A16,West2016[],6,FALSE))</f>
        <v>114.9</v>
      </c>
      <c r="W16" s="1">
        <f>IFERROR(VLOOKUP($A16,East2016[],7,FALSE),VLOOKUP($A16,West2016[],7,FALSE))</f>
        <v>104.1</v>
      </c>
      <c r="X16">
        <f>IFERROR(VLOOKUP($A16,East2016[],4,FALSE),VLOOKUP($A16,West2016[],4,FALSE))</f>
        <v>0.89</v>
      </c>
      <c r="Y16" s="4">
        <f t="shared" si="8"/>
        <v>0.81495042625404979</v>
      </c>
      <c r="Z16" s="5">
        <f t="shared" si="9"/>
        <v>7.5049573745950227E-2</v>
      </c>
      <c r="AA16" s="1">
        <f>IFERROR(VLOOKUP($A16,East2015[],6,FALSE),VLOOKUP($A16,West2015[],6,FALSE))</f>
        <v>110</v>
      </c>
      <c r="AB16" s="1">
        <f>IFERROR(VLOOKUP($A16,East2015[],7,FALSE),VLOOKUP($A16,West2015[],7,FALSE))</f>
        <v>99.9</v>
      </c>
      <c r="AC16">
        <f>IFERROR(VLOOKUP($A16,East2015[],4,FALSE),VLOOKUP($A16,West2015[],4,FALSE))</f>
        <v>0.81699999999999995</v>
      </c>
      <c r="AD16" s="4">
        <f t="shared" si="10"/>
        <v>0.80362496292472652</v>
      </c>
      <c r="AE16" s="5">
        <f t="shared" si="11"/>
        <v>1.3375037075273433E-2</v>
      </c>
      <c r="AF16" s="1">
        <f>IFERROR(VLOOKUP($A16,East2014[],6,FALSE),VLOOKUP($A16,West2014[],6,FALSE))</f>
        <v>104.3</v>
      </c>
      <c r="AG16" s="1">
        <f>IFERROR(VLOOKUP($A16,East2014[],7,FALSE),VLOOKUP($A16,West2014[],7,FALSE))</f>
        <v>99.5</v>
      </c>
      <c r="AH16">
        <f>IFERROR(VLOOKUP($A16,East2014[],4,FALSE),VLOOKUP($A16,West2014[],4,FALSE))</f>
        <v>0.622</v>
      </c>
      <c r="AI16" s="4">
        <f t="shared" si="12"/>
        <v>0.66733829513685194</v>
      </c>
      <c r="AJ16" s="5">
        <f t="shared" si="13"/>
        <v>-4.5338295136851947E-2</v>
      </c>
      <c r="AK16" s="1">
        <f>IFERROR(VLOOKUP($A16,East2013[],6,FALSE),VLOOKUP($A16,West2013[],6,FALSE))</f>
        <v>101.2</v>
      </c>
      <c r="AL16" s="1">
        <f>IFERROR(VLOOKUP($A16,East2013[],7,FALSE),VLOOKUP($A16,West2013[],7,FALSE))</f>
        <v>100.3</v>
      </c>
      <c r="AM16">
        <f>IFERROR(VLOOKUP($A16,East2013[],4,FALSE),VLOOKUP($A16,West2013[],4,FALSE))</f>
        <v>0.57299999999999995</v>
      </c>
      <c r="AN16" s="4">
        <f t="shared" si="14"/>
        <v>0.53201595777217414</v>
      </c>
      <c r="AO16" s="5">
        <f t="shared" si="15"/>
        <v>4.0984042227825812E-2</v>
      </c>
      <c r="AP16" s="1">
        <f>IFERROR(VLOOKUP($A16,East2012[],6,FALSE),VLOOKUP($A16,West2012[],6,FALSE))</f>
        <v>97.8</v>
      </c>
      <c r="AQ16" s="1">
        <f>IFERROR(VLOOKUP($A16,East2012[],7,FALSE),VLOOKUP($A16,West2012[],7,FALSE))</f>
        <v>101.2</v>
      </c>
      <c r="AR16">
        <f>IFERROR(VLOOKUP($A16,East2012[],4,FALSE),VLOOKUP($A16,West2012[],4,FALSE))</f>
        <v>0.34799999999999998</v>
      </c>
      <c r="AS16" s="4">
        <f t="shared" si="16"/>
        <v>0.38196290681234829</v>
      </c>
      <c r="AT16" s="5">
        <f t="shared" si="17"/>
        <v>-3.3962906812348315E-2</v>
      </c>
      <c r="AU16" s="1">
        <f>IFERROR(VLOOKUP($A16,East2011[],6,FALSE),VLOOKUP($A16,West2011[],6,FALSE))</f>
        <v>103.4</v>
      </c>
      <c r="AV16" s="1">
        <f>IFERROR(VLOOKUP($A16,East2011[],7,FALSE),VLOOKUP($A16,West2011[],7,FALSE))</f>
        <v>105.7</v>
      </c>
      <c r="AW16">
        <f>IFERROR(VLOOKUP($A16,East2011[],4,FALSE),VLOOKUP($A16,West2011[],4,FALSE))</f>
        <v>0.439</v>
      </c>
      <c r="AX16" s="4">
        <f t="shared" si="18"/>
        <v>0.42058158583562688</v>
      </c>
      <c r="AY16" s="5">
        <f t="shared" si="19"/>
        <v>1.841841416437312E-2</v>
      </c>
      <c r="AZ16" s="1">
        <f>IFERROR(VLOOKUP($A16,East2010[],6,FALSE),VLOOKUP($A16,West2010[],6,FALSE))</f>
        <v>108.8</v>
      </c>
      <c r="BA16" s="1">
        <f>IFERROR(VLOOKUP($A16,East2010[],7,FALSE),VLOOKUP($A16,West2010[],7,FALSE))</f>
        <v>112.4</v>
      </c>
      <c r="BB16">
        <f>IFERROR(VLOOKUP($A16,East2010[],4,FALSE),VLOOKUP($A16,West2010[],4,FALSE))</f>
        <v>0.317</v>
      </c>
      <c r="BC16" s="4">
        <f t="shared" si="20"/>
        <v>0.38264336289850842</v>
      </c>
      <c r="BD16" s="5">
        <f t="shared" si="21"/>
        <v>-6.5643362898508417E-2</v>
      </c>
      <c r="BE16" s="1">
        <f>IFERROR(VLOOKUP($A16,East2009[],6,FALSE),VLOOKUP($A16,West2009[],6,FALSE))</f>
        <v>108.6</v>
      </c>
      <c r="BF16" s="1">
        <f>IFERROR(VLOOKUP($A16,East2009[],7,FALSE),VLOOKUP($A16,West2009[],7,FALSE))</f>
        <v>112.3</v>
      </c>
      <c r="BG16">
        <f>IFERROR(VLOOKUP($A16,East2009[],4,FALSE),VLOOKUP($A16,West2009[],4,FALSE))</f>
        <v>0.35399999999999998</v>
      </c>
      <c r="BH16" s="4">
        <f t="shared" si="22"/>
        <v>0.37993261742509321</v>
      </c>
      <c r="BI16" s="5">
        <f t="shared" si="23"/>
        <v>-2.593261742509323E-2</v>
      </c>
      <c r="BJ16" s="1">
        <f>IFERROR(VLOOKUP($A16,East2008[],6,FALSE),VLOOKUP($A16,West2008[],6,FALSE))</f>
        <v>111</v>
      </c>
      <c r="BK16" s="1">
        <f>IFERROR(VLOOKUP($A16,East2008[],7,FALSE),VLOOKUP($A16,West2008[],7,FALSE))</f>
        <v>108.8</v>
      </c>
      <c r="BL16">
        <f>IFERROR(VLOOKUP($A16,East2008[],4,FALSE),VLOOKUP($A16,West2008[],4,FALSE))</f>
        <v>0.58499999999999996</v>
      </c>
      <c r="BM16" s="4">
        <f t="shared" si="24"/>
        <v>0.57263732493865616</v>
      </c>
      <c r="BN16" s="5">
        <f t="shared" si="25"/>
        <v>1.2362675061343809E-2</v>
      </c>
      <c r="BO16" s="1">
        <f>IFERROR(VLOOKUP($A16,East2007[],6,FALSE),VLOOKUP($A16,West2007[],6,FALSE))</f>
        <v>106.5</v>
      </c>
      <c r="BP16" s="1">
        <f>IFERROR(VLOOKUP($A16,East2007[],7,FALSE),VLOOKUP($A16,West2007[],7,FALSE))</f>
        <v>106.9</v>
      </c>
      <c r="BQ16">
        <f>IFERROR(VLOOKUP($A16,East2007[],4,FALSE),VLOOKUP($A16,West2007[],4,FALSE))</f>
        <v>0.51200000000000001</v>
      </c>
      <c r="BR16" s="4">
        <f t="shared" si="26"/>
        <v>0.4864668777613384</v>
      </c>
      <c r="BS16" s="5">
        <f t="shared" si="27"/>
        <v>2.553312223866161E-2</v>
      </c>
      <c r="BT16" s="1">
        <f>IFERROR(VLOOKUP($A16,East2006[],6,FALSE),VLOOKUP($A16,West2006[],6,FALSE))</f>
        <v>98.5</v>
      </c>
      <c r="BU16" s="1">
        <f>IFERROR(VLOOKUP($A16,East2006[],7,FALSE),VLOOKUP($A16,West2006[],7,FALSE))</f>
        <v>99.8</v>
      </c>
      <c r="BV16">
        <f>IFERROR(VLOOKUP($A16,East2006[],4,FALSE),VLOOKUP($A16,West2006[],4,FALSE))</f>
        <v>0.41499999999999998</v>
      </c>
      <c r="BW16" s="4">
        <f t="shared" si="28"/>
        <v>0.45361612000276574</v>
      </c>
      <c r="BX16" s="5">
        <f t="shared" si="29"/>
        <v>-3.8616120002765764E-2</v>
      </c>
      <c r="BY16" s="1">
        <f>IFERROR(VLOOKUP($A16,East2005[],6,FALSE),VLOOKUP($A16,West2005[],6,FALSE))</f>
        <v>98.7</v>
      </c>
      <c r="BZ16" s="1">
        <f>IFERROR(VLOOKUP($A16,East2005[],7,FALSE),VLOOKUP($A16,West2005[],7,FALSE))</f>
        <v>100.9</v>
      </c>
      <c r="CA16">
        <f>IFERROR(VLOOKUP($A16,East2005[],4,FALSE),VLOOKUP($A16,West2005[],4,FALSE))</f>
        <v>0.41499999999999998</v>
      </c>
      <c r="CB16" s="4">
        <f t="shared" si="30"/>
        <v>0.42227469203431944</v>
      </c>
      <c r="CC16" s="5">
        <f t="shared" si="31"/>
        <v>-7.2746920343194632E-3</v>
      </c>
      <c r="CD16" s="1">
        <f>IFERROR(VLOOKUP($A16,East2004[],6,FALSE),VLOOKUP($A16,West2004[],6,FALSE))</f>
        <v>93.3</v>
      </c>
      <c r="CE16" s="1">
        <f>IFERROR(VLOOKUP($A16,East2004[],7,FALSE),VLOOKUP($A16,West2004[],7,FALSE))</f>
        <v>94</v>
      </c>
      <c r="CF16">
        <f>IFERROR(VLOOKUP($A16,East2004[],4,FALSE),VLOOKUP($A16,West2004[],4,FALSE))</f>
        <v>0.45100000000000001</v>
      </c>
      <c r="CG16" s="4">
        <f t="shared" si="32"/>
        <v>0.47449025484207613</v>
      </c>
      <c r="CH16" s="5">
        <f t="shared" si="33"/>
        <v>-2.3490254842076119E-2</v>
      </c>
      <c r="CI16" s="1">
        <f>IFERROR(VLOOKUP($A16,East2003[],6,FALSE),VLOOKUP($A16,West2003[],6,FALSE))</f>
        <v>102.4</v>
      </c>
      <c r="CJ16" s="1">
        <f>IFERROR(VLOOKUP($A16,East2003[],7,FALSE),VLOOKUP($A16,West2003[],7,FALSE))</f>
        <v>103.6</v>
      </c>
      <c r="CK16">
        <f>IFERROR(VLOOKUP($A16,East2003[],4,FALSE),VLOOKUP($A16,West2003[],4,FALSE))</f>
        <v>0.46300000000000002</v>
      </c>
      <c r="CL16" s="4">
        <f t="shared" si="34"/>
        <v>0.45957537902434037</v>
      </c>
      <c r="CM16" s="5">
        <f t="shared" si="35"/>
        <v>3.4246209756596535E-3</v>
      </c>
    </row>
    <row r="17" spans="1:91" x14ac:dyDescent="0.25">
      <c r="A17" s="1" t="s">
        <v>156</v>
      </c>
      <c r="B17" s="1">
        <f>IFERROR(VLOOKUP(A17,East2020[],6,FALSE),VLOOKUP(A17,West2020[],6,FALSE))</f>
        <v>117.8</v>
      </c>
      <c r="C17" s="1">
        <f>IFERROR(VLOOKUP(A17,East2020[],7,FALSE),VLOOKUP(A17,West2020[],7,FALSE))</f>
        <v>114.8</v>
      </c>
      <c r="D17">
        <f>IFERROR(VLOOKUP(A17,East2020[],4,FALSE),VLOOKUP(A17,West2020[],4,FALSE))</f>
        <v>0.61099999999999999</v>
      </c>
      <c r="E17" s="4">
        <f t="shared" si="0"/>
        <v>0.60390219534098688</v>
      </c>
      <c r="F17" s="5">
        <f t="shared" si="1"/>
        <v>7.0978046590131072E-3</v>
      </c>
      <c r="G17" s="1">
        <f>IFERROR(VLOOKUP($A17,East2019[],6,FALSE),VLOOKUP($A17,West2019[],6,FALSE))</f>
        <v>113.9</v>
      </c>
      <c r="H17" s="1">
        <f>IFERROR(VLOOKUP($A17,East2019[],7,FALSE),VLOOKUP($A17,West2019[],7,FALSE))</f>
        <v>109.1</v>
      </c>
      <c r="I17">
        <f>IFERROR(VLOOKUP($A17,East2019[],4,FALSE),VLOOKUP($A17,West2019[],4,FALSE))</f>
        <v>0.64600000000000002</v>
      </c>
      <c r="J17" s="4">
        <f t="shared" si="2"/>
        <v>0.66826814933315859</v>
      </c>
      <c r="K17" s="5">
        <f t="shared" si="3"/>
        <v>-2.2268149333158571E-2</v>
      </c>
      <c r="L17" s="1">
        <f>IFERROR(VLOOKUP($A17,East2018[],6,FALSE),VLOOKUP($A17,West2018[],6,FALSE))</f>
        <v>112.4</v>
      </c>
      <c r="M17" s="1">
        <f>IFERROR(VLOOKUP($A17,East2018[],7,FALSE),VLOOKUP($A17,West2018[],7,FALSE))</f>
        <v>103.9</v>
      </c>
      <c r="N17">
        <f>IFERROR(VLOOKUP($A17,East2018[],4,FALSE),VLOOKUP($A17,West2018[],4,FALSE))</f>
        <v>0.79300000000000004</v>
      </c>
      <c r="O17" s="4">
        <f t="shared" si="4"/>
        <v>0.77261900488626867</v>
      </c>
      <c r="P17" s="5">
        <f t="shared" si="5"/>
        <v>2.0380995113731371E-2</v>
      </c>
      <c r="Q17" s="1">
        <f>IFERROR(VLOOKUP($A17,East2017[],6,FALSE),VLOOKUP($A17,West2017[],6,FALSE))</f>
        <v>115.3</v>
      </c>
      <c r="R17" s="1">
        <f>IFERROR(VLOOKUP($A17,East2017[],7,FALSE),VLOOKUP($A17,West2017[],7,FALSE))</f>
        <v>109.6</v>
      </c>
      <c r="S17">
        <f>IFERROR(VLOOKUP($A17,East2017[],4,FALSE),VLOOKUP($A17,West2017[],4,FALSE))</f>
        <v>0.67100000000000004</v>
      </c>
      <c r="T17" s="4">
        <f t="shared" si="6"/>
        <v>0.68635490668326582</v>
      </c>
      <c r="U17" s="5">
        <f t="shared" si="7"/>
        <v>-1.5354906683265779E-2</v>
      </c>
      <c r="V17" s="1">
        <f>IFERROR(VLOOKUP($A17,East2016[],6,FALSE),VLOOKUP($A17,West2016[],6,FALSE))</f>
        <v>106.5</v>
      </c>
      <c r="W17" s="1">
        <f>IFERROR(VLOOKUP($A17,East2016[],7,FALSE),VLOOKUP($A17,West2016[],7,FALSE))</f>
        <v>106.4</v>
      </c>
      <c r="X17">
        <f>IFERROR(VLOOKUP($A17,East2016[],4,FALSE),VLOOKUP($A17,West2016[],4,FALSE))</f>
        <v>0.5</v>
      </c>
      <c r="Y17" s="4">
        <f t="shared" si="8"/>
        <v>0.50352712486294748</v>
      </c>
      <c r="Z17" s="5">
        <f t="shared" si="9"/>
        <v>-3.5271248629474838E-3</v>
      </c>
      <c r="AA17" s="1">
        <f>IFERROR(VLOOKUP($A17,East2015[],6,FALSE),VLOOKUP($A17,West2015[],6,FALSE))</f>
        <v>103.9</v>
      </c>
      <c r="AB17" s="1">
        <f>IFERROR(VLOOKUP($A17,East2015[],7,FALSE),VLOOKUP($A17,West2015[],7,FALSE))</f>
        <v>100.5</v>
      </c>
      <c r="AC17">
        <f>IFERROR(VLOOKUP($A17,East2015[],4,FALSE),VLOOKUP($A17,West2015[],4,FALSE))</f>
        <v>0.68300000000000005</v>
      </c>
      <c r="AD17" s="4">
        <f t="shared" si="10"/>
        <v>0.61934883069169799</v>
      </c>
      <c r="AE17" s="5">
        <f t="shared" si="11"/>
        <v>6.3651169308302058E-2</v>
      </c>
      <c r="AF17" s="1">
        <f>IFERROR(VLOOKUP($A17,East2014[],6,FALSE),VLOOKUP($A17,West2014[],6,FALSE))</f>
        <v>107.7</v>
      </c>
      <c r="AG17" s="1">
        <f>IFERROR(VLOOKUP($A17,East2014[],7,FALSE),VLOOKUP($A17,West2014[],7,FALSE))</f>
        <v>103.1</v>
      </c>
      <c r="AH17">
        <f>IFERROR(VLOOKUP($A17,East2014[],4,FALSE),VLOOKUP($A17,West2014[],4,FALSE))</f>
        <v>0.65900000000000003</v>
      </c>
      <c r="AI17" s="4">
        <f t="shared" si="12"/>
        <v>0.65588117453046513</v>
      </c>
      <c r="AJ17" s="5">
        <f t="shared" si="13"/>
        <v>3.1188254695349027E-3</v>
      </c>
      <c r="AK17" s="1">
        <f>IFERROR(VLOOKUP($A17,East2013[],6,FALSE),VLOOKUP($A17,West2013[],6,FALSE))</f>
        <v>106</v>
      </c>
      <c r="AL17" s="1">
        <f>IFERROR(VLOOKUP($A17,East2013[],7,FALSE),VLOOKUP($A17,West2013[],7,FALSE))</f>
        <v>102.5</v>
      </c>
      <c r="AM17">
        <f>IFERROR(VLOOKUP($A17,East2013[],4,FALSE),VLOOKUP($A17,West2013[],4,FALSE))</f>
        <v>0.54900000000000004</v>
      </c>
      <c r="AN17" s="4">
        <f t="shared" si="14"/>
        <v>0.61822173520680179</v>
      </c>
      <c r="AO17" s="5">
        <f t="shared" si="15"/>
        <v>-6.9221735206801749E-2</v>
      </c>
      <c r="AP17" s="1">
        <f>IFERROR(VLOOKUP($A17,East2012[],6,FALSE),VLOOKUP($A17,West2012[],6,FALSE))</f>
        <v>98.1</v>
      </c>
      <c r="AQ17" s="1">
        <f>IFERROR(VLOOKUP($A17,East2012[],7,FALSE),VLOOKUP($A17,West2012[],7,FALSE))</f>
        <v>97.9</v>
      </c>
      <c r="AR17">
        <f>IFERROR(VLOOKUP($A17,East2012[],4,FALSE),VLOOKUP($A17,West2012[],4,FALSE))</f>
        <v>0.51500000000000001</v>
      </c>
      <c r="AS17" s="4">
        <f t="shared" si="16"/>
        <v>0.50718396571218971</v>
      </c>
      <c r="AT17" s="5">
        <f t="shared" si="17"/>
        <v>7.8160342878103028E-3</v>
      </c>
      <c r="AU17" s="1">
        <f>IFERROR(VLOOKUP($A17,East2011[],6,FALSE),VLOOKUP($A17,West2011[],6,FALSE))</f>
        <v>105.9</v>
      </c>
      <c r="AV17" s="1">
        <f>IFERROR(VLOOKUP($A17,East2011[],7,FALSE),VLOOKUP($A17,West2011[],7,FALSE))</f>
        <v>103.7</v>
      </c>
      <c r="AW17">
        <f>IFERROR(VLOOKUP($A17,East2011[],4,FALSE),VLOOKUP($A17,West2011[],4,FALSE))</f>
        <v>0.52400000000000002</v>
      </c>
      <c r="AX17" s="4">
        <f t="shared" si="18"/>
        <v>0.57584129120090521</v>
      </c>
      <c r="AY17" s="5">
        <f t="shared" si="19"/>
        <v>-5.1841291200905193E-2</v>
      </c>
      <c r="AZ17" s="1">
        <f>IFERROR(VLOOKUP($A17,East2010[],6,FALSE),VLOOKUP($A17,West2010[],6,FALSE))</f>
        <v>102.4</v>
      </c>
      <c r="BA17" s="1">
        <f>IFERROR(VLOOKUP($A17,East2010[],7,FALSE),VLOOKUP($A17,West2010[],7,FALSE))</f>
        <v>102.7</v>
      </c>
      <c r="BB17">
        <f>IFERROR(VLOOKUP($A17,East2010[],4,FALSE),VLOOKUP($A17,West2010[],4,FALSE))</f>
        <v>0.51200000000000001</v>
      </c>
      <c r="BC17" s="4">
        <f t="shared" si="20"/>
        <v>0.4892548327331801</v>
      </c>
      <c r="BD17" s="5">
        <f t="shared" si="21"/>
        <v>2.274516726681991E-2</v>
      </c>
      <c r="BE17" s="1">
        <f>IFERROR(VLOOKUP($A17,East2009[],6,FALSE),VLOOKUP($A17,West2009[],6,FALSE))</f>
        <v>98.4</v>
      </c>
      <c r="BF17" s="1">
        <f>IFERROR(VLOOKUP($A17,East2009[],7,FALSE),VLOOKUP($A17,West2009[],7,FALSE))</f>
        <v>94.4</v>
      </c>
      <c r="BG17">
        <f>IFERROR(VLOOKUP($A17,East2009[],4,FALSE),VLOOKUP($A17,West2009[],4,FALSE))</f>
        <v>0.64600000000000002</v>
      </c>
      <c r="BH17" s="4">
        <f t="shared" si="22"/>
        <v>0.64720163297853728</v>
      </c>
      <c r="BI17" s="5">
        <f t="shared" si="23"/>
        <v>-1.2016329785372593E-3</v>
      </c>
      <c r="BJ17" s="1">
        <f>IFERROR(VLOOKUP($A17,East2008[],6,FALSE),VLOOKUP($A17,West2008[],6,FALSE))</f>
        <v>96.7</v>
      </c>
      <c r="BK17" s="1">
        <f>IFERROR(VLOOKUP($A17,East2008[],7,FALSE),VLOOKUP($A17,West2008[],7,FALSE))</f>
        <v>92</v>
      </c>
      <c r="BL17">
        <f>IFERROR(VLOOKUP($A17,East2008[],4,FALSE),VLOOKUP($A17,West2008[],4,FALSE))</f>
        <v>0.67100000000000004</v>
      </c>
      <c r="BM17" s="4">
        <f t="shared" si="24"/>
        <v>0.67443186790690224</v>
      </c>
      <c r="BN17" s="5">
        <f t="shared" si="25"/>
        <v>-3.4318679069021973E-3</v>
      </c>
      <c r="BO17" s="1">
        <f>IFERROR(VLOOKUP($A17,East2007[],6,FALSE),VLOOKUP($A17,West2007[],6,FALSE))</f>
        <v>97</v>
      </c>
      <c r="BP17" s="1">
        <f>IFERROR(VLOOKUP($A17,East2007[],7,FALSE),VLOOKUP($A17,West2007[],7,FALSE))</f>
        <v>92.1</v>
      </c>
      <c r="BQ17">
        <f>IFERROR(VLOOKUP($A17,East2007[],4,FALSE),VLOOKUP($A17,West2007[],4,FALSE))</f>
        <v>0.63400000000000001</v>
      </c>
      <c r="BR17" s="4">
        <f t="shared" si="26"/>
        <v>0.67889234237301255</v>
      </c>
      <c r="BS17" s="5">
        <f t="shared" si="27"/>
        <v>-4.4892342373012539E-2</v>
      </c>
      <c r="BT17" s="1">
        <f>IFERROR(VLOOKUP($A17,East2006[],6,FALSE),VLOOKUP($A17,West2006[],6,FALSE))</f>
        <v>90.1</v>
      </c>
      <c r="BU17" s="1">
        <f>IFERROR(VLOOKUP($A17,East2006[],7,FALSE),VLOOKUP($A17,West2006[],7,FALSE))</f>
        <v>91.7</v>
      </c>
      <c r="BV17">
        <f>IFERROR(VLOOKUP($A17,East2006[],4,FALSE),VLOOKUP($A17,West2006[],4,FALSE))</f>
        <v>0.41499999999999998</v>
      </c>
      <c r="BW17" s="4">
        <f t="shared" si="28"/>
        <v>0.43787335161642188</v>
      </c>
      <c r="BX17" s="5">
        <f t="shared" si="29"/>
        <v>-2.28733516164219E-2</v>
      </c>
      <c r="BY17" s="1">
        <f>IFERROR(VLOOKUP($A17,East2005[],6,FALSE),VLOOKUP($A17,West2005[],6,FALSE))</f>
        <v>95.1</v>
      </c>
      <c r="BZ17" s="1">
        <f>IFERROR(VLOOKUP($A17,East2005[],7,FALSE),VLOOKUP($A17,West2005[],7,FALSE))</f>
        <v>91</v>
      </c>
      <c r="CA17">
        <f>IFERROR(VLOOKUP($A17,East2005[],4,FALSE),VLOOKUP($A17,West2005[],4,FALSE))</f>
        <v>0.622</v>
      </c>
      <c r="CB17" s="4">
        <f t="shared" si="30"/>
        <v>0.65171664772509119</v>
      </c>
      <c r="CC17" s="5">
        <f t="shared" si="31"/>
        <v>-2.9716647725091194E-2</v>
      </c>
      <c r="CD17" s="1">
        <f>IFERROR(VLOOKUP($A17,East2004[],6,FALSE),VLOOKUP($A17,West2004[],6,FALSE))</f>
        <v>89.8</v>
      </c>
      <c r="CE17" s="1">
        <f>IFERROR(VLOOKUP($A17,East2004[],7,FALSE),VLOOKUP($A17,West2004[],7,FALSE))</f>
        <v>88</v>
      </c>
      <c r="CF17">
        <f>IFERROR(VLOOKUP($A17,East2004[],4,FALSE),VLOOKUP($A17,West2004[],4,FALSE))</f>
        <v>0.54900000000000004</v>
      </c>
      <c r="CG17" s="4">
        <f t="shared" si="32"/>
        <v>0.56872567132914031</v>
      </c>
      <c r="CH17" s="5">
        <f t="shared" si="33"/>
        <v>-1.9725671329140271E-2</v>
      </c>
      <c r="CI17" s="1">
        <f>IFERROR(VLOOKUP($A17,East2003[],6,FALSE),VLOOKUP($A17,West2003[],6,FALSE))</f>
        <v>93.8</v>
      </c>
      <c r="CJ17" s="1">
        <f>IFERROR(VLOOKUP($A17,East2003[],7,FALSE),VLOOKUP($A17,West2003[],7,FALSE))</f>
        <v>92.3</v>
      </c>
      <c r="CK17">
        <f>IFERROR(VLOOKUP($A17,East2003[],4,FALSE),VLOOKUP($A17,West2003[],4,FALSE))</f>
        <v>0.52400000000000002</v>
      </c>
      <c r="CL17" s="4">
        <f t="shared" si="34"/>
        <v>0.55582335785249126</v>
      </c>
      <c r="CM17" s="5">
        <f t="shared" si="35"/>
        <v>-3.1823357852491241E-2</v>
      </c>
    </row>
    <row r="18" spans="1:91" x14ac:dyDescent="0.25">
      <c r="A18" s="1" t="s">
        <v>131</v>
      </c>
      <c r="B18" s="1">
        <f>IFERROR(VLOOKUP(A18,East2020[],6,FALSE),VLOOKUP(A18,West2020[],6,FALSE))</f>
        <v>109.4</v>
      </c>
      <c r="C18" s="1">
        <f>IFERROR(VLOOKUP(A18,East2020[],7,FALSE),VLOOKUP(A18,West2020[],7,FALSE))</f>
        <v>107.5</v>
      </c>
      <c r="D18">
        <f>IFERROR(VLOOKUP(A18,East2020[],4,FALSE),VLOOKUP(A18,West2020[],4,FALSE))</f>
        <v>0.61599999999999999</v>
      </c>
      <c r="E18" s="4">
        <f t="shared" si="0"/>
        <v>0.57112308449351767</v>
      </c>
      <c r="F18" s="5">
        <f t="shared" si="1"/>
        <v>4.4876915506482318E-2</v>
      </c>
      <c r="G18" s="1">
        <f>IFERROR(VLOOKUP($A18,East2019[],6,FALSE),VLOOKUP($A18,West2019[],6,FALSE))</f>
        <v>108</v>
      </c>
      <c r="H18" s="1">
        <f>IFERROR(VLOOKUP($A18,East2019[],7,FALSE),VLOOKUP($A18,West2019[],7,FALSE))</f>
        <v>104.7</v>
      </c>
      <c r="I18">
        <f>IFERROR(VLOOKUP($A18,East2019[],4,FALSE),VLOOKUP($A18,West2019[],4,FALSE))</f>
        <v>0.58499999999999996</v>
      </c>
      <c r="J18" s="4">
        <f t="shared" si="2"/>
        <v>0.6235816123630199</v>
      </c>
      <c r="K18" s="5">
        <f t="shared" si="3"/>
        <v>-3.8581612363019935E-2</v>
      </c>
      <c r="L18" s="1">
        <f>IFERROR(VLOOKUP($A18,East2018[],6,FALSE),VLOOKUP($A18,West2018[],6,FALSE))</f>
        <v>105.6</v>
      </c>
      <c r="M18" s="1">
        <f>IFERROR(VLOOKUP($A18,East2018[],7,FALSE),VLOOKUP($A18,West2018[],7,FALSE))</f>
        <v>104.2</v>
      </c>
      <c r="N18">
        <f>IFERROR(VLOOKUP($A18,East2018[],4,FALSE),VLOOKUP($A18,West2018[],4,FALSE))</f>
        <v>0.58499999999999996</v>
      </c>
      <c r="O18" s="4">
        <f t="shared" si="4"/>
        <v>0.55171422085766975</v>
      </c>
      <c r="P18" s="5">
        <f t="shared" si="5"/>
        <v>3.3285779142330219E-2</v>
      </c>
      <c r="Q18" s="1">
        <f>IFERROR(VLOOKUP($A18,East2017[],6,FALSE),VLOOKUP($A18,West2017[],6,FALSE))</f>
        <v>105.1</v>
      </c>
      <c r="R18" s="1">
        <f>IFERROR(VLOOKUP($A18,East2017[],7,FALSE),VLOOKUP($A18,West2017[],7,FALSE))</f>
        <v>105.3</v>
      </c>
      <c r="S18">
        <f>IFERROR(VLOOKUP($A18,East2017[],4,FALSE),VLOOKUP($A18,West2017[],4,FALSE))</f>
        <v>0.51200000000000001</v>
      </c>
      <c r="T18" s="4">
        <f t="shared" si="6"/>
        <v>0.49265908527715097</v>
      </c>
      <c r="U18" s="5">
        <f t="shared" si="7"/>
        <v>1.9340914722849045E-2</v>
      </c>
      <c r="V18" s="1">
        <f>IFERROR(VLOOKUP($A18,East2016[],6,FALSE),VLOOKUP($A18,West2016[],6,FALSE))</f>
        <v>102.2</v>
      </c>
      <c r="W18" s="1">
        <f>IFERROR(VLOOKUP($A18,East2016[],7,FALSE),VLOOKUP($A18,West2016[],7,FALSE))</f>
        <v>100.5</v>
      </c>
      <c r="X18">
        <f>IFERROR(VLOOKUP($A18,East2016[],4,FALSE),VLOOKUP($A18,West2016[],4,FALSE))</f>
        <v>0.54900000000000004</v>
      </c>
      <c r="Y18" s="4">
        <f t="shared" si="8"/>
        <v>0.56264993060002544</v>
      </c>
      <c r="Z18" s="5">
        <f t="shared" si="9"/>
        <v>-1.3649930600025395E-2</v>
      </c>
      <c r="AA18" s="1">
        <f>IFERROR(VLOOKUP($A18,East2015[],6,FALSE),VLOOKUP($A18,West2015[],6,FALSE))</f>
        <v>97.3</v>
      </c>
      <c r="AB18" s="1">
        <f>IFERROR(VLOOKUP($A18,East2015[],7,FALSE),VLOOKUP($A18,West2015[],7,FALSE))</f>
        <v>97</v>
      </c>
      <c r="AC18">
        <f>IFERROR(VLOOKUP($A18,East2015[],4,FALSE),VLOOKUP($A18,West2015[],4,FALSE))</f>
        <v>0.46300000000000002</v>
      </c>
      <c r="AD18" s="4">
        <f t="shared" si="10"/>
        <v>0.51129312871308652</v>
      </c>
      <c r="AE18" s="5">
        <f t="shared" si="11"/>
        <v>-4.8293128713086497E-2</v>
      </c>
      <c r="AF18" s="1">
        <f>IFERROR(VLOOKUP($A18,East2014[],6,FALSE),VLOOKUP($A18,West2014[],6,FALSE))</f>
        <v>96.7</v>
      </c>
      <c r="AG18" s="1">
        <f>IFERROR(VLOOKUP($A18,East2014[],7,FALSE),VLOOKUP($A18,West2014[],7,FALSE))</f>
        <v>92.3</v>
      </c>
      <c r="AH18">
        <f>IFERROR(VLOOKUP($A18,East2014[],4,FALSE),VLOOKUP($A18,West2014[],4,FALSE))</f>
        <v>0.68300000000000005</v>
      </c>
      <c r="AI18" s="4">
        <f t="shared" si="12"/>
        <v>0.66554989930807018</v>
      </c>
      <c r="AJ18" s="5">
        <f t="shared" si="13"/>
        <v>1.7450100691929871E-2</v>
      </c>
      <c r="AK18" s="1">
        <f>IFERROR(VLOOKUP($A18,East2013[],6,FALSE),VLOOKUP($A18,West2013[],6,FALSE))</f>
        <v>94.7</v>
      </c>
      <c r="AL18" s="1">
        <f>IFERROR(VLOOKUP($A18,East2013[],7,FALSE),VLOOKUP($A18,West2013[],7,FALSE))</f>
        <v>90.7</v>
      </c>
      <c r="AM18">
        <f>IFERROR(VLOOKUP($A18,East2013[],4,FALSE),VLOOKUP($A18,West2013[],4,FALSE))</f>
        <v>0.60499999999999998</v>
      </c>
      <c r="AN18" s="4">
        <f t="shared" si="14"/>
        <v>0.65011361554979052</v>
      </c>
      <c r="AO18" s="5">
        <f t="shared" si="15"/>
        <v>-4.5113615549790542E-2</v>
      </c>
      <c r="AP18" s="1">
        <f>IFERROR(VLOOKUP($A18,East2012[],6,FALSE),VLOOKUP($A18,West2012[],6,FALSE))</f>
        <v>97.7</v>
      </c>
      <c r="AQ18" s="1">
        <f>IFERROR(VLOOKUP($A18,East2012[],7,FALSE),VLOOKUP($A18,West2012[],7,FALSE))</f>
        <v>94.4</v>
      </c>
      <c r="AR18">
        <f>IFERROR(VLOOKUP($A18,East2012[],4,FALSE),VLOOKUP($A18,West2012[],4,FALSE))</f>
        <v>0.63600000000000001</v>
      </c>
      <c r="AS18" s="4">
        <f t="shared" si="16"/>
        <v>0.61865621786402436</v>
      </c>
      <c r="AT18" s="5">
        <f t="shared" si="17"/>
        <v>1.7343782135975649E-2</v>
      </c>
      <c r="AU18" s="1">
        <f>IFERROR(VLOOKUP($A18,East2011[],6,FALSE),VLOOKUP($A18,West2011[],6,FALSE))</f>
        <v>99.8</v>
      </c>
      <c r="AV18" s="1">
        <f>IFERROR(VLOOKUP($A18,East2011[],7,FALSE),VLOOKUP($A18,West2011[],7,FALSE))</f>
        <v>100.9</v>
      </c>
      <c r="AW18">
        <f>IFERROR(VLOOKUP($A18,East2011[],4,FALSE),VLOOKUP($A18,West2011[],4,FALSE))</f>
        <v>0.45100000000000001</v>
      </c>
      <c r="AX18" s="4">
        <f t="shared" si="18"/>
        <v>0.46017539467480606</v>
      </c>
      <c r="AY18" s="5">
        <f t="shared" si="19"/>
        <v>-9.1753946748060478E-3</v>
      </c>
      <c r="AZ18" s="1">
        <f>IFERROR(VLOOKUP($A18,East2010[],6,FALSE),VLOOKUP($A18,West2010[],6,FALSE))</f>
        <v>100.8</v>
      </c>
      <c r="BA18" s="1">
        <f>IFERROR(VLOOKUP($A18,East2010[],7,FALSE),VLOOKUP($A18,West2010[],7,FALSE))</f>
        <v>103.8</v>
      </c>
      <c r="BB18">
        <f>IFERROR(VLOOKUP($A18,East2010[],4,FALSE),VLOOKUP($A18,West2010[],4,FALSE))</f>
        <v>0.39</v>
      </c>
      <c r="BC18" s="4">
        <f t="shared" si="20"/>
        <v>0.39389855423508424</v>
      </c>
      <c r="BD18" s="5">
        <f t="shared" si="21"/>
        <v>-3.8985542350842284E-3</v>
      </c>
      <c r="BE18" s="1">
        <f>IFERROR(VLOOKUP($A18,East2009[],6,FALSE),VLOOKUP($A18,West2009[],6,FALSE))</f>
        <v>105.1</v>
      </c>
      <c r="BF18" s="1">
        <f>IFERROR(VLOOKUP($A18,East2009[],7,FALSE),VLOOKUP($A18,West2009[],7,FALSE))</f>
        <v>106.2</v>
      </c>
      <c r="BG18">
        <f>IFERROR(VLOOKUP($A18,East2009[],4,FALSE),VLOOKUP($A18,West2009[],4,FALSE))</f>
        <v>0.439</v>
      </c>
      <c r="BH18" s="4">
        <f t="shared" si="22"/>
        <v>0.46201587974511843</v>
      </c>
      <c r="BI18" s="5">
        <f t="shared" si="23"/>
        <v>-2.3015879745118428E-2</v>
      </c>
      <c r="BJ18" s="1">
        <f>IFERROR(VLOOKUP($A18,East2008[],6,FALSE),VLOOKUP($A18,West2008[],6,FALSE))</f>
        <v>104</v>
      </c>
      <c r="BK18" s="1">
        <f>IFERROR(VLOOKUP($A18,East2008[],7,FALSE),VLOOKUP($A18,West2008[],7,FALSE))</f>
        <v>105.4</v>
      </c>
      <c r="BL18">
        <f>IFERROR(VLOOKUP($A18,East2008[],4,FALSE),VLOOKUP($A18,West2008[],4,FALSE))</f>
        <v>0.439</v>
      </c>
      <c r="BM18" s="4">
        <f t="shared" si="24"/>
        <v>0.45129067108282689</v>
      </c>
      <c r="BN18" s="5">
        <f t="shared" si="25"/>
        <v>-1.2290671082826887E-2</v>
      </c>
      <c r="BO18" s="1">
        <f>IFERROR(VLOOKUP($A18,East2007[],6,FALSE),VLOOKUP($A18,West2007[],6,FALSE))</f>
        <v>95.6</v>
      </c>
      <c r="BP18" s="1">
        <f>IFERROR(VLOOKUP($A18,East2007[],7,FALSE),VLOOKUP($A18,West2007[],7,FALSE))</f>
        <v>98</v>
      </c>
      <c r="BQ18">
        <f>IFERROR(VLOOKUP($A18,East2007[],4,FALSE),VLOOKUP($A18,West2007[],4,FALSE))</f>
        <v>0.42699999999999999</v>
      </c>
      <c r="BR18" s="4">
        <f t="shared" si="26"/>
        <v>0.41141522452485796</v>
      </c>
      <c r="BS18" s="5">
        <f t="shared" si="27"/>
        <v>1.5584775475142032E-2</v>
      </c>
      <c r="BT18" s="1">
        <f>IFERROR(VLOOKUP($A18,East2006[],6,FALSE),VLOOKUP($A18,West2006[],6,FALSE))</f>
        <v>93.9</v>
      </c>
      <c r="BU18" s="1">
        <f>IFERROR(VLOOKUP($A18,East2006[],7,FALSE),VLOOKUP($A18,West2006[],7,FALSE))</f>
        <v>92</v>
      </c>
      <c r="BV18">
        <f>IFERROR(VLOOKUP($A18,East2006[],4,FALSE),VLOOKUP($A18,West2006[],4,FALSE))</f>
        <v>0.5</v>
      </c>
      <c r="BW18" s="4">
        <f t="shared" si="28"/>
        <v>0.57201935639697443</v>
      </c>
      <c r="BX18" s="5">
        <f t="shared" si="29"/>
        <v>-7.2019356396974432E-2</v>
      </c>
      <c r="BY18" s="1">
        <f>IFERROR(VLOOKUP($A18,East2005[],6,FALSE),VLOOKUP($A18,West2005[],6,FALSE))</f>
        <v>93</v>
      </c>
      <c r="BZ18" s="1">
        <f>IFERROR(VLOOKUP($A18,East2005[],7,FALSE),VLOOKUP($A18,West2005[],7,FALSE))</f>
        <v>92.2</v>
      </c>
      <c r="CA18">
        <f>IFERROR(VLOOKUP($A18,East2005[],4,FALSE),VLOOKUP($A18,West2005[],4,FALSE))</f>
        <v>0.53700000000000003</v>
      </c>
      <c r="CB18" s="4">
        <f t="shared" si="30"/>
        <v>0.53067073813787657</v>
      </c>
      <c r="CC18" s="5">
        <f t="shared" si="31"/>
        <v>6.3292618621234586E-3</v>
      </c>
      <c r="CD18" s="1">
        <f>IFERROR(VLOOKUP($A18,East2004[],6,FALSE),VLOOKUP($A18,West2004[],6,FALSE))</f>
        <v>91.4</v>
      </c>
      <c r="CE18" s="1">
        <f>IFERROR(VLOOKUP($A18,East2004[],7,FALSE),VLOOKUP($A18,West2004[],7,FALSE))</f>
        <v>85.6</v>
      </c>
      <c r="CF18">
        <f>IFERROR(VLOOKUP($A18,East2004[],4,FALSE),VLOOKUP($A18,West2004[],4,FALSE))</f>
        <v>0.74399999999999999</v>
      </c>
      <c r="CG18" s="4">
        <f t="shared" si="32"/>
        <v>0.7100772545958608</v>
      </c>
      <c r="CH18" s="5">
        <f t="shared" si="33"/>
        <v>3.3922745404139198E-2</v>
      </c>
      <c r="CI18" s="1">
        <f>IFERROR(VLOOKUP($A18,East2003[],6,FALSE),VLOOKUP($A18,West2003[],6,FALSE))</f>
        <v>96.8</v>
      </c>
      <c r="CJ18" s="1">
        <f>IFERROR(VLOOKUP($A18,East2003[],7,FALSE),VLOOKUP($A18,West2003[],7,FALSE))</f>
        <v>93.3</v>
      </c>
      <c r="CK18">
        <f>IFERROR(VLOOKUP($A18,East2003[],4,FALSE),VLOOKUP($A18,West2003[],4,FALSE))</f>
        <v>0.58499999999999996</v>
      </c>
      <c r="CL18" s="4">
        <f t="shared" si="34"/>
        <v>0.62533074180685011</v>
      </c>
      <c r="CM18" s="5">
        <f t="shared" si="35"/>
        <v>-4.0330741806850146E-2</v>
      </c>
    </row>
    <row r="19" spans="1:91" x14ac:dyDescent="0.25">
      <c r="A19" s="1" t="s">
        <v>154</v>
      </c>
      <c r="B19" s="1">
        <f>IFERROR(VLOOKUP(A19,East2020[],6,FALSE),VLOOKUP(A19,West2020[],6,FALSE))</f>
        <v>116.3</v>
      </c>
      <c r="C19" s="1">
        <f>IFERROR(VLOOKUP(A19,East2020[],7,FALSE),VLOOKUP(A19,West2020[],7,FALSE))</f>
        <v>109.9</v>
      </c>
      <c r="D19">
        <f>IFERROR(VLOOKUP(A19,East2020[],4,FALSE),VLOOKUP(A19,West2020[],4,FALSE))</f>
        <v>0.68100000000000005</v>
      </c>
      <c r="E19" s="4">
        <f t="shared" si="0"/>
        <v>0.71613868696291683</v>
      </c>
      <c r="F19" s="5">
        <f t="shared" si="1"/>
        <v>-3.5138686962916776E-2</v>
      </c>
      <c r="G19" s="1">
        <f>IFERROR(VLOOKUP($A19,East2019[],6,FALSE),VLOOKUP($A19,West2019[],6,FALSE))</f>
        <v>115.1</v>
      </c>
      <c r="H19" s="1">
        <f>IFERROR(VLOOKUP($A19,East2019[],7,FALSE),VLOOKUP($A19,West2019[],7,FALSE))</f>
        <v>114.3</v>
      </c>
      <c r="I19">
        <f>IFERROR(VLOOKUP($A19,East2019[],4,FALSE),VLOOKUP($A19,West2019[],4,FALSE))</f>
        <v>0.58499999999999996</v>
      </c>
      <c r="J19" s="4">
        <f t="shared" si="2"/>
        <v>0.52833298336787071</v>
      </c>
      <c r="K19" s="5">
        <f t="shared" si="3"/>
        <v>5.6667016632129252E-2</v>
      </c>
      <c r="L19" s="1">
        <f>IFERROR(VLOOKUP($A19,East2018[],6,FALSE),VLOOKUP($A19,West2018[],6,FALSE))</f>
        <v>109</v>
      </c>
      <c r="M19" s="1">
        <f>IFERROR(VLOOKUP($A19,East2018[],7,FALSE),VLOOKUP($A19,West2018[],7,FALSE))</f>
        <v>109</v>
      </c>
      <c r="N19">
        <f>IFERROR(VLOOKUP($A19,East2018[],4,FALSE),VLOOKUP($A19,West2018[],4,FALSE))</f>
        <v>0.51200000000000001</v>
      </c>
      <c r="O19" s="4">
        <f t="shared" si="4"/>
        <v>0.5</v>
      </c>
      <c r="P19" s="5">
        <f t="shared" si="5"/>
        <v>1.2000000000000011E-2</v>
      </c>
      <c r="Q19" s="1">
        <f>IFERROR(VLOOKUP($A19,East2017[],6,FALSE),VLOOKUP($A19,West2017[],6,FALSE))</f>
        <v>108.7</v>
      </c>
      <c r="R19" s="1">
        <f>IFERROR(VLOOKUP($A19,East2017[],7,FALSE),VLOOKUP($A19,West2017[],7,FALSE))</f>
        <v>104.4</v>
      </c>
      <c r="S19">
        <f>IFERROR(VLOOKUP($A19,East2017[],4,FALSE),VLOOKUP($A19,West2017[],4,FALSE))</f>
        <v>0.622</v>
      </c>
      <c r="T19" s="4">
        <f t="shared" si="6"/>
        <v>0.65100256734505368</v>
      </c>
      <c r="U19" s="5">
        <f t="shared" si="7"/>
        <v>-2.9002567345053687E-2</v>
      </c>
      <c r="V19" s="1">
        <f>IFERROR(VLOOKUP($A19,East2016[],6,FALSE),VLOOKUP($A19,West2016[],6,FALSE))</f>
        <v>104.5</v>
      </c>
      <c r="W19" s="1">
        <f>IFERROR(VLOOKUP($A19,East2016[],7,FALSE),VLOOKUP($A19,West2016[],7,FALSE))</f>
        <v>100.2</v>
      </c>
      <c r="X19">
        <f>IFERROR(VLOOKUP($A19,East2016[],4,FALSE),VLOOKUP($A19,West2016[],4,FALSE))</f>
        <v>0.64600000000000002</v>
      </c>
      <c r="Y19" s="4">
        <f t="shared" si="8"/>
        <v>0.65273224906407024</v>
      </c>
      <c r="Z19" s="5">
        <f t="shared" si="9"/>
        <v>-6.7322490640702171E-3</v>
      </c>
      <c r="AA19" s="1">
        <f>IFERROR(VLOOKUP($A19,East2015[],6,FALSE),VLOOKUP($A19,West2015[],6,FALSE))</f>
        <v>106.7</v>
      </c>
      <c r="AB19" s="1">
        <f>IFERROR(VLOOKUP($A19,East2015[],7,FALSE),VLOOKUP($A19,West2015[],7,FALSE))</f>
        <v>100.1</v>
      </c>
      <c r="AC19">
        <f>IFERROR(VLOOKUP($A19,East2015[],4,FALSE),VLOOKUP($A19,West2015[],4,FALSE))</f>
        <v>0.68300000000000005</v>
      </c>
      <c r="AD19" s="4">
        <f t="shared" si="10"/>
        <v>0.71792676764243024</v>
      </c>
      <c r="AE19" s="5">
        <f t="shared" si="11"/>
        <v>-3.492676764243019E-2</v>
      </c>
      <c r="AF19" s="1">
        <f>IFERROR(VLOOKUP($A19,East2014[],6,FALSE),VLOOKUP($A19,West2014[],6,FALSE))</f>
        <v>107.9</v>
      </c>
      <c r="AG19" s="1">
        <f>IFERROR(VLOOKUP($A19,East2014[],7,FALSE),VLOOKUP($A19,West2014[],7,FALSE))</f>
        <v>101</v>
      </c>
      <c r="AH19">
        <f>IFERROR(VLOOKUP($A19,East2014[],4,FALSE),VLOOKUP($A19,West2014[],4,FALSE))</f>
        <v>0.69499999999999995</v>
      </c>
      <c r="AI19" s="4">
        <f t="shared" si="12"/>
        <v>0.72641094643505588</v>
      </c>
      <c r="AJ19" s="5">
        <f t="shared" si="13"/>
        <v>-3.1410946435055931E-2</v>
      </c>
      <c r="AK19" s="1">
        <f>IFERROR(VLOOKUP($A19,East2013[],6,FALSE),VLOOKUP($A19,West2013[],6,FALSE))</f>
        <v>101.1</v>
      </c>
      <c r="AL19" s="1">
        <f>IFERROR(VLOOKUP($A19,East2013[],7,FALSE),VLOOKUP($A19,West2013[],7,FALSE))</f>
        <v>94.6</v>
      </c>
      <c r="AM19">
        <f>IFERROR(VLOOKUP($A19,East2013[],4,FALSE),VLOOKUP($A19,West2013[],4,FALSE))</f>
        <v>0.68300000000000005</v>
      </c>
      <c r="AN19" s="4">
        <f t="shared" si="14"/>
        <v>0.72191214353052924</v>
      </c>
      <c r="AO19" s="5">
        <f t="shared" si="15"/>
        <v>-3.8912143530529186E-2</v>
      </c>
      <c r="AP19" s="1">
        <f>IFERROR(VLOOKUP($A19,East2012[],6,FALSE),VLOOKUP($A19,West2012[],6,FALSE))</f>
        <v>97.5</v>
      </c>
      <c r="AQ19" s="1">
        <f>IFERROR(VLOOKUP($A19,East2012[],7,FALSE),VLOOKUP($A19,West2012[],7,FALSE))</f>
        <v>95</v>
      </c>
      <c r="AR19">
        <f>IFERROR(VLOOKUP($A19,East2012[],4,FALSE),VLOOKUP($A19,West2012[],4,FALSE))</f>
        <v>0.60599999999999998</v>
      </c>
      <c r="AS19" s="4">
        <f t="shared" si="16"/>
        <v>0.5904376211023189</v>
      </c>
      <c r="AT19" s="5">
        <f t="shared" si="17"/>
        <v>1.5562378897681084E-2</v>
      </c>
      <c r="AU19" s="1">
        <f>IFERROR(VLOOKUP($A19,East2011[],6,FALSE),VLOOKUP($A19,West2011[],6,FALSE))</f>
        <v>98.6</v>
      </c>
      <c r="AV19" s="1">
        <f>IFERROR(VLOOKUP($A19,East2011[],7,FALSE),VLOOKUP($A19,West2011[],7,FALSE))</f>
        <v>101.8</v>
      </c>
      <c r="AW19">
        <f>IFERROR(VLOOKUP($A19,East2011[],4,FALSE),VLOOKUP($A19,West2011[],4,FALSE))</f>
        <v>0.39</v>
      </c>
      <c r="AX19" s="4">
        <f t="shared" si="18"/>
        <v>0.38577017274025699</v>
      </c>
      <c r="AY19" s="5">
        <f t="shared" si="19"/>
        <v>4.2298272597430242E-3</v>
      </c>
      <c r="AZ19" s="1">
        <f>IFERROR(VLOOKUP($A19,East2010[],6,FALSE),VLOOKUP($A19,West2010[],6,FALSE))</f>
        <v>95.7</v>
      </c>
      <c r="BA19" s="1">
        <f>IFERROR(VLOOKUP($A19,East2010[],7,FALSE),VLOOKUP($A19,West2010[],7,FALSE))</f>
        <v>102.1</v>
      </c>
      <c r="BB19">
        <f>IFERROR(VLOOKUP($A19,East2010[],4,FALSE),VLOOKUP($A19,West2010[],4,FALSE))</f>
        <v>0.35399999999999998</v>
      </c>
      <c r="BC19" s="4">
        <f t="shared" si="20"/>
        <v>0.27863580480895705</v>
      </c>
      <c r="BD19" s="5">
        <f t="shared" si="21"/>
        <v>7.5364195191042926E-2</v>
      </c>
      <c r="BE19" s="1">
        <f>IFERROR(VLOOKUP($A19,East2009[],6,FALSE),VLOOKUP($A19,West2009[],6,FALSE))</f>
        <v>95.1</v>
      </c>
      <c r="BF19" s="1">
        <f>IFERROR(VLOOKUP($A19,East2009[],7,FALSE),VLOOKUP($A19,West2009[],7,FALSE))</f>
        <v>103.9</v>
      </c>
      <c r="BG19">
        <f>IFERROR(VLOOKUP($A19,East2009[],4,FALSE),VLOOKUP($A19,West2009[],4,FALSE))</f>
        <v>0.23200000000000001</v>
      </c>
      <c r="BH19" s="4">
        <f t="shared" si="22"/>
        <v>0.21518601861479433</v>
      </c>
      <c r="BI19" s="5">
        <f t="shared" si="23"/>
        <v>1.6813981385205679E-2</v>
      </c>
      <c r="BJ19" s="1">
        <f>IFERROR(VLOOKUP($A19,East2008[],6,FALSE),VLOOKUP($A19,West2008[],6,FALSE))</f>
        <v>93.8</v>
      </c>
      <c r="BK19" s="1">
        <f>IFERROR(VLOOKUP($A19,East2008[],7,FALSE),VLOOKUP($A19,West2008[],7,FALSE))</f>
        <v>101.1</v>
      </c>
      <c r="BL19">
        <f>IFERROR(VLOOKUP($A19,East2008[],4,FALSE),VLOOKUP($A19,West2008[],4,FALSE))</f>
        <v>0.28000000000000003</v>
      </c>
      <c r="BM19" s="4">
        <f t="shared" si="24"/>
        <v>0.2505860365513648</v>
      </c>
      <c r="BN19" s="5">
        <f t="shared" si="25"/>
        <v>2.9413963448635227E-2</v>
      </c>
      <c r="BO19" s="1">
        <f>IFERROR(VLOOKUP($A19,East2007[],6,FALSE),VLOOKUP($A19,West2007[],6,FALSE))</f>
        <v>95.6</v>
      </c>
      <c r="BP19" s="1">
        <f>IFERROR(VLOOKUP($A19,East2007[],7,FALSE),VLOOKUP($A19,West2007[],7,FALSE))</f>
        <v>96.1</v>
      </c>
      <c r="BQ19">
        <f>IFERROR(VLOOKUP($A19,East2007[],4,FALSE),VLOOKUP($A19,West2007[],4,FALSE))</f>
        <v>0.48799999999999999</v>
      </c>
      <c r="BR19" s="4">
        <f t="shared" si="26"/>
        <v>0.48117298345775733</v>
      </c>
      <c r="BS19" s="5">
        <f t="shared" si="27"/>
        <v>6.8270165422426587E-3</v>
      </c>
      <c r="BT19" s="1">
        <f>IFERROR(VLOOKUP($A19,East2006[],6,FALSE),VLOOKUP($A19,West2006[],6,FALSE))</f>
        <v>97.2</v>
      </c>
      <c r="BU19" s="1">
        <f>IFERROR(VLOOKUP($A19,East2006[],7,FALSE),VLOOKUP($A19,West2006[],7,FALSE))</f>
        <v>95.6</v>
      </c>
      <c r="BV19">
        <f>IFERROR(VLOOKUP($A19,East2006[],4,FALSE),VLOOKUP($A19,West2006[],4,FALSE))</f>
        <v>0.57299999999999995</v>
      </c>
      <c r="BW19" s="4">
        <f t="shared" si="28"/>
        <v>0.55861545885083219</v>
      </c>
      <c r="BX19" s="5">
        <f t="shared" si="29"/>
        <v>1.4384541149167762E-2</v>
      </c>
      <c r="BY19" s="1">
        <f>IFERROR(VLOOKUP($A19,East2005[],6,FALSE),VLOOKUP($A19,West2005[],6,FALSE))</f>
        <v>95.7</v>
      </c>
      <c r="BZ19" s="1">
        <f>IFERROR(VLOOKUP($A19,East2005[],7,FALSE),VLOOKUP($A19,West2005[],7,FALSE))</f>
        <v>96.5</v>
      </c>
      <c r="CA19">
        <f>IFERROR(VLOOKUP($A19,East2005[],4,FALSE),VLOOKUP($A19,West2005[],4,FALSE))</f>
        <v>0.45100000000000001</v>
      </c>
      <c r="CB19" s="4">
        <f t="shared" si="30"/>
        <v>0.4704436622123857</v>
      </c>
      <c r="CC19" s="5">
        <f t="shared" si="31"/>
        <v>-1.9443662212385693E-2</v>
      </c>
      <c r="CD19" s="1">
        <f>IFERROR(VLOOKUP($A19,East2004[],6,FALSE),VLOOKUP($A19,West2004[],6,FALSE))</f>
        <v>94.8</v>
      </c>
      <c r="CE19" s="1">
        <f>IFERROR(VLOOKUP($A19,East2004[],7,FALSE),VLOOKUP($A19,West2004[],7,FALSE))</f>
        <v>99.4</v>
      </c>
      <c r="CF19">
        <f>IFERROR(VLOOKUP($A19,East2004[],4,FALSE),VLOOKUP($A19,West2004[],4,FALSE))</f>
        <v>0.34100000000000003</v>
      </c>
      <c r="CG19" s="4">
        <f t="shared" si="32"/>
        <v>0.34357627620593623</v>
      </c>
      <c r="CH19" s="5">
        <f t="shared" si="33"/>
        <v>-2.576276205936201E-3</v>
      </c>
      <c r="CI19" s="1">
        <f>IFERROR(VLOOKUP($A19,East2003[],6,FALSE),VLOOKUP($A19,West2003[],6,FALSE))</f>
        <v>93.8</v>
      </c>
      <c r="CJ19" s="1">
        <f>IFERROR(VLOOKUP($A19,East2003[],7,FALSE),VLOOKUP($A19,West2003[],7,FALSE))</f>
        <v>97.9</v>
      </c>
      <c r="CK19">
        <f>IFERROR(VLOOKUP($A19,East2003[],4,FALSE),VLOOKUP($A19,West2003[],4,FALSE))</f>
        <v>0.32900000000000001</v>
      </c>
      <c r="CL19" s="4">
        <f t="shared" si="34"/>
        <v>0.35547369820838493</v>
      </c>
      <c r="CM19" s="5">
        <f t="shared" si="35"/>
        <v>-2.647369820838491E-2</v>
      </c>
    </row>
    <row r="20" spans="1:91" x14ac:dyDescent="0.25">
      <c r="A20" s="1" t="s">
        <v>153</v>
      </c>
      <c r="B20" s="1">
        <f>IFERROR(VLOOKUP(A20,East2020[],6,FALSE),VLOOKUP(A20,West2020[],6,FALSE))</f>
        <v>113.4</v>
      </c>
      <c r="C20" s="1">
        <f>IFERROR(VLOOKUP(A20,East2020[],7,FALSE),VLOOKUP(A20,West2020[],7,FALSE))</f>
        <v>107.6</v>
      </c>
      <c r="D20">
        <f>IFERROR(VLOOKUP(A20,East2020[],4,FALSE),VLOOKUP(A20,West2020[],4,FALSE))</f>
        <v>0.73199999999999998</v>
      </c>
      <c r="E20" s="4">
        <f t="shared" si="0"/>
        <v>0.70231235146209048</v>
      </c>
      <c r="F20" s="5">
        <f t="shared" si="1"/>
        <v>2.9687648537909506E-2</v>
      </c>
      <c r="G20" s="1">
        <f>IFERROR(VLOOKUP($A20,East2019[],6,FALSE),VLOOKUP($A20,West2019[],6,FALSE))</f>
        <v>111.8</v>
      </c>
      <c r="H20" s="1">
        <f>IFERROR(VLOOKUP($A20,East2019[],7,FALSE),VLOOKUP($A20,West2019[],7,FALSE))</f>
        <v>113.5</v>
      </c>
      <c r="I20">
        <f>IFERROR(VLOOKUP($A20,East2019[],4,FALSE),VLOOKUP($A20,West2019[],4,FALSE))</f>
        <v>0.45100000000000001</v>
      </c>
      <c r="J20" s="4">
        <f t="shared" si="2"/>
        <v>0.43893643153066475</v>
      </c>
      <c r="K20" s="5">
        <f t="shared" si="3"/>
        <v>1.2063568469335262E-2</v>
      </c>
      <c r="L20" s="1">
        <f>IFERROR(VLOOKUP($A20,East2018[],6,FALSE),VLOOKUP($A20,West2018[],6,FALSE))</f>
        <v>108.1</v>
      </c>
      <c r="M20" s="1">
        <f>IFERROR(VLOOKUP($A20,East2018[],7,FALSE),VLOOKUP($A20,West2018[],7,FALSE))</f>
        <v>109.6</v>
      </c>
      <c r="N20">
        <f>IFERROR(VLOOKUP($A20,East2018[],4,FALSE),VLOOKUP($A20,West2018[],4,FALSE))</f>
        <v>0.42699999999999999</v>
      </c>
      <c r="O20" s="4">
        <f t="shared" si="4"/>
        <v>0.44661514901947841</v>
      </c>
      <c r="P20" s="5">
        <f t="shared" si="5"/>
        <v>-1.9615149019478417E-2</v>
      </c>
      <c r="Q20" s="1">
        <f>IFERROR(VLOOKUP($A20,East2017[],6,FALSE),VLOOKUP($A20,West2017[],6,FALSE))</f>
        <v>104.6</v>
      </c>
      <c r="R20" s="1">
        <f>IFERROR(VLOOKUP($A20,East2017[],7,FALSE),VLOOKUP($A20,West2017[],7,FALSE))</f>
        <v>111.5</v>
      </c>
      <c r="S20">
        <f>IFERROR(VLOOKUP($A20,East2017[],4,FALSE),VLOOKUP($A20,West2017[],4,FALSE))</f>
        <v>0.317</v>
      </c>
      <c r="T20" s="4">
        <f t="shared" si="6"/>
        <v>0.27155816341828481</v>
      </c>
      <c r="U20" s="5">
        <f t="shared" si="7"/>
        <v>4.5441836581715189E-2</v>
      </c>
      <c r="V20" s="1">
        <f>IFERROR(VLOOKUP($A20,East2016[],6,FALSE),VLOOKUP($A20,West2016[],6,FALSE))</f>
        <v>97.3</v>
      </c>
      <c r="W20" s="1">
        <f>IFERROR(VLOOKUP($A20,East2016[],7,FALSE),VLOOKUP($A20,West2016[],7,FALSE))</f>
        <v>106.9</v>
      </c>
      <c r="X20">
        <f>IFERROR(VLOOKUP($A20,East2016[],4,FALSE),VLOOKUP($A20,West2016[],4,FALSE))</f>
        <v>0.20699999999999999</v>
      </c>
      <c r="Y20" s="4">
        <f t="shared" si="8"/>
        <v>0.19573197881438248</v>
      </c>
      <c r="Z20" s="5">
        <f t="shared" si="9"/>
        <v>1.1268021185617511E-2</v>
      </c>
      <c r="AA20" s="1">
        <f>IFERROR(VLOOKUP($A20,East2015[],6,FALSE),VLOOKUP($A20,West2015[],6,FALSE))</f>
        <v>98.5</v>
      </c>
      <c r="AB20" s="1">
        <f>IFERROR(VLOOKUP($A20,East2015[],7,FALSE),VLOOKUP($A20,West2015[],7,FALSE))</f>
        <v>105.3</v>
      </c>
      <c r="AC20">
        <f>IFERROR(VLOOKUP($A20,East2015[],4,FALSE),VLOOKUP($A20,West2015[],4,FALSE))</f>
        <v>0.25600000000000001</v>
      </c>
      <c r="AD20" s="4">
        <f t="shared" si="10"/>
        <v>0.2735452226185886</v>
      </c>
      <c r="AE20" s="5">
        <f t="shared" si="11"/>
        <v>-1.7545222618588596E-2</v>
      </c>
      <c r="AF20" s="1">
        <f>IFERROR(VLOOKUP($A20,East2014[],6,FALSE),VLOOKUP($A20,West2014[],6,FALSE))</f>
        <v>103</v>
      </c>
      <c r="AG20" s="1">
        <f>IFERROR(VLOOKUP($A20,East2014[],7,FALSE),VLOOKUP($A20,West2014[],7,FALSE))</f>
        <v>109.2</v>
      </c>
      <c r="AH20">
        <f>IFERROR(VLOOKUP($A20,East2014[],4,FALSE),VLOOKUP($A20,West2014[],4,FALSE))</f>
        <v>0.32900000000000001</v>
      </c>
      <c r="AI20" s="4">
        <f t="shared" si="12"/>
        <v>0.29656457190481345</v>
      </c>
      <c r="AJ20" s="5">
        <f t="shared" si="13"/>
        <v>3.2435428095186569E-2</v>
      </c>
      <c r="AK20" s="1">
        <f>IFERROR(VLOOKUP($A20,East2013[],6,FALSE),VLOOKUP($A20,West2013[],6,FALSE))</f>
        <v>102.2</v>
      </c>
      <c r="AL20" s="1">
        <f>IFERROR(VLOOKUP($A20,East2013[],7,FALSE),VLOOKUP($A20,West2013[],7,FALSE))</f>
        <v>101</v>
      </c>
      <c r="AM20">
        <f>IFERROR(VLOOKUP($A20,East2013[],4,FALSE),VLOOKUP($A20,West2013[],4,FALSE))</f>
        <v>0.54900000000000004</v>
      </c>
      <c r="AN20" s="4">
        <f t="shared" si="14"/>
        <v>0.54228775397516604</v>
      </c>
      <c r="AO20" s="5">
        <f t="shared" si="15"/>
        <v>6.712246024834001E-3</v>
      </c>
      <c r="AP20" s="1">
        <f>IFERROR(VLOOKUP($A20,East2012[],6,FALSE),VLOOKUP($A20,West2012[],6,FALSE))</f>
        <v>97.3</v>
      </c>
      <c r="AQ20" s="1">
        <f>IFERROR(VLOOKUP($A20,East2012[],7,FALSE),VLOOKUP($A20,West2012[],7,FALSE))</f>
        <v>95.9</v>
      </c>
      <c r="AR20">
        <f>IFERROR(VLOOKUP($A20,East2012[],4,FALSE),VLOOKUP($A20,West2012[],4,FALSE))</f>
        <v>0.621</v>
      </c>
      <c r="AS20" s="4">
        <f t="shared" si="16"/>
        <v>0.55084460282571612</v>
      </c>
      <c r="AT20" s="5">
        <f t="shared" si="17"/>
        <v>7.0155397174283873E-2</v>
      </c>
      <c r="AU20" s="1">
        <f>IFERROR(VLOOKUP($A20,East2011[],6,FALSE),VLOOKUP($A20,West2011[],6,FALSE))</f>
        <v>101.5</v>
      </c>
      <c r="AV20" s="1">
        <f>IFERROR(VLOOKUP($A20,East2011[],7,FALSE),VLOOKUP($A20,West2011[],7,FALSE))</f>
        <v>95.4</v>
      </c>
      <c r="AW20">
        <f>IFERROR(VLOOKUP($A20,East2011[],4,FALSE),VLOOKUP($A20,West2011[],4,FALSE))</f>
        <v>0.69499999999999995</v>
      </c>
      <c r="AX20" s="4">
        <f t="shared" si="18"/>
        <v>0.71148799896690584</v>
      </c>
      <c r="AY20" s="5">
        <f t="shared" si="19"/>
        <v>-1.6487998966905892E-2</v>
      </c>
      <c r="AZ20" s="1">
        <f>IFERROR(VLOOKUP($A20,East2010[],6,FALSE),VLOOKUP($A20,West2010[],6,FALSE))</f>
        <v>101.7</v>
      </c>
      <c r="BA20" s="1">
        <f>IFERROR(VLOOKUP($A20,East2010[],7,FALSE),VLOOKUP($A20,West2010[],7,FALSE))</f>
        <v>97</v>
      </c>
      <c r="BB20">
        <f>IFERROR(VLOOKUP($A20,East2010[],4,FALSE),VLOOKUP($A20,West2010[],4,FALSE))</f>
        <v>0.69499999999999995</v>
      </c>
      <c r="BC20" s="4">
        <f t="shared" si="20"/>
        <v>0.66714238052183217</v>
      </c>
      <c r="BD20" s="5">
        <f t="shared" si="21"/>
        <v>2.7857619478167783E-2</v>
      </c>
      <c r="BE20" s="1">
        <f>IFERROR(VLOOKUP($A20,East2009[],6,FALSE),VLOOKUP($A20,West2009[],6,FALSE))</f>
        <v>106.9</v>
      </c>
      <c r="BF20" s="1">
        <f>IFERROR(VLOOKUP($A20,East2009[],7,FALSE),VLOOKUP($A20,West2009[],7,FALSE))</f>
        <v>99.3</v>
      </c>
      <c r="BG20">
        <f>IFERROR(VLOOKUP($A20,East2009[],4,FALSE),VLOOKUP($A20,West2009[],4,FALSE))</f>
        <v>0.79300000000000004</v>
      </c>
      <c r="BH20" s="4">
        <f t="shared" si="22"/>
        <v>0.74616490330199836</v>
      </c>
      <c r="BI20" s="5">
        <f t="shared" si="23"/>
        <v>4.6835096698001677E-2</v>
      </c>
      <c r="BJ20" s="1">
        <f>IFERROR(VLOOKUP($A20,East2008[],6,FALSE),VLOOKUP($A20,West2008[],6,FALSE))</f>
        <v>108.6</v>
      </c>
      <c r="BK20" s="1">
        <f>IFERROR(VLOOKUP($A20,East2008[],7,FALSE),VLOOKUP($A20,West2008[],7,FALSE))</f>
        <v>101.3</v>
      </c>
      <c r="BL20">
        <f>IFERROR(VLOOKUP($A20,East2008[],4,FALSE),VLOOKUP($A20,West2008[],4,FALSE))</f>
        <v>0.69499999999999995</v>
      </c>
      <c r="BM20" s="4">
        <f t="shared" si="24"/>
        <v>0.7344145588019042</v>
      </c>
      <c r="BN20" s="5">
        <f t="shared" si="25"/>
        <v>-3.9414558801904254E-2</v>
      </c>
      <c r="BO20" s="1">
        <f>IFERROR(VLOOKUP($A20,East2007[],6,FALSE),VLOOKUP($A20,West2007[],6,FALSE))</f>
        <v>103.3</v>
      </c>
      <c r="BP20" s="1">
        <f>IFERROR(VLOOKUP($A20,East2007[],7,FALSE),VLOOKUP($A20,West2007[],7,FALSE))</f>
        <v>103.4</v>
      </c>
      <c r="BQ20">
        <f>IFERROR(VLOOKUP($A20,East2007[],4,FALSE),VLOOKUP($A20,West2007[],4,FALSE))</f>
        <v>0.51200000000000001</v>
      </c>
      <c r="BR20" s="4">
        <f t="shared" si="26"/>
        <v>0.49650626070545217</v>
      </c>
      <c r="BS20" s="5">
        <f t="shared" si="27"/>
        <v>1.5493739294547837E-2</v>
      </c>
      <c r="BT20" s="1">
        <f>IFERROR(VLOOKUP($A20,East2006[],6,FALSE),VLOOKUP($A20,West2006[],6,FALSE))</f>
        <v>99.4</v>
      </c>
      <c r="BU20" s="1">
        <f>IFERROR(VLOOKUP($A20,East2006[],7,FALSE),VLOOKUP($A20,West2006[],7,FALSE))</f>
        <v>96.9</v>
      </c>
      <c r="BV20">
        <f>IFERROR(VLOOKUP($A20,East2006[],4,FALSE),VLOOKUP($A20,West2006[],4,FALSE))</f>
        <v>0.54900000000000004</v>
      </c>
      <c r="BW20" s="4">
        <f t="shared" si="28"/>
        <v>0.58940059071028628</v>
      </c>
      <c r="BX20" s="5">
        <f t="shared" si="29"/>
        <v>-4.0400590710286233E-2</v>
      </c>
      <c r="BY20" s="1">
        <f>IFERROR(VLOOKUP($A20,East2005[],6,FALSE),VLOOKUP($A20,West2005[],6,FALSE))</f>
        <v>98.7</v>
      </c>
      <c r="BZ20" s="1">
        <f>IFERROR(VLOOKUP($A20,East2005[],7,FALSE),VLOOKUP($A20,West2005[],7,FALSE))</f>
        <v>101.7</v>
      </c>
      <c r="CA20">
        <f>IFERROR(VLOOKUP($A20,East2005[],4,FALSE),VLOOKUP($A20,West2005[],4,FALSE))</f>
        <v>0.41499999999999998</v>
      </c>
      <c r="CB20" s="4">
        <f t="shared" si="30"/>
        <v>0.39514646300621586</v>
      </c>
      <c r="CC20" s="5">
        <f t="shared" si="31"/>
        <v>1.9853536993784116E-2</v>
      </c>
      <c r="CD20" s="1">
        <f>IFERROR(VLOOKUP($A20,East2004[],6,FALSE),VLOOKUP($A20,West2004[],6,FALSE))</f>
        <v>98.2</v>
      </c>
      <c r="CE20" s="1">
        <f>IFERROR(VLOOKUP($A20,East2004[],7,FALSE),VLOOKUP($A20,West2004[],7,FALSE))</f>
        <v>94.3</v>
      </c>
      <c r="CF20">
        <f>IFERROR(VLOOKUP($A20,East2004[],4,FALSE),VLOOKUP($A20,West2004[],4,FALSE))</f>
        <v>0.68300000000000005</v>
      </c>
      <c r="CG20" s="4">
        <f t="shared" si="32"/>
        <v>0.63499354921487916</v>
      </c>
      <c r="CH20" s="5">
        <f t="shared" si="33"/>
        <v>4.8006450785120891E-2</v>
      </c>
      <c r="CI20" s="1">
        <f>IFERROR(VLOOKUP($A20,East2003[],6,FALSE),VLOOKUP($A20,West2003[],6,FALSE))</f>
        <v>100.4</v>
      </c>
      <c r="CJ20" s="1">
        <f>IFERROR(VLOOKUP($A20,East2003[],7,FALSE),VLOOKUP($A20,West2003[],7,FALSE))</f>
        <v>98</v>
      </c>
      <c r="CK20">
        <f>IFERROR(VLOOKUP($A20,East2003[],4,FALSE),VLOOKUP($A20,West2003[],4,FALSE))</f>
        <v>0.61</v>
      </c>
      <c r="CL20" s="4">
        <f t="shared" si="34"/>
        <v>0.58334792747739683</v>
      </c>
      <c r="CM20" s="5">
        <f t="shared" si="35"/>
        <v>2.6652072522603154E-2</v>
      </c>
    </row>
    <row r="21" spans="1:91" x14ac:dyDescent="0.25">
      <c r="A21" s="1" t="s">
        <v>162</v>
      </c>
      <c r="B21" s="1">
        <f>IFERROR(VLOOKUP(A21,East2020[],6,FALSE),VLOOKUP(A21,West2020[],6,FALSE))</f>
        <v>112.6</v>
      </c>
      <c r="C21" s="1">
        <f>IFERROR(VLOOKUP(A21,East2020[],7,FALSE),VLOOKUP(A21,West2020[],7,FALSE))</f>
        <v>113.7</v>
      </c>
      <c r="D21">
        <f>IFERROR(VLOOKUP(A21,East2020[],4,FALSE),VLOOKUP(A21,West2020[],4,FALSE))</f>
        <v>0.46600000000000003</v>
      </c>
      <c r="E21" s="4">
        <f t="shared" si="0"/>
        <v>0.46034853474048953</v>
      </c>
      <c r="F21" s="5">
        <f t="shared" si="1"/>
        <v>5.6514652595104908E-3</v>
      </c>
      <c r="G21" s="1">
        <f>IFERROR(VLOOKUP($A21,East2019[],6,FALSE),VLOOKUP($A21,West2019[],6,FALSE))</f>
        <v>103.5</v>
      </c>
      <c r="H21" s="1">
        <f>IFERROR(VLOOKUP($A21,East2019[],7,FALSE),VLOOKUP($A21,West2019[],7,FALSE))</f>
        <v>106.1</v>
      </c>
      <c r="I21">
        <f>IFERROR(VLOOKUP($A21,East2019[],4,FALSE),VLOOKUP($A21,West2019[],4,FALSE))</f>
        <v>0.40200000000000002</v>
      </c>
      <c r="J21" s="4">
        <f t="shared" si="2"/>
        <v>0.40045381247357537</v>
      </c>
      <c r="K21" s="5">
        <f t="shared" si="3"/>
        <v>1.5461875264246583E-3</v>
      </c>
      <c r="L21" s="1">
        <f>IFERROR(VLOOKUP($A21,East2018[],6,FALSE),VLOOKUP($A21,West2018[],6,FALSE))</f>
        <v>99.3</v>
      </c>
      <c r="M21" s="1">
        <f>IFERROR(VLOOKUP($A21,East2018[],7,FALSE),VLOOKUP($A21,West2018[],7,FALSE))</f>
        <v>105.5</v>
      </c>
      <c r="N21">
        <f>IFERROR(VLOOKUP($A21,East2018[],4,FALSE),VLOOKUP($A21,West2018[],4,FALSE))</f>
        <v>0.26800000000000002</v>
      </c>
      <c r="O21" s="4">
        <f t="shared" si="4"/>
        <v>0.2804788521930523</v>
      </c>
      <c r="P21" s="5">
        <f t="shared" si="5"/>
        <v>-1.2478852193052281E-2</v>
      </c>
      <c r="Q21" s="1">
        <f>IFERROR(VLOOKUP($A21,East2017[],6,FALSE),VLOOKUP($A21,West2017[],6,FALSE))</f>
        <v>100.5</v>
      </c>
      <c r="R21" s="1">
        <f>IFERROR(VLOOKUP($A21,East2017[],7,FALSE),VLOOKUP($A21,West2017[],7,FALSE))</f>
        <v>100</v>
      </c>
      <c r="S21">
        <f>IFERROR(VLOOKUP($A21,East2017[],4,FALSE),VLOOKUP($A21,West2017[],4,FALSE))</f>
        <v>0.52400000000000002</v>
      </c>
      <c r="T21" s="4">
        <f t="shared" si="6"/>
        <v>0.51925035753213511</v>
      </c>
      <c r="U21" s="5">
        <f t="shared" si="7"/>
        <v>4.7496424678649118E-3</v>
      </c>
      <c r="V21" s="1">
        <f>IFERROR(VLOOKUP($A21,East2016[],6,FALSE),VLOOKUP($A21,West2016[],6,FALSE))</f>
        <v>99.1</v>
      </c>
      <c r="W21" s="1">
        <f>IFERROR(VLOOKUP($A21,East2016[],7,FALSE),VLOOKUP($A21,West2016[],7,FALSE))</f>
        <v>101.3</v>
      </c>
      <c r="X21">
        <f>IFERROR(VLOOKUP($A21,East2016[],4,FALSE),VLOOKUP($A21,West2016[],4,FALSE))</f>
        <v>0.51200000000000001</v>
      </c>
      <c r="Y21" s="4">
        <f t="shared" si="8"/>
        <v>0.41829752421078681</v>
      </c>
      <c r="Z21" s="5">
        <f t="shared" si="9"/>
        <v>9.3702475789213202E-2</v>
      </c>
      <c r="AA21" s="1">
        <f>IFERROR(VLOOKUP($A21,East2015[],6,FALSE),VLOOKUP($A21,West2015[],6,FALSE))</f>
        <v>98.3</v>
      </c>
      <c r="AB21" s="1">
        <f>IFERROR(VLOOKUP($A21,East2015[],7,FALSE),VLOOKUP($A21,West2015[],7,FALSE))</f>
        <v>95.1</v>
      </c>
      <c r="AC21">
        <f>IFERROR(VLOOKUP($A21,East2015[],4,FALSE),VLOOKUP($A21,West2015[],4,FALSE))</f>
        <v>0.67100000000000004</v>
      </c>
      <c r="AD21" s="4">
        <f t="shared" si="10"/>
        <v>0.61874117636717574</v>
      </c>
      <c r="AE21" s="5">
        <f t="shared" si="11"/>
        <v>5.2258823632824303E-2</v>
      </c>
      <c r="AF21" s="1">
        <f>IFERROR(VLOOKUP($A21,East2014[],6,FALSE),VLOOKUP($A21,West2014[],6,FALSE))</f>
        <v>96.1</v>
      </c>
      <c r="AG21" s="1">
        <f>IFERROR(VLOOKUP($A21,East2014[],7,FALSE),VLOOKUP($A21,West2014[],7,FALSE))</f>
        <v>94.6</v>
      </c>
      <c r="AH21">
        <f>IFERROR(VLOOKUP($A21,East2014[],4,FALSE),VLOOKUP($A21,West2014[],4,FALSE))</f>
        <v>0.61</v>
      </c>
      <c r="AI21" s="4">
        <f t="shared" si="12"/>
        <v>0.55785468786508308</v>
      </c>
      <c r="AJ21" s="5">
        <f t="shared" si="13"/>
        <v>5.214531213491691E-2</v>
      </c>
      <c r="AK21" s="1">
        <f>IFERROR(VLOOKUP($A21,East2013[],6,FALSE),VLOOKUP($A21,West2013[],6,FALSE))</f>
        <v>93.4</v>
      </c>
      <c r="AL21" s="1">
        <f>IFERROR(VLOOKUP($A21,East2013[],7,FALSE),VLOOKUP($A21,West2013[],7,FALSE))</f>
        <v>89.3</v>
      </c>
      <c r="AM21">
        <f>IFERROR(VLOOKUP($A21,East2013[],4,FALSE),VLOOKUP($A21,West2013[],4,FALSE))</f>
        <v>0.68300000000000005</v>
      </c>
      <c r="AN21" s="4">
        <f t="shared" si="14"/>
        <v>0.65575191214155815</v>
      </c>
      <c r="AO21" s="5">
        <f t="shared" si="15"/>
        <v>2.7248087858441905E-2</v>
      </c>
      <c r="AP21" s="1">
        <f>IFERROR(VLOOKUP($A21,East2012[],6,FALSE),VLOOKUP($A21,West2012[],6,FALSE))</f>
        <v>95</v>
      </c>
      <c r="AQ21" s="1">
        <f>IFERROR(VLOOKUP($A21,East2012[],7,FALSE),VLOOKUP($A21,West2012[],7,FALSE))</f>
        <v>93</v>
      </c>
      <c r="AR21">
        <f>IFERROR(VLOOKUP($A21,East2012[],4,FALSE),VLOOKUP($A21,West2012[],4,FALSE))</f>
        <v>0.621</v>
      </c>
      <c r="AS21" s="4">
        <f t="shared" si="16"/>
        <v>0.57434924656760566</v>
      </c>
      <c r="AT21" s="5">
        <f t="shared" si="17"/>
        <v>4.6650753432394332E-2</v>
      </c>
      <c r="AU21" s="1">
        <f>IFERROR(VLOOKUP($A21,East2011[],6,FALSE),VLOOKUP($A21,West2011[],6,FALSE))</f>
        <v>99.9</v>
      </c>
      <c r="AV21" s="1">
        <f>IFERROR(VLOOKUP($A21,East2011[],7,FALSE),VLOOKUP($A21,West2011[],7,FALSE))</f>
        <v>97.6</v>
      </c>
      <c r="AW21">
        <f>IFERROR(VLOOKUP($A21,East2011[],4,FALSE),VLOOKUP($A21,West2011[],4,FALSE))</f>
        <v>0.56100000000000005</v>
      </c>
      <c r="AX21" s="4">
        <f t="shared" si="18"/>
        <v>0.58399755771594364</v>
      </c>
      <c r="AY21" s="5">
        <f t="shared" si="19"/>
        <v>-2.2997557715943584E-2</v>
      </c>
      <c r="AZ21" s="1">
        <f>IFERROR(VLOOKUP($A21,East2010[],6,FALSE),VLOOKUP($A21,West2010[],6,FALSE))</f>
        <v>102.5</v>
      </c>
      <c r="BA21" s="1">
        <f>IFERROR(VLOOKUP($A21,East2010[],7,FALSE),VLOOKUP($A21,West2010[],7,FALSE))</f>
        <v>104</v>
      </c>
      <c r="BB21">
        <f>IFERROR(VLOOKUP($A21,East2010[],4,FALSE),VLOOKUP($A21,West2010[],4,FALSE))</f>
        <v>0.48799999999999999</v>
      </c>
      <c r="BC21" s="4">
        <f t="shared" si="20"/>
        <v>0.44683106658804339</v>
      </c>
      <c r="BD21" s="5">
        <f t="shared" si="21"/>
        <v>4.1168933411956599E-2</v>
      </c>
      <c r="BE21" s="1">
        <f>IFERROR(VLOOKUP($A21,East2009[],6,FALSE),VLOOKUP($A21,West2009[],6,FALSE))</f>
        <v>93.9</v>
      </c>
      <c r="BF21" s="1">
        <f>IFERROR(VLOOKUP($A21,East2009[],7,FALSE),VLOOKUP($A21,West2009[],7,FALSE))</f>
        <v>99.3</v>
      </c>
      <c r="BG21">
        <f>IFERROR(VLOOKUP($A21,East2009[],4,FALSE),VLOOKUP($A21,West2009[],4,FALSE))</f>
        <v>0.29299999999999998</v>
      </c>
      <c r="BH21" s="4">
        <f t="shared" si="22"/>
        <v>0.30628879065568376</v>
      </c>
      <c r="BI21" s="5">
        <f t="shared" si="23"/>
        <v>-1.328879065568378E-2</v>
      </c>
      <c r="BJ21" s="1">
        <f>IFERROR(VLOOKUP($A21,East2008[],6,FALSE),VLOOKUP($A21,West2008[],6,FALSE))</f>
        <v>100.7</v>
      </c>
      <c r="BK21" s="1">
        <f>IFERROR(VLOOKUP($A21,East2008[],7,FALSE),VLOOKUP($A21,West2008[],7,FALSE))</f>
        <v>106.9</v>
      </c>
      <c r="BL21">
        <f>IFERROR(VLOOKUP($A21,East2008[],4,FALSE),VLOOKUP($A21,West2008[],4,FALSE))</f>
        <v>0.26800000000000002</v>
      </c>
      <c r="BM21" s="4">
        <f t="shared" si="24"/>
        <v>0.29455811132750725</v>
      </c>
      <c r="BN21" s="5">
        <f t="shared" si="25"/>
        <v>-2.6558111327507239E-2</v>
      </c>
      <c r="BO21" s="1">
        <f>IFERROR(VLOOKUP($A21,East2007[],6,FALSE),VLOOKUP($A21,West2007[],6,FALSE))</f>
        <v>101.6</v>
      </c>
      <c r="BP21" s="1">
        <f>IFERROR(VLOOKUP($A21,East2007[],7,FALSE),VLOOKUP($A21,West2007[],7,FALSE))</f>
        <v>106.7</v>
      </c>
      <c r="BQ21">
        <f>IFERROR(VLOOKUP($A21,East2007[],4,FALSE),VLOOKUP($A21,West2007[],4,FALSE))</f>
        <v>0.26800000000000002</v>
      </c>
      <c r="BR21" s="4">
        <f t="shared" si="26"/>
        <v>0.33017336492307348</v>
      </c>
      <c r="BS21" s="5">
        <f t="shared" si="27"/>
        <v>-6.217336492307346E-2</v>
      </c>
      <c r="BT21" s="1">
        <f>IFERROR(VLOOKUP($A21,East2006[],6,FALSE),VLOOKUP($A21,West2006[],6,FALSE))</f>
        <v>92.2</v>
      </c>
      <c r="BU21" s="1">
        <f>IFERROR(VLOOKUP($A21,East2006[],7,FALSE),VLOOKUP($A21,West2006[],7,FALSE))</f>
        <v>88.5</v>
      </c>
      <c r="BV21">
        <f>IFERROR(VLOOKUP($A21,East2006[],4,FALSE),VLOOKUP($A21,West2006[],4,FALSE))</f>
        <v>0.59799999999999998</v>
      </c>
      <c r="BW21" s="4">
        <f t="shared" si="28"/>
        <v>0.64135252183789215</v>
      </c>
      <c r="BX21" s="5">
        <f t="shared" si="29"/>
        <v>-4.3352521837892177E-2</v>
      </c>
      <c r="BY21" s="1">
        <f>IFERROR(VLOOKUP($A21,East2005[],6,FALSE),VLOOKUP($A21,West2005[],6,FALSE))</f>
        <v>93.4</v>
      </c>
      <c r="BZ21" s="1">
        <f>IFERROR(VLOOKUP($A21,East2005[],7,FALSE),VLOOKUP($A21,West2005[],7,FALSE))</f>
        <v>91.1</v>
      </c>
      <c r="CA21">
        <f>IFERROR(VLOOKUP($A21,East2005[],4,FALSE),VLOOKUP($A21,West2005[],4,FALSE))</f>
        <v>0.54900000000000004</v>
      </c>
      <c r="CB21" s="4">
        <f t="shared" si="30"/>
        <v>0.58771152437809493</v>
      </c>
      <c r="CC21" s="5">
        <f t="shared" si="31"/>
        <v>-3.8711524378094886E-2</v>
      </c>
      <c r="CD21" s="1">
        <f>IFERROR(VLOOKUP($A21,East2004[],6,FALSE),VLOOKUP($A21,West2004[],6,FALSE))</f>
        <v>96.7</v>
      </c>
      <c r="CE21" s="1">
        <f>IFERROR(VLOOKUP($A21,East2004[],7,FALSE),VLOOKUP($A21,West2004[],7,FALSE))</f>
        <v>94.3</v>
      </c>
      <c r="CF21">
        <f>IFERROR(VLOOKUP($A21,East2004[],4,FALSE),VLOOKUP($A21,West2004[],4,FALSE))</f>
        <v>0.61</v>
      </c>
      <c r="CG21" s="4">
        <f t="shared" si="32"/>
        <v>0.58501263824789274</v>
      </c>
      <c r="CH21" s="5">
        <f t="shared" si="33"/>
        <v>2.4987361752107251E-2</v>
      </c>
      <c r="CI21" s="1">
        <f>IFERROR(VLOOKUP($A21,East2003[],6,FALSE),VLOOKUP($A21,West2003[],6,FALSE))</f>
        <v>97.5</v>
      </c>
      <c r="CJ21" s="1">
        <f>IFERROR(VLOOKUP($A21,East2003[],7,FALSE),VLOOKUP($A21,West2003[],7,FALSE))</f>
        <v>100.7</v>
      </c>
      <c r="CK21">
        <f>IFERROR(VLOOKUP($A21,East2003[],4,FALSE),VLOOKUP($A21,West2003[],4,FALSE))</f>
        <v>0.34100000000000003</v>
      </c>
      <c r="CL21" s="4">
        <f t="shared" si="34"/>
        <v>0.38955583749135481</v>
      </c>
      <c r="CM21" s="5">
        <f t="shared" si="35"/>
        <v>-4.8555837491354781E-2</v>
      </c>
    </row>
    <row r="22" spans="1:91" x14ac:dyDescent="0.25">
      <c r="A22" s="1" t="s">
        <v>132</v>
      </c>
      <c r="B22" s="1">
        <f>IFERROR(VLOOKUP(A22,East2020[],6,FALSE),VLOOKUP(A22,West2020[],6,FALSE))</f>
        <v>112</v>
      </c>
      <c r="C22" s="1">
        <f>IFERROR(VLOOKUP(A22,East2020[],7,FALSE),VLOOKUP(A22,West2020[],7,FALSE))</f>
        <v>109.1</v>
      </c>
      <c r="D22">
        <f>IFERROR(VLOOKUP(A22,East2020[],4,FALSE),VLOOKUP(A22,West2020[],4,FALSE))</f>
        <v>0.60299999999999998</v>
      </c>
      <c r="E22" s="4">
        <f t="shared" si="0"/>
        <v>0.60561066281971943</v>
      </c>
      <c r="F22" s="5">
        <f t="shared" si="1"/>
        <v>-2.6106628197194448E-3</v>
      </c>
      <c r="G22" s="1">
        <f>IFERROR(VLOOKUP($A22,East2019[],6,FALSE),VLOOKUP($A22,West2019[],6,FALSE))</f>
        <v>105.7</v>
      </c>
      <c r="H22" s="1">
        <f>IFERROR(VLOOKUP($A22,East2019[],7,FALSE),VLOOKUP($A22,West2019[],7,FALSE))</f>
        <v>105.9</v>
      </c>
      <c r="I22">
        <f>IFERROR(VLOOKUP($A22,East2019[],4,FALSE),VLOOKUP($A22,West2019[],4,FALSE))</f>
        <v>0.47599999999999998</v>
      </c>
      <c r="J22" s="4">
        <f t="shared" si="2"/>
        <v>0.49231330393140499</v>
      </c>
      <c r="K22" s="5">
        <f t="shared" si="3"/>
        <v>-1.631330393140501E-2</v>
      </c>
      <c r="L22" s="1">
        <f>IFERROR(VLOOKUP($A22,East2018[],6,FALSE),VLOOKUP($A22,West2018[],6,FALSE))</f>
        <v>103.4</v>
      </c>
      <c r="M22" s="1">
        <f>IFERROR(VLOOKUP($A22,East2018[],7,FALSE),VLOOKUP($A22,West2018[],7,FALSE))</f>
        <v>102.9</v>
      </c>
      <c r="N22">
        <f>IFERROR(VLOOKUP($A22,East2018[],4,FALSE),VLOOKUP($A22,West2018[],4,FALSE))</f>
        <v>0.53700000000000003</v>
      </c>
      <c r="O22" s="4">
        <f t="shared" si="4"/>
        <v>0.51884094891651544</v>
      </c>
      <c r="P22" s="5">
        <f t="shared" si="5"/>
        <v>1.815905108348459E-2</v>
      </c>
      <c r="Q22" s="1">
        <f>IFERROR(VLOOKUP($A22,East2017[],6,FALSE),VLOOKUP($A22,West2017[],6,FALSE))</f>
        <v>103.2</v>
      </c>
      <c r="R22" s="1">
        <f>IFERROR(VLOOKUP($A22,East2017[],7,FALSE),VLOOKUP($A22,West2017[],7,FALSE))</f>
        <v>102.1</v>
      </c>
      <c r="S22">
        <f>IFERROR(VLOOKUP($A22,East2017[],4,FALSE),VLOOKUP($A22,West2017[],4,FALSE))</f>
        <v>0.5</v>
      </c>
      <c r="T22" s="4">
        <f t="shared" si="6"/>
        <v>0.54128714741384032</v>
      </c>
      <c r="U22" s="5">
        <f t="shared" si="7"/>
        <v>-4.1287147413840319E-2</v>
      </c>
      <c r="V22" s="1">
        <f>IFERROR(VLOOKUP($A22,East2016[],6,FALSE),VLOOKUP($A22,West2016[],6,FALSE))</f>
        <v>100</v>
      </c>
      <c r="W22" s="1">
        <f>IFERROR(VLOOKUP($A22,East2016[],7,FALSE),VLOOKUP($A22,West2016[],7,FALSE))</f>
        <v>98.4</v>
      </c>
      <c r="X22">
        <f>IFERROR(VLOOKUP($A22,East2016[],4,FALSE),VLOOKUP($A22,West2016[],4,FALSE))</f>
        <v>0.58499999999999996</v>
      </c>
      <c r="Y22" s="4">
        <f t="shared" si="8"/>
        <v>0.56026634812051601</v>
      </c>
      <c r="Z22" s="5">
        <f t="shared" si="9"/>
        <v>2.4733651879483953E-2</v>
      </c>
      <c r="AA22" s="1">
        <f>IFERROR(VLOOKUP($A22,East2015[],6,FALSE),VLOOKUP($A22,West2015[],6,FALSE))</f>
        <v>94.7</v>
      </c>
      <c r="AB22" s="1">
        <f>IFERROR(VLOOKUP($A22,East2015[],7,FALSE),VLOOKUP($A22,West2015[],7,FALSE))</f>
        <v>97.3</v>
      </c>
      <c r="AC22">
        <f>IFERROR(VLOOKUP($A22,East2015[],4,FALSE),VLOOKUP($A22,West2015[],4,FALSE))</f>
        <v>0.45100000000000001</v>
      </c>
      <c r="AD22" s="4">
        <f t="shared" si="10"/>
        <v>0.40220734749341391</v>
      </c>
      <c r="AE22" s="5">
        <f t="shared" si="11"/>
        <v>4.8792652506586098E-2</v>
      </c>
      <c r="AF22" s="1">
        <f>IFERROR(VLOOKUP($A22,East2014[],6,FALSE),VLOOKUP($A22,West2014[],6,FALSE))</f>
        <v>102.2</v>
      </c>
      <c r="AG22" s="1">
        <f>IFERROR(VLOOKUP($A22,East2014[],7,FALSE),VLOOKUP($A22,West2014[],7,FALSE))</f>
        <v>97.4</v>
      </c>
      <c r="AH22">
        <f>IFERROR(VLOOKUP($A22,East2014[],4,FALSE),VLOOKUP($A22,West2014[],4,FALSE))</f>
        <v>0.65900000000000003</v>
      </c>
      <c r="AI22" s="4">
        <f t="shared" si="12"/>
        <v>0.67058354299502798</v>
      </c>
      <c r="AJ22" s="5">
        <f t="shared" si="13"/>
        <v>-1.1583542995027951E-2</v>
      </c>
      <c r="AK22" s="1">
        <f>IFERROR(VLOOKUP($A22,East2013[],6,FALSE),VLOOKUP($A22,West2013[],6,FALSE))</f>
        <v>102.9</v>
      </c>
      <c r="AL22" s="1">
        <f>IFERROR(VLOOKUP($A22,East2013[],7,FALSE),VLOOKUP($A22,West2013[],7,FALSE))</f>
        <v>95</v>
      </c>
      <c r="AM22">
        <f>IFERROR(VLOOKUP($A22,East2013[],4,FALSE),VLOOKUP($A22,West2013[],4,FALSE))</f>
        <v>0.80500000000000005</v>
      </c>
      <c r="AN22" s="4">
        <f t="shared" si="14"/>
        <v>0.75891396170751468</v>
      </c>
      <c r="AO22" s="5">
        <f t="shared" si="15"/>
        <v>4.6086038292485365E-2</v>
      </c>
      <c r="AP22" s="1">
        <f>IFERROR(VLOOKUP($A22,East2012[],6,FALSE),VLOOKUP($A22,West2012[],6,FALSE))</f>
        <v>98.5</v>
      </c>
      <c r="AQ22" s="1">
        <f>IFERROR(VLOOKUP($A22,East2012[],7,FALSE),VLOOKUP($A22,West2012[],7,FALSE))</f>
        <v>92.5</v>
      </c>
      <c r="AR22">
        <f>IFERROR(VLOOKUP($A22,East2012[],4,FALSE),VLOOKUP($A22,West2012[],4,FALSE))</f>
        <v>0.69699999999999995</v>
      </c>
      <c r="AS22" s="4">
        <f t="shared" si="16"/>
        <v>0.70785625346729075</v>
      </c>
      <c r="AT22" s="5">
        <f t="shared" si="17"/>
        <v>-1.08562534672908E-2</v>
      </c>
      <c r="AU22" s="1">
        <f>IFERROR(VLOOKUP($A22,East2011[],6,FALSE),VLOOKUP($A22,West2011[],6,FALSE))</f>
        <v>102.1</v>
      </c>
      <c r="AV22" s="1">
        <f>IFERROR(VLOOKUP($A22,East2011[],7,FALSE),VLOOKUP($A22,West2011[],7,FALSE))</f>
        <v>94.6</v>
      </c>
      <c r="AW22">
        <f>IFERROR(VLOOKUP($A22,East2011[],4,FALSE),VLOOKUP($A22,West2011[],4,FALSE))</f>
        <v>0.70699999999999996</v>
      </c>
      <c r="AX22" s="4">
        <f t="shared" si="18"/>
        <v>0.75233273885725704</v>
      </c>
      <c r="AY22" s="5">
        <f t="shared" si="19"/>
        <v>-4.5332738857257082E-2</v>
      </c>
      <c r="AZ22" s="1">
        <f>IFERROR(VLOOKUP($A22,East2010[],6,FALSE),VLOOKUP($A22,West2010[],6,FALSE))</f>
        <v>96.5</v>
      </c>
      <c r="BA22" s="1">
        <f>IFERROR(VLOOKUP($A22,East2010[],7,FALSE),VLOOKUP($A22,West2010[],7,FALSE))</f>
        <v>94.2</v>
      </c>
      <c r="BB22">
        <f>IFERROR(VLOOKUP($A22,East2010[],4,FALSE),VLOOKUP($A22,West2010[],4,FALSE))</f>
        <v>0.57299999999999995</v>
      </c>
      <c r="BC22" s="4">
        <f t="shared" si="20"/>
        <v>0.58770168567905057</v>
      </c>
      <c r="BD22" s="5">
        <f t="shared" si="21"/>
        <v>-1.4701685679050613E-2</v>
      </c>
      <c r="BE22" s="1">
        <f>IFERROR(VLOOKUP($A22,East2009[],6,FALSE),VLOOKUP($A22,West2009[],6,FALSE))</f>
        <v>98.3</v>
      </c>
      <c r="BF22" s="1">
        <f>IFERROR(VLOOKUP($A22,East2009[],7,FALSE),VLOOKUP($A22,West2009[],7,FALSE))</f>
        <v>98</v>
      </c>
      <c r="BG22">
        <f>IFERROR(VLOOKUP($A22,East2009[],4,FALSE),VLOOKUP($A22,West2009[],4,FALSE))</f>
        <v>0.52400000000000002</v>
      </c>
      <c r="BH22" s="4">
        <f t="shared" si="22"/>
        <v>0.51117047249171543</v>
      </c>
      <c r="BI22" s="5">
        <f t="shared" si="23"/>
        <v>1.2829527508284588E-2</v>
      </c>
      <c r="BJ22" s="1">
        <f>IFERROR(VLOOKUP($A22,East2008[],6,FALSE),VLOOKUP($A22,West2008[],6,FALSE))</f>
        <v>91.4</v>
      </c>
      <c r="BK22" s="1">
        <f>IFERROR(VLOOKUP($A22,East2008[],7,FALSE),VLOOKUP($A22,West2008[],7,FALSE))</f>
        <v>100</v>
      </c>
      <c r="BL22">
        <f>IFERROR(VLOOKUP($A22,East2008[],4,FALSE),VLOOKUP($A22,West2008[],4,FALSE))</f>
        <v>0.183</v>
      </c>
      <c r="BM22" s="4">
        <f t="shared" si="24"/>
        <v>0.21174373972131605</v>
      </c>
      <c r="BN22" s="5">
        <f t="shared" si="25"/>
        <v>-2.8743739721316053E-2</v>
      </c>
      <c r="BO22" s="1">
        <f>IFERROR(VLOOKUP($A22,East2007[],6,FALSE),VLOOKUP($A22,West2007[],6,FALSE))</f>
        <v>94.6</v>
      </c>
      <c r="BP22" s="1">
        <f>IFERROR(VLOOKUP($A22,East2007[],7,FALSE),VLOOKUP($A22,West2007[],7,FALSE))</f>
        <v>95.5</v>
      </c>
      <c r="BQ22">
        <f>IFERROR(VLOOKUP($A22,East2007[],4,FALSE),VLOOKUP($A22,West2007[],4,FALSE))</f>
        <v>0.53700000000000003</v>
      </c>
      <c r="BR22" s="4">
        <f t="shared" si="26"/>
        <v>0.46586299013955346</v>
      </c>
      <c r="BS22" s="5">
        <f t="shared" si="27"/>
        <v>7.1137009860446576E-2</v>
      </c>
      <c r="BT22" s="1">
        <f>IFERROR(VLOOKUP($A22,East2006[],6,FALSE),VLOOKUP($A22,West2006[],6,FALSE))</f>
        <v>99.9</v>
      </c>
      <c r="BU22" s="1">
        <f>IFERROR(VLOOKUP($A22,East2006[],7,FALSE),VLOOKUP($A22,West2006[],7,FALSE))</f>
        <v>96</v>
      </c>
      <c r="BV22">
        <f>IFERROR(VLOOKUP($A22,East2006[],4,FALSE),VLOOKUP($A22,West2006[],4,FALSE))</f>
        <v>0.63400000000000001</v>
      </c>
      <c r="BW22" s="4">
        <f t="shared" si="28"/>
        <v>0.63763565234205433</v>
      </c>
      <c r="BX22" s="5">
        <f t="shared" si="29"/>
        <v>-3.6356523420543185E-3</v>
      </c>
      <c r="BY22" s="1">
        <f>IFERROR(VLOOKUP($A22,East2005[],6,FALSE),VLOOKUP($A22,West2005[],6,FALSE))</f>
        <v>101.5</v>
      </c>
      <c r="BZ22" s="1">
        <f>IFERROR(VLOOKUP($A22,East2005[],7,FALSE),VLOOKUP($A22,West2005[],7,FALSE))</f>
        <v>95</v>
      </c>
      <c r="CA22">
        <f>IFERROR(VLOOKUP($A22,East2005[],4,FALSE),VLOOKUP($A22,West2005[],4,FALSE))</f>
        <v>0.72</v>
      </c>
      <c r="CB22" s="4">
        <f t="shared" si="30"/>
        <v>0.71930063666955713</v>
      </c>
      <c r="CC22" s="5">
        <f t="shared" si="31"/>
        <v>6.9936333044284815E-4</v>
      </c>
      <c r="CD22" s="1">
        <f>IFERROR(VLOOKUP($A22,East2004[],6,FALSE),VLOOKUP($A22,West2004[],6,FALSE))</f>
        <v>90.3</v>
      </c>
      <c r="CE22" s="1">
        <f>IFERROR(VLOOKUP($A22,East2004[],7,FALSE),VLOOKUP($A22,West2004[],7,FALSE))</f>
        <v>89.7</v>
      </c>
      <c r="CF22">
        <f>IFERROR(VLOOKUP($A22,East2004[],4,FALSE),VLOOKUP($A22,West2004[],4,FALSE))</f>
        <v>0.51200000000000001</v>
      </c>
      <c r="CG22" s="4">
        <f t="shared" si="32"/>
        <v>0.52275628171926003</v>
      </c>
      <c r="CH22" s="5">
        <f t="shared" si="33"/>
        <v>-1.0756281719260019E-2</v>
      </c>
      <c r="CI22" s="1">
        <f>IFERROR(VLOOKUP($A22,East2003[],6,FALSE),VLOOKUP($A22,West2003[],6,FALSE))</f>
        <v>85.6</v>
      </c>
      <c r="CJ22" s="1">
        <f>IFERROR(VLOOKUP($A22,East2003[],7,FALSE),VLOOKUP($A22,West2003[],7,FALSE))</f>
        <v>90.6</v>
      </c>
      <c r="CK22">
        <f>IFERROR(VLOOKUP($A22,East2003[],4,FALSE),VLOOKUP($A22,West2003[],4,FALSE))</f>
        <v>0.30499999999999999</v>
      </c>
      <c r="CL22" s="4">
        <f t="shared" si="34"/>
        <v>0.31225083750678534</v>
      </c>
      <c r="CM22" s="5">
        <f t="shared" si="35"/>
        <v>-7.2508375067853459E-3</v>
      </c>
    </row>
    <row r="23" spans="1:91" x14ac:dyDescent="0.25">
      <c r="A23" s="1" t="s">
        <v>128</v>
      </c>
      <c r="B23" s="1">
        <f>IFERROR(VLOOKUP(A23,East2020[],6,FALSE),VLOOKUP(A23,West2020[],6,FALSE))</f>
        <v>118.7</v>
      </c>
      <c r="C23" s="1">
        <f>IFERROR(VLOOKUP(A23,East2020[],7,FALSE),VLOOKUP(A23,West2020[],7,FALSE))</f>
        <v>108.6</v>
      </c>
      <c r="D23">
        <f>IFERROR(VLOOKUP(A23,East2020[],4,FALSE),VLOOKUP(A23,West2020[],4,FALSE))</f>
        <v>0.76700000000000002</v>
      </c>
      <c r="E23" s="4">
        <f t="shared" si="0"/>
        <v>0.81059487244274431</v>
      </c>
      <c r="F23" s="5">
        <f t="shared" si="1"/>
        <v>-4.3594872442744292E-2</v>
      </c>
      <c r="G23" s="1">
        <f>IFERROR(VLOOKUP($A23,East2019[],6,FALSE),VLOOKUP($A23,West2019[],6,FALSE))</f>
        <v>118.1</v>
      </c>
      <c r="H23" s="1">
        <f>IFERROR(VLOOKUP($A23,East2019[],7,FALSE),VLOOKUP($A23,West2019[],7,FALSE))</f>
        <v>109.3</v>
      </c>
      <c r="I23">
        <f>IFERROR(VLOOKUP($A23,East2019[],4,FALSE),VLOOKUP($A23,West2019[],4,FALSE))</f>
        <v>0.73199999999999998</v>
      </c>
      <c r="J23" s="4">
        <f t="shared" si="2"/>
        <v>0.77895522044817012</v>
      </c>
      <c r="K23" s="5">
        <f t="shared" si="3"/>
        <v>-4.6955220448170132E-2</v>
      </c>
      <c r="L23" s="1">
        <f>IFERROR(VLOOKUP($A23,East2018[],6,FALSE),VLOOKUP($A23,West2018[],6,FALSE))</f>
        <v>106.5</v>
      </c>
      <c r="M23" s="1">
        <f>IFERROR(VLOOKUP($A23,East2018[],7,FALSE),VLOOKUP($A23,West2018[],7,FALSE))</f>
        <v>106.8</v>
      </c>
      <c r="N23">
        <f>IFERROR(VLOOKUP($A23,East2018[],4,FALSE),VLOOKUP($A23,West2018[],4,FALSE))</f>
        <v>0.53700000000000003</v>
      </c>
      <c r="O23" s="4">
        <f t="shared" si="4"/>
        <v>0.48906299948526727</v>
      </c>
      <c r="P23" s="5">
        <f t="shared" si="5"/>
        <v>4.7937000514732764E-2</v>
      </c>
      <c r="Q23" s="1">
        <f>IFERROR(VLOOKUP($A23,East2017[],6,FALSE),VLOOKUP($A23,West2017[],6,FALSE))</f>
        <v>103.6</v>
      </c>
      <c r="R23" s="1">
        <f>IFERROR(VLOOKUP($A23,East2017[],7,FALSE),VLOOKUP($A23,West2017[],7,FALSE))</f>
        <v>103.8</v>
      </c>
      <c r="S23">
        <f>IFERROR(VLOOKUP($A23,East2017[],4,FALSE),VLOOKUP($A23,West2017[],4,FALSE))</f>
        <v>0.51200000000000001</v>
      </c>
      <c r="T23" s="4">
        <f t="shared" si="6"/>
        <v>0.49255291592403827</v>
      </c>
      <c r="U23" s="5">
        <f t="shared" si="7"/>
        <v>1.944708407596174E-2</v>
      </c>
      <c r="V23" s="1">
        <f>IFERROR(VLOOKUP($A23,East2016[],6,FALSE),VLOOKUP($A23,West2016[],6,FALSE))</f>
        <v>99</v>
      </c>
      <c r="W23" s="1">
        <f>IFERROR(VLOOKUP($A23,East2016[],7,FALSE),VLOOKUP($A23,West2016[],7,FALSE))</f>
        <v>103.2</v>
      </c>
      <c r="X23">
        <f>IFERROR(VLOOKUP($A23,East2016[],4,FALSE),VLOOKUP($A23,West2016[],4,FALSE))</f>
        <v>0.40200000000000002</v>
      </c>
      <c r="Y23" s="4">
        <f t="shared" si="8"/>
        <v>0.34886910197550136</v>
      </c>
      <c r="Z23" s="5">
        <f t="shared" si="9"/>
        <v>5.3130898024498663E-2</v>
      </c>
      <c r="AA23" s="1">
        <f>IFERROR(VLOOKUP($A23,East2015[],6,FALSE),VLOOKUP($A23,West2015[],6,FALSE))</f>
        <v>97.8</v>
      </c>
      <c r="AB23" s="1">
        <f>IFERROR(VLOOKUP($A23,East2015[],7,FALSE),VLOOKUP($A23,West2015[],7,FALSE))</f>
        <v>97.4</v>
      </c>
      <c r="AC23">
        <f>IFERROR(VLOOKUP($A23,East2015[],4,FALSE),VLOOKUP($A23,West2015[],4,FALSE))</f>
        <v>0.5</v>
      </c>
      <c r="AD23" s="4">
        <f t="shared" si="10"/>
        <v>0.51498614853251723</v>
      </c>
      <c r="AE23" s="5">
        <f t="shared" si="11"/>
        <v>-1.4986148532517229E-2</v>
      </c>
      <c r="AF23" s="1">
        <f>IFERROR(VLOOKUP($A23,East2014[],6,FALSE),VLOOKUP($A23,West2014[],6,FALSE))</f>
        <v>95.5</v>
      </c>
      <c r="AG23" s="1">
        <f>IFERROR(VLOOKUP($A23,East2014[],7,FALSE),VLOOKUP($A23,West2014[],7,FALSE))</f>
        <v>103.7</v>
      </c>
      <c r="AH23">
        <f>IFERROR(VLOOKUP($A23,East2014[],4,FALSE),VLOOKUP($A23,West2014[],4,FALSE))</f>
        <v>0.183</v>
      </c>
      <c r="AI23" s="4">
        <f t="shared" si="12"/>
        <v>0.22842629803281003</v>
      </c>
      <c r="AJ23" s="5">
        <f t="shared" si="13"/>
        <v>-4.5426298032810036E-2</v>
      </c>
      <c r="AK23" s="1">
        <f>IFERROR(VLOOKUP($A23,East2013[],6,FALSE),VLOOKUP($A23,West2013[],6,FALSE))</f>
        <v>98.9</v>
      </c>
      <c r="AL23" s="1">
        <f>IFERROR(VLOOKUP($A23,East2013[],7,FALSE),VLOOKUP($A23,West2013[],7,FALSE))</f>
        <v>100.4</v>
      </c>
      <c r="AM23">
        <f>IFERROR(VLOOKUP($A23,East2013[],4,FALSE),VLOOKUP($A23,West2013[],4,FALSE))</f>
        <v>0.46300000000000002</v>
      </c>
      <c r="AN23" s="4">
        <f t="shared" si="14"/>
        <v>0.44618572448844374</v>
      </c>
      <c r="AO23" s="5">
        <f t="shared" si="15"/>
        <v>1.6814275511556287E-2</v>
      </c>
      <c r="AP23" s="1">
        <f>IFERROR(VLOOKUP($A23,East2012[],6,FALSE),VLOOKUP($A23,West2012[],6,FALSE))</f>
        <v>99</v>
      </c>
      <c r="AQ23" s="1">
        <f>IFERROR(VLOOKUP($A23,East2012[],7,FALSE),VLOOKUP($A23,West2012[],7,FALSE))</f>
        <v>98.7</v>
      </c>
      <c r="AR23">
        <f>IFERROR(VLOOKUP($A23,East2012[],4,FALSE),VLOOKUP($A23,West2012[],4,FALSE))</f>
        <v>0.47</v>
      </c>
      <c r="AS23" s="4">
        <f t="shared" si="16"/>
        <v>0.51068240133931198</v>
      </c>
      <c r="AT23" s="5">
        <f t="shared" si="17"/>
        <v>-4.0682401339312002E-2</v>
      </c>
      <c r="AU23" s="1">
        <f>IFERROR(VLOOKUP($A23,East2011[],6,FALSE),VLOOKUP($A23,West2011[],6,FALSE))</f>
        <v>91.9</v>
      </c>
      <c r="AV23" s="1">
        <f>IFERROR(VLOOKUP($A23,East2011[],7,FALSE),VLOOKUP($A23,West2011[],7,FALSE))</f>
        <v>92.7</v>
      </c>
      <c r="AW23">
        <f>IFERROR(VLOOKUP($A23,East2011[],4,FALSE),VLOOKUP($A23,West2011[],4,FALSE))</f>
        <v>0.42699999999999999</v>
      </c>
      <c r="AX23" s="4">
        <f t="shared" si="18"/>
        <v>0.46848570002480117</v>
      </c>
      <c r="AY23" s="5">
        <f t="shared" si="19"/>
        <v>-4.1485700024801175E-2</v>
      </c>
      <c r="AZ23" s="1">
        <f>IFERROR(VLOOKUP($A23,East2010[],6,FALSE),VLOOKUP($A23,West2010[],6,FALSE))</f>
        <v>97.7</v>
      </c>
      <c r="BA23" s="1">
        <f>IFERROR(VLOOKUP($A23,East2010[],7,FALSE),VLOOKUP($A23,West2010[],7,FALSE))</f>
        <v>96</v>
      </c>
      <c r="BB23">
        <f>IFERROR(VLOOKUP($A23,East2010[],4,FALSE),VLOOKUP($A23,West2010[],4,FALSE))</f>
        <v>0.56100000000000005</v>
      </c>
      <c r="BC23" s="4">
        <f t="shared" si="20"/>
        <v>0.56412923137802506</v>
      </c>
      <c r="BD23" s="5">
        <f t="shared" si="21"/>
        <v>-3.1292313780250103E-3</v>
      </c>
      <c r="BE23" s="1">
        <f>IFERROR(VLOOKUP($A23,East2009[],6,FALSE),VLOOKUP($A23,West2009[],6,FALSE))</f>
        <v>99.3</v>
      </c>
      <c r="BF23" s="1">
        <f>IFERROR(VLOOKUP($A23,East2009[],7,FALSE),VLOOKUP($A23,West2009[],7,FALSE))</f>
        <v>100.4</v>
      </c>
      <c r="BG23">
        <f>IFERROR(VLOOKUP($A23,East2009[],4,FALSE),VLOOKUP($A23,West2009[],4,FALSE))</f>
        <v>0.41499999999999998</v>
      </c>
      <c r="BH23" s="4">
        <f t="shared" si="22"/>
        <v>0.45981869905599781</v>
      </c>
      <c r="BI23" s="5">
        <f t="shared" si="23"/>
        <v>-4.4818699055997835E-2</v>
      </c>
      <c r="BJ23" s="1">
        <f>IFERROR(VLOOKUP($A23,East2008[],6,FALSE),VLOOKUP($A23,West2008[],6,FALSE))</f>
        <v>97</v>
      </c>
      <c r="BK23" s="1">
        <f>IFERROR(VLOOKUP($A23,East2008[],7,FALSE),VLOOKUP($A23,West2008[],7,FALSE))</f>
        <v>103.9</v>
      </c>
      <c r="BL23">
        <f>IFERROR(VLOOKUP($A23,East2008[],4,FALSE),VLOOKUP($A23,West2008[],4,FALSE))</f>
        <v>0.317</v>
      </c>
      <c r="BM23" s="4">
        <f t="shared" si="24"/>
        <v>0.26806487940388846</v>
      </c>
      <c r="BN23" s="5">
        <f t="shared" si="25"/>
        <v>4.8935120596111548E-2</v>
      </c>
      <c r="BO23" s="1">
        <f>IFERROR(VLOOKUP($A23,East2007[],6,FALSE),VLOOKUP($A23,West2007[],6,FALSE))</f>
        <v>99.7</v>
      </c>
      <c r="BP23" s="1">
        <f>IFERROR(VLOOKUP($A23,East2007[],7,FALSE),VLOOKUP($A23,West2007[],7,FALSE))</f>
        <v>104</v>
      </c>
      <c r="BQ23">
        <f>IFERROR(VLOOKUP($A23,East2007[],4,FALSE),VLOOKUP($A23,West2007[],4,FALSE))</f>
        <v>0.34100000000000003</v>
      </c>
      <c r="BR23" s="4">
        <f t="shared" si="26"/>
        <v>0.35208799666364921</v>
      </c>
      <c r="BS23" s="5">
        <f t="shared" si="27"/>
        <v>-1.108799666364918E-2</v>
      </c>
      <c r="BT23" s="1">
        <f>IFERROR(VLOOKUP($A23,East2006[],6,FALSE),VLOOKUP($A23,West2006[],6,FALSE))</f>
        <v>97.8</v>
      </c>
      <c r="BU23" s="1">
        <f>IFERROR(VLOOKUP($A23,East2006[],7,FALSE),VLOOKUP($A23,West2006[],7,FALSE))</f>
        <v>98.8</v>
      </c>
      <c r="BV23">
        <f>IFERROR(VLOOKUP($A23,East2006[],4,FALSE),VLOOKUP($A23,West2006[],4,FALSE))</f>
        <v>0.48799999999999999</v>
      </c>
      <c r="BW23" s="4">
        <f t="shared" si="28"/>
        <v>0.46397055628062844</v>
      </c>
      <c r="BX23" s="5">
        <f t="shared" si="29"/>
        <v>2.4029443719371546E-2</v>
      </c>
      <c r="BY23" s="1">
        <f>IFERROR(VLOOKUP($A23,East2005[],6,FALSE),VLOOKUP($A23,West2005[],6,FALSE))</f>
        <v>97.2</v>
      </c>
      <c r="BZ23" s="1">
        <f>IFERROR(VLOOKUP($A23,East2005[],7,FALSE),VLOOKUP($A23,West2005[],7,FALSE))</f>
        <v>100.2</v>
      </c>
      <c r="CA23">
        <f>IFERROR(VLOOKUP($A23,East2005[],4,FALSE),VLOOKUP($A23,West2005[],4,FALSE))</f>
        <v>0.36599999999999999</v>
      </c>
      <c r="CB23" s="4">
        <f t="shared" si="30"/>
        <v>0.39360089960679578</v>
      </c>
      <c r="CC23" s="5">
        <f t="shared" si="31"/>
        <v>-2.7600899606795792E-2</v>
      </c>
      <c r="CD23" s="1">
        <f>IFERROR(VLOOKUP($A23,East2004[],6,FALSE),VLOOKUP($A23,West2004[],6,FALSE))</f>
        <v>98</v>
      </c>
      <c r="CE23" s="1">
        <f>IFERROR(VLOOKUP($A23,East2004[],7,FALSE),VLOOKUP($A23,West2004[],7,FALSE))</f>
        <v>97</v>
      </c>
      <c r="CF23">
        <f>IFERROR(VLOOKUP($A23,East2004[],4,FALSE),VLOOKUP($A23,West2004[],4,FALSE))</f>
        <v>0.5</v>
      </c>
      <c r="CG23" s="4">
        <f t="shared" si="32"/>
        <v>0.5349768232833273</v>
      </c>
      <c r="CH23" s="5">
        <f t="shared" si="33"/>
        <v>-3.4976823283327296E-2</v>
      </c>
      <c r="CI23" s="1">
        <f>IFERROR(VLOOKUP($A23,East2003[],6,FALSE),VLOOKUP($A23,West2003[],6,FALSE))</f>
        <v>99.5</v>
      </c>
      <c r="CJ23" s="1">
        <f>IFERROR(VLOOKUP($A23,East2003[],7,FALSE),VLOOKUP($A23,West2003[],7,FALSE))</f>
        <v>99.3</v>
      </c>
      <c r="CK23">
        <f>IFERROR(VLOOKUP($A23,East2003[],4,FALSE),VLOOKUP($A23,West2003[],4,FALSE))</f>
        <v>0.51200000000000001</v>
      </c>
      <c r="CL23" s="4">
        <f t="shared" si="34"/>
        <v>0.50699618678965352</v>
      </c>
      <c r="CM23" s="5">
        <f t="shared" si="35"/>
        <v>5.0038132103464861E-3</v>
      </c>
    </row>
    <row r="24" spans="1:91" x14ac:dyDescent="0.25">
      <c r="A24" s="1" t="s">
        <v>171</v>
      </c>
      <c r="B24" s="1">
        <f>IFERROR(VLOOKUP(A24,East2020[],6,FALSE),VLOOKUP(A24,West2020[],6,FALSE))</f>
        <v>113.3</v>
      </c>
      <c r="C24" s="1">
        <f>IFERROR(VLOOKUP(A24,East2020[],7,FALSE),VLOOKUP(A24,West2020[],7,FALSE))</f>
        <v>117.5</v>
      </c>
      <c r="D24">
        <f>IFERROR(VLOOKUP(A24,East2020[],4,FALSE),VLOOKUP(A24,West2020[],4,FALSE))</f>
        <v>0.29699999999999999</v>
      </c>
      <c r="E24" s="4">
        <f t="shared" si="0"/>
        <v>0.3554680238627892</v>
      </c>
      <c r="F24" s="5">
        <f t="shared" si="1"/>
        <v>-5.8468023862789209E-2</v>
      </c>
      <c r="G24" s="1">
        <f>IFERROR(VLOOKUP($A24,East2019[],6,FALSE),VLOOKUP($A24,West2019[],6,FALSE))</f>
        <v>112.5</v>
      </c>
      <c r="H24" s="1">
        <f>IFERROR(VLOOKUP($A24,East2019[],7,FALSE),VLOOKUP($A24,West2019[],7,FALSE))</f>
        <v>114</v>
      </c>
      <c r="I24">
        <f>IFERROR(VLOOKUP($A24,East2019[],4,FALSE),VLOOKUP($A24,West2019[],4,FALSE))</f>
        <v>0.439</v>
      </c>
      <c r="J24" s="4">
        <f t="shared" si="2"/>
        <v>0.44634460033423196</v>
      </c>
      <c r="K24" s="5">
        <f t="shared" si="3"/>
        <v>-7.3446003342319544E-3</v>
      </c>
      <c r="L24" s="1">
        <f>IFERROR(VLOOKUP($A24,East2018[],6,FALSE),VLOOKUP($A24,West2018[],6,FALSE))</f>
        <v>109.5</v>
      </c>
      <c r="M24" s="1">
        <f>IFERROR(VLOOKUP($A24,East2018[],7,FALSE),VLOOKUP($A24,West2018[],7,FALSE))</f>
        <v>107.3</v>
      </c>
      <c r="N24">
        <f>IFERROR(VLOOKUP($A24,East2018[],4,FALSE),VLOOKUP($A24,West2018[],4,FALSE))</f>
        <v>0.57299999999999995</v>
      </c>
      <c r="O24" s="4">
        <f t="shared" si="4"/>
        <v>0.57827605025590778</v>
      </c>
      <c r="P24" s="5">
        <f t="shared" si="5"/>
        <v>-5.2760502559078271E-3</v>
      </c>
      <c r="Q24" s="1">
        <f>IFERROR(VLOOKUP($A24,East2017[],6,FALSE),VLOOKUP($A24,West2017[],6,FALSE))</f>
        <v>105.6</v>
      </c>
      <c r="R24" s="1">
        <f>IFERROR(VLOOKUP($A24,East2017[],7,FALSE),VLOOKUP($A24,West2017[],7,FALSE))</f>
        <v>106.7</v>
      </c>
      <c r="S24">
        <f>IFERROR(VLOOKUP($A24,East2017[],4,FALSE),VLOOKUP($A24,West2017[],4,FALSE))</f>
        <v>0.378</v>
      </c>
      <c r="T24" s="4">
        <f t="shared" si="6"/>
        <v>0.46006831116373981</v>
      </c>
      <c r="U24" s="5">
        <f t="shared" si="7"/>
        <v>-8.2068311163739804E-2</v>
      </c>
      <c r="V24" s="1">
        <f>IFERROR(VLOOKUP($A24,East2016[],6,FALSE),VLOOKUP($A24,West2016[],6,FALSE))</f>
        <v>102.4</v>
      </c>
      <c r="W24" s="1">
        <f>IFERROR(VLOOKUP($A24,East2016[],7,FALSE),VLOOKUP($A24,West2016[],7,FALSE))</f>
        <v>106</v>
      </c>
      <c r="X24">
        <f>IFERROR(VLOOKUP($A24,East2016[],4,FALSE),VLOOKUP($A24,West2016[],4,FALSE))</f>
        <v>0.35399999999999998</v>
      </c>
      <c r="Y24" s="4">
        <f t="shared" si="8"/>
        <v>0.37310166704543829</v>
      </c>
      <c r="Z24" s="5">
        <f t="shared" si="9"/>
        <v>-1.9101667045438309E-2</v>
      </c>
      <c r="AA24" s="1">
        <f>IFERROR(VLOOKUP($A24,East2015[],6,FALSE),VLOOKUP($A24,West2015[],6,FALSE))</f>
        <v>97.8</v>
      </c>
      <c r="AB24" s="1">
        <f>IFERROR(VLOOKUP($A24,East2015[],7,FALSE),VLOOKUP($A24,West2015[],7,FALSE))</f>
        <v>106.5</v>
      </c>
      <c r="AC24">
        <f>IFERROR(VLOOKUP($A24,East2015[],4,FALSE),VLOOKUP($A24,West2015[],4,FALSE))</f>
        <v>0.19500000000000001</v>
      </c>
      <c r="AD24" s="4">
        <f t="shared" si="10"/>
        <v>0.22324652195811068</v>
      </c>
      <c r="AE24" s="5">
        <f t="shared" si="11"/>
        <v>-2.8246521958110671E-2</v>
      </c>
      <c r="AF24" s="1">
        <f>IFERROR(VLOOKUP($A24,East2014[],6,FALSE),VLOOKUP($A24,West2014[],6,FALSE))</f>
        <v>106.9</v>
      </c>
      <c r="AG24" s="1">
        <f>IFERROR(VLOOKUP($A24,East2014[],7,FALSE),VLOOKUP($A24,West2014[],7,FALSE))</f>
        <v>104.3</v>
      </c>
      <c r="AH24">
        <f>IFERROR(VLOOKUP($A24,East2014[],4,FALSE),VLOOKUP($A24,West2014[],4,FALSE))</f>
        <v>0.48799999999999999</v>
      </c>
      <c r="AI24" s="4">
        <f t="shared" si="12"/>
        <v>0.589967543041372</v>
      </c>
      <c r="AJ24" s="5">
        <f t="shared" si="13"/>
        <v>-0.10196754304137201</v>
      </c>
      <c r="AK24" s="1">
        <f>IFERROR(VLOOKUP($A24,East2013[],6,FALSE),VLOOKUP($A24,West2013[],6,FALSE))</f>
        <v>95.7</v>
      </c>
      <c r="AL24" s="1">
        <f>IFERROR(VLOOKUP($A24,East2013[],7,FALSE),VLOOKUP($A24,West2013[],7,FALSE))</f>
        <v>98.1</v>
      </c>
      <c r="AM24">
        <f>IFERROR(VLOOKUP($A24,East2013[],4,FALSE),VLOOKUP($A24,West2013[],4,FALSE))</f>
        <v>0.378</v>
      </c>
      <c r="AN24" s="4">
        <f t="shared" si="14"/>
        <v>0.41203131253628189</v>
      </c>
      <c r="AO24" s="5">
        <f t="shared" si="15"/>
        <v>-3.4031312536281888E-2</v>
      </c>
      <c r="AP24" s="1">
        <f>IFERROR(VLOOKUP($A24,East2012[],6,FALSE),VLOOKUP($A24,West2012[],6,FALSE))</f>
        <v>97.9</v>
      </c>
      <c r="AQ24" s="1">
        <f>IFERROR(VLOOKUP($A24,East2012[],7,FALSE),VLOOKUP($A24,West2012[],7,FALSE))</f>
        <v>100.1</v>
      </c>
      <c r="AR24">
        <f>IFERROR(VLOOKUP($A24,East2012[],4,FALSE),VLOOKUP($A24,West2012[],4,FALSE))</f>
        <v>0.39400000000000002</v>
      </c>
      <c r="AS24" s="4">
        <f t="shared" si="16"/>
        <v>0.42239827591852042</v>
      </c>
      <c r="AT24" s="5">
        <f t="shared" si="17"/>
        <v>-2.8398275918520399E-2</v>
      </c>
      <c r="AU24" s="1">
        <f>IFERROR(VLOOKUP($A24,East2011[],6,FALSE),VLOOKUP($A24,West2011[],6,FALSE))</f>
        <v>101.1</v>
      </c>
      <c r="AV24" s="1">
        <f>IFERROR(VLOOKUP($A24,East2011[],7,FALSE),VLOOKUP($A24,West2011[],7,FALSE))</f>
        <v>107.7</v>
      </c>
      <c r="AW24">
        <f>IFERROR(VLOOKUP($A24,East2011[],4,FALSE),VLOOKUP($A24,West2011[],4,FALSE))</f>
        <v>0.20699999999999999</v>
      </c>
      <c r="AX24" s="4">
        <f t="shared" si="18"/>
        <v>0.28476228095803946</v>
      </c>
      <c r="AY24" s="5">
        <f t="shared" si="19"/>
        <v>-7.776228095803947E-2</v>
      </c>
      <c r="AZ24" s="1">
        <f>IFERROR(VLOOKUP($A24,East2010[],6,FALSE),VLOOKUP($A24,West2010[],6,FALSE))</f>
        <v>98.2</v>
      </c>
      <c r="BA24" s="1">
        <f>IFERROR(VLOOKUP($A24,East2010[],7,FALSE),VLOOKUP($A24,West2010[],7,FALSE))</f>
        <v>107.8</v>
      </c>
      <c r="BB24">
        <f>IFERROR(VLOOKUP($A24,East2010[],4,FALSE),VLOOKUP($A24,West2010[],4,FALSE))</f>
        <v>0.183</v>
      </c>
      <c r="BC24" s="4">
        <f t="shared" si="20"/>
        <v>0.20252694545102023</v>
      </c>
      <c r="BD24" s="5">
        <f t="shared" si="21"/>
        <v>-1.9526945451020239E-2</v>
      </c>
      <c r="BE24" s="1">
        <f>IFERROR(VLOOKUP($A24,East2009[],6,FALSE),VLOOKUP($A24,West2009[],6,FALSE))</f>
        <v>97.8</v>
      </c>
      <c r="BF24" s="1">
        <f>IFERROR(VLOOKUP($A24,East2009[],7,FALSE),VLOOKUP($A24,West2009[],7,FALSE))</f>
        <v>102.7</v>
      </c>
      <c r="BG24">
        <f>IFERROR(VLOOKUP($A24,East2009[],4,FALSE),VLOOKUP($A24,West2009[],4,FALSE))</f>
        <v>0.29299999999999998</v>
      </c>
      <c r="BH24" s="4">
        <f t="shared" si="22"/>
        <v>0.32854411108534837</v>
      </c>
      <c r="BI24" s="5">
        <f t="shared" si="23"/>
        <v>-3.5544111085348384E-2</v>
      </c>
      <c r="BJ24" s="1">
        <f>IFERROR(VLOOKUP($A24,East2008[],6,FALSE),VLOOKUP($A24,West2008[],6,FALSE))</f>
        <v>95.6</v>
      </c>
      <c r="BK24" s="1">
        <f>IFERROR(VLOOKUP($A24,East2008[],7,FALSE),VLOOKUP($A24,West2008[],7,FALSE))</f>
        <v>102.4</v>
      </c>
      <c r="BL24">
        <f>IFERROR(VLOOKUP($A24,East2008[],4,FALSE),VLOOKUP($A24,West2008[],4,FALSE))</f>
        <v>0.26800000000000002</v>
      </c>
      <c r="BM24" s="4">
        <f t="shared" si="24"/>
        <v>0.26807642907802598</v>
      </c>
      <c r="BN24" s="5">
        <f t="shared" si="25"/>
        <v>-7.6429078025963548E-5</v>
      </c>
      <c r="BO24" s="1">
        <f>IFERROR(VLOOKUP($A24,East2007[],6,FALSE),VLOOKUP($A24,West2007[],6,FALSE))</f>
        <v>96.1</v>
      </c>
      <c r="BP24" s="1">
        <f>IFERROR(VLOOKUP($A24,East2007[],7,FALSE),VLOOKUP($A24,West2007[],7,FALSE))</f>
        <v>99.7</v>
      </c>
      <c r="BQ24">
        <f>IFERROR(VLOOKUP($A24,East2007[],4,FALSE),VLOOKUP($A24,West2007[],4,FALSE))</f>
        <v>0.39</v>
      </c>
      <c r="BR24" s="4">
        <f t="shared" si="26"/>
        <v>0.37024312823813832</v>
      </c>
      <c r="BS24" s="5">
        <f t="shared" si="27"/>
        <v>1.9756871761861694E-2</v>
      </c>
      <c r="BT24" s="1">
        <f>IFERROR(VLOOKUP($A24,East2006[],6,FALSE),VLOOKUP($A24,West2006[],6,FALSE))</f>
        <v>91.7</v>
      </c>
      <c r="BU24" s="1">
        <f>IFERROR(VLOOKUP($A24,East2006[],7,FALSE),VLOOKUP($A24,West2006[],7,FALSE))</f>
        <v>93.6</v>
      </c>
      <c r="BV24">
        <f>IFERROR(VLOOKUP($A24,East2006[],4,FALSE),VLOOKUP($A24,West2006[],4,FALSE))</f>
        <v>0.40200000000000002</v>
      </c>
      <c r="BW24" s="4">
        <f t="shared" si="28"/>
        <v>0.42775068392096105</v>
      </c>
      <c r="BX24" s="5">
        <f t="shared" si="29"/>
        <v>-2.5750683920961026E-2</v>
      </c>
      <c r="BY24" s="1">
        <f>IFERROR(VLOOKUP($A24,East2005[],6,FALSE),VLOOKUP($A24,West2005[],6,FALSE))</f>
        <v>96.8</v>
      </c>
      <c r="BZ24" s="1">
        <f>IFERROR(VLOOKUP($A24,East2005[],7,FALSE),VLOOKUP($A24,West2005[],7,FALSE))</f>
        <v>95.3</v>
      </c>
      <c r="CA24">
        <f>IFERROR(VLOOKUP($A24,East2005[],4,FALSE),VLOOKUP($A24,West2005[],4,FALSE))</f>
        <v>0.53700000000000003</v>
      </c>
      <c r="CB24" s="4">
        <f t="shared" si="30"/>
        <v>0.55528553470390385</v>
      </c>
      <c r="CC24" s="5">
        <f t="shared" si="31"/>
        <v>-1.8285534703903816E-2</v>
      </c>
      <c r="CD24" s="1">
        <f>IFERROR(VLOOKUP($A24,East2004[],6,FALSE),VLOOKUP($A24,West2004[],6,FALSE))</f>
        <v>94.5</v>
      </c>
      <c r="CE24" s="1">
        <f>IFERROR(VLOOKUP($A24,East2004[],7,FALSE),VLOOKUP($A24,West2004[],7,FALSE))</f>
        <v>89.1</v>
      </c>
      <c r="CF24">
        <f>IFERROR(VLOOKUP($A24,East2004[],4,FALSE),VLOOKUP($A24,West2004[],4,FALSE))</f>
        <v>0.70699999999999996</v>
      </c>
      <c r="CG24" s="4">
        <f t="shared" si="32"/>
        <v>0.69081815439825056</v>
      </c>
      <c r="CH24" s="5">
        <f t="shared" si="33"/>
        <v>1.6181845601749401E-2</v>
      </c>
      <c r="CI24" s="1">
        <f>IFERROR(VLOOKUP($A24,East2003[],6,FALSE),VLOOKUP($A24,West2003[],6,FALSE))</f>
        <v>98.1</v>
      </c>
      <c r="CJ24" s="1">
        <f>IFERROR(VLOOKUP($A24,East2003[],7,FALSE),VLOOKUP($A24,West2003[],7,FALSE))</f>
        <v>96</v>
      </c>
      <c r="CK24">
        <f>IFERROR(VLOOKUP($A24,East2003[],4,FALSE),VLOOKUP($A24,West2003[],4,FALSE))</f>
        <v>0.622</v>
      </c>
      <c r="CL24" s="4">
        <f t="shared" si="34"/>
        <v>0.57468359951686665</v>
      </c>
      <c r="CM24" s="5">
        <f t="shared" si="35"/>
        <v>4.7316400483133347E-2</v>
      </c>
    </row>
    <row r="25" spans="1:91" x14ac:dyDescent="0.25">
      <c r="A25" s="1" t="s">
        <v>169</v>
      </c>
      <c r="B25" s="1">
        <f>IFERROR(VLOOKUP(A25,East2020[],6,FALSE),VLOOKUP(A25,West2020[],6,FALSE))</f>
        <v>115.8</v>
      </c>
      <c r="C25" s="1">
        <f>IFERROR(VLOOKUP(A25,East2020[],7,FALSE),VLOOKUP(A25,West2020[],7,FALSE))</f>
        <v>117.1</v>
      </c>
      <c r="D25">
        <f>IFERROR(VLOOKUP(A25,East2020[],4,FALSE),VLOOKUP(A25,West2020[],4,FALSE))</f>
        <v>0.41699999999999998</v>
      </c>
      <c r="E25" s="4">
        <f t="shared" si="0"/>
        <v>0.45449745196772878</v>
      </c>
      <c r="F25" s="5">
        <f t="shared" si="1"/>
        <v>-3.7497451967728801E-2</v>
      </c>
      <c r="G25" s="1">
        <f>IFERROR(VLOOKUP($A25,East2019[],6,FALSE),VLOOKUP($A25,West2019[],6,FALSE))</f>
        <v>115.4</v>
      </c>
      <c r="H25" s="1">
        <f>IFERROR(VLOOKUP($A25,East2019[],7,FALSE),VLOOKUP($A25,West2019[],7,FALSE))</f>
        <v>116.8</v>
      </c>
      <c r="I25">
        <f>IFERROR(VLOOKUP($A25,East2019[],4,FALSE),VLOOKUP($A25,West2019[],4,FALSE))</f>
        <v>0.40200000000000002</v>
      </c>
      <c r="J25" s="4">
        <f t="shared" si="2"/>
        <v>0.45111887413202018</v>
      </c>
      <c r="K25" s="5">
        <f t="shared" si="3"/>
        <v>-4.9118874132020152E-2</v>
      </c>
      <c r="L25" s="1">
        <f>IFERROR(VLOOKUP($A25,East2018[],6,FALSE),VLOOKUP($A25,West2018[],6,FALSE))</f>
        <v>111.7</v>
      </c>
      <c r="M25" s="1">
        <f>IFERROR(VLOOKUP($A25,East2018[],7,FALSE),VLOOKUP($A25,West2018[],7,FALSE))</f>
        <v>110.4</v>
      </c>
      <c r="N25">
        <f>IFERROR(VLOOKUP($A25,East2018[],4,FALSE),VLOOKUP($A25,West2018[],4,FALSE))</f>
        <v>0.58499999999999996</v>
      </c>
      <c r="O25" s="4">
        <f t="shared" si="4"/>
        <v>0.5453982231351574</v>
      </c>
      <c r="P25" s="5">
        <f t="shared" si="5"/>
        <v>3.9601776864842564E-2</v>
      </c>
      <c r="Q25" s="1">
        <f>IFERROR(VLOOKUP($A25,East2017[],6,FALSE),VLOOKUP($A25,West2017[],6,FALSE))</f>
        <v>104.3</v>
      </c>
      <c r="R25" s="1">
        <f>IFERROR(VLOOKUP($A25,East2017[],7,FALSE),VLOOKUP($A25,West2017[],7,FALSE))</f>
        <v>106.4</v>
      </c>
      <c r="S25">
        <f>IFERROR(VLOOKUP($A25,East2017[],4,FALSE),VLOOKUP($A25,West2017[],4,FALSE))</f>
        <v>0.41499999999999998</v>
      </c>
      <c r="T25" s="4">
        <f t="shared" si="6"/>
        <v>0.42362456197023241</v>
      </c>
      <c r="U25" s="5">
        <f t="shared" si="7"/>
        <v>-8.624561970232425E-3</v>
      </c>
      <c r="V25" s="1">
        <f>IFERROR(VLOOKUP($A25,East2016[],6,FALSE),VLOOKUP($A25,West2016[],6,FALSE))</f>
        <v>102.7</v>
      </c>
      <c r="W25" s="1">
        <f>IFERROR(VLOOKUP($A25,East2016[],7,FALSE),VLOOKUP($A25,West2016[],7,FALSE))</f>
        <v>106.5</v>
      </c>
      <c r="X25">
        <f>IFERROR(VLOOKUP($A25,East2016[],4,FALSE),VLOOKUP($A25,West2016[],4,FALSE))</f>
        <v>0.36599999999999999</v>
      </c>
      <c r="Y25" s="4">
        <f t="shared" si="8"/>
        <v>0.36686863017089411</v>
      </c>
      <c r="Z25" s="5">
        <f t="shared" si="9"/>
        <v>-8.6863017089411354E-4</v>
      </c>
      <c r="AA25" s="1">
        <f>IFERROR(VLOOKUP($A25,East2015[],6,FALSE),VLOOKUP($A25,West2015[],6,FALSE))</f>
        <v>99.4</v>
      </c>
      <c r="AB25" s="1">
        <f>IFERROR(VLOOKUP($A25,East2015[],7,FALSE),VLOOKUP($A25,West2015[],7,FALSE))</f>
        <v>98.6</v>
      </c>
      <c r="AC25">
        <f>IFERROR(VLOOKUP($A25,East2015[],4,FALSE),VLOOKUP($A25,West2015[],4,FALSE))</f>
        <v>0.54900000000000004</v>
      </c>
      <c r="AD25" s="4">
        <f t="shared" si="10"/>
        <v>0.52952303677261592</v>
      </c>
      <c r="AE25" s="5">
        <f t="shared" si="11"/>
        <v>1.9476963227384125E-2</v>
      </c>
      <c r="AF25" s="1">
        <f>IFERROR(VLOOKUP($A25,East2014[],6,FALSE),VLOOKUP($A25,West2014[],6,FALSE))</f>
        <v>99.7</v>
      </c>
      <c r="AG25" s="1">
        <f>IFERROR(VLOOKUP($A25,East2014[],7,FALSE),VLOOKUP($A25,West2014[],7,FALSE))</f>
        <v>102.4</v>
      </c>
      <c r="AH25">
        <f>IFERROR(VLOOKUP($A25,East2014[],4,FALSE),VLOOKUP($A25,West2014[],4,FALSE))</f>
        <v>0.41499999999999998</v>
      </c>
      <c r="AI25" s="4">
        <f t="shared" si="12"/>
        <v>0.40255255770121817</v>
      </c>
      <c r="AJ25" s="5">
        <f t="shared" si="13"/>
        <v>1.2447442298781808E-2</v>
      </c>
      <c r="AK25" s="1">
        <f>IFERROR(VLOOKUP($A25,East2013[],6,FALSE),VLOOKUP($A25,West2013[],6,FALSE))</f>
        <v>94.1</v>
      </c>
      <c r="AL25" s="1">
        <f>IFERROR(VLOOKUP($A25,East2013[],7,FALSE),VLOOKUP($A25,West2013[],7,FALSE))</f>
        <v>97.9</v>
      </c>
      <c r="AM25">
        <f>IFERROR(VLOOKUP($A25,East2013[],4,FALSE),VLOOKUP($A25,West2013[],4,FALSE))</f>
        <v>0.32900000000000001</v>
      </c>
      <c r="AN25" s="4">
        <f t="shared" si="14"/>
        <v>0.36162550531480098</v>
      </c>
      <c r="AO25" s="5">
        <f t="shared" si="15"/>
        <v>-3.2625505314800962E-2</v>
      </c>
      <c r="AP25" s="1">
        <f>IFERROR(VLOOKUP($A25,East2012[],6,FALSE),VLOOKUP($A25,West2012[],6,FALSE))</f>
        <v>89.6</v>
      </c>
      <c r="AQ25" s="1">
        <f>IFERROR(VLOOKUP($A25,East2012[],7,FALSE),VLOOKUP($A25,West2012[],7,FALSE))</f>
        <v>93.4</v>
      </c>
      <c r="AR25">
        <f>IFERROR(VLOOKUP($A25,East2012[],4,FALSE),VLOOKUP($A25,West2012[],4,FALSE))</f>
        <v>0.318</v>
      </c>
      <c r="AS25" s="4">
        <f t="shared" si="16"/>
        <v>0.35780793576235154</v>
      </c>
      <c r="AT25" s="5">
        <f t="shared" si="17"/>
        <v>-3.9807935762351532E-2</v>
      </c>
      <c r="AU25" s="1">
        <f>IFERROR(VLOOKUP($A25,East2011[],6,FALSE),VLOOKUP($A25,West2011[],6,FALSE))</f>
        <v>94.9</v>
      </c>
      <c r="AV25" s="1">
        <f>IFERROR(VLOOKUP($A25,East2011[],7,FALSE),VLOOKUP($A25,West2011[],7,FALSE))</f>
        <v>94</v>
      </c>
      <c r="AW25">
        <f>IFERROR(VLOOKUP($A25,East2011[],4,FALSE),VLOOKUP($A25,West2011[],4,FALSE))</f>
        <v>0.56100000000000005</v>
      </c>
      <c r="AX25" s="4">
        <f t="shared" si="18"/>
        <v>0.53463701195447733</v>
      </c>
      <c r="AY25" s="5">
        <f t="shared" si="19"/>
        <v>2.6362988045522728E-2</v>
      </c>
      <c r="AZ25" s="1">
        <f>IFERROR(VLOOKUP($A25,East2010[],6,FALSE),VLOOKUP($A25,West2010[],6,FALSE))</f>
        <v>100.2</v>
      </c>
      <c r="BA25" s="1">
        <f>IFERROR(VLOOKUP($A25,East2010[],7,FALSE),VLOOKUP($A25,West2010[],7,FALSE))</f>
        <v>102.7</v>
      </c>
      <c r="BB25">
        <f>IFERROR(VLOOKUP($A25,East2010[],4,FALSE),VLOOKUP($A25,West2010[],4,FALSE))</f>
        <v>0.45100000000000001</v>
      </c>
      <c r="BC25" s="4">
        <f t="shared" si="20"/>
        <v>0.41044413684114156</v>
      </c>
      <c r="BD25" s="5">
        <f t="shared" si="21"/>
        <v>4.0555863158858452E-2</v>
      </c>
      <c r="BE25" s="1">
        <f>IFERROR(VLOOKUP($A25,East2009[],6,FALSE),VLOOKUP($A25,West2009[],6,FALSE))</f>
        <v>95.8</v>
      </c>
      <c r="BF25" s="1">
        <f>IFERROR(VLOOKUP($A25,East2009[],7,FALSE),VLOOKUP($A25,West2009[],7,FALSE))</f>
        <v>94.3</v>
      </c>
      <c r="BG25">
        <f>IFERROR(VLOOKUP($A25,East2009[],4,FALSE),VLOOKUP($A25,West2009[],4,FALSE))</f>
        <v>0.59799999999999998</v>
      </c>
      <c r="BH25" s="4">
        <f t="shared" si="22"/>
        <v>0.55743013056090163</v>
      </c>
      <c r="BI25" s="5">
        <f t="shared" si="23"/>
        <v>4.0569869439098349E-2</v>
      </c>
      <c r="BJ25" s="1">
        <f>IFERROR(VLOOKUP($A25,East2008[],6,FALSE),VLOOKUP($A25,West2008[],6,FALSE))</f>
        <v>100.9</v>
      </c>
      <c r="BK25" s="1">
        <f>IFERROR(VLOOKUP($A25,East2008[],7,FALSE),VLOOKUP($A25,West2008[],7,FALSE))</f>
        <v>95.6</v>
      </c>
      <c r="BL25">
        <f>IFERROR(VLOOKUP($A25,East2008[],4,FALSE),VLOOKUP($A25,West2008[],4,FALSE))</f>
        <v>0.68300000000000005</v>
      </c>
      <c r="BM25" s="4">
        <f t="shared" si="24"/>
        <v>0.68755239597637041</v>
      </c>
      <c r="BN25" s="5">
        <f t="shared" si="25"/>
        <v>-4.5523959763703603E-3</v>
      </c>
      <c r="BO25" s="1">
        <f>IFERROR(VLOOKUP($A25,East2007[],6,FALSE),VLOOKUP($A25,West2007[],6,FALSE))</f>
        <v>95.5</v>
      </c>
      <c r="BP25" s="1">
        <f>IFERROR(VLOOKUP($A25,East2007[],7,FALSE),VLOOKUP($A25,West2007[],7,FALSE))</f>
        <v>97.1</v>
      </c>
      <c r="BQ25">
        <f>IFERROR(VLOOKUP($A25,East2007[],4,FALSE),VLOOKUP($A25,West2007[],4,FALSE))</f>
        <v>0.47599999999999998</v>
      </c>
      <c r="BR25" s="4">
        <f t="shared" si="26"/>
        <v>0.44029173716149683</v>
      </c>
      <c r="BS25" s="5">
        <f t="shared" si="27"/>
        <v>3.5708262838503146E-2</v>
      </c>
      <c r="BT25" s="1">
        <f>IFERROR(VLOOKUP($A25,East2006[],6,FALSE),VLOOKUP($A25,West2006[],6,FALSE))</f>
        <v>92.8</v>
      </c>
      <c r="BU25" s="1">
        <f>IFERROR(VLOOKUP($A25,East2006[],7,FALSE),VLOOKUP($A25,West2006[],7,FALSE))</f>
        <v>95.6</v>
      </c>
      <c r="BV25">
        <f>IFERROR(VLOOKUP($A25,East2006[],4,FALSE),VLOOKUP($A25,West2006[],4,FALSE))</f>
        <v>0.46300000000000002</v>
      </c>
      <c r="BW25" s="4">
        <f t="shared" si="28"/>
        <v>0.39607373732921725</v>
      </c>
      <c r="BX25" s="5">
        <f t="shared" si="29"/>
        <v>6.6926262670782777E-2</v>
      </c>
      <c r="BY25" s="1">
        <f>IFERROR(VLOOKUP($A25,East2005[],6,FALSE),VLOOKUP($A25,West2005[],6,FALSE))</f>
        <v>88.4</v>
      </c>
      <c r="BZ25" s="1">
        <f>IFERROR(VLOOKUP($A25,East2005[],7,FALSE),VLOOKUP($A25,West2005[],7,FALSE))</f>
        <v>95.5</v>
      </c>
      <c r="CA25">
        <f>IFERROR(VLOOKUP($A25,East2005[],4,FALSE),VLOOKUP($A25,West2005[],4,FALSE))</f>
        <v>0.22</v>
      </c>
      <c r="CB25" s="4">
        <f t="shared" si="30"/>
        <v>0.25003499773106497</v>
      </c>
      <c r="CC25" s="5">
        <f t="shared" si="31"/>
        <v>-3.0034997731064966E-2</v>
      </c>
      <c r="CD25" s="1">
        <f>IFERROR(VLOOKUP($A25,East2004[],6,FALSE),VLOOKUP($A25,West2004[],6,FALSE))</f>
        <v>91.8</v>
      </c>
      <c r="CE25" s="1">
        <f>IFERROR(VLOOKUP($A25,East2004[],7,FALSE),VLOOKUP($A25,West2004[],7,FALSE))</f>
        <v>91.9</v>
      </c>
      <c r="CF25">
        <f>IFERROR(VLOOKUP($A25,East2004[],4,FALSE),VLOOKUP($A25,West2004[],4,FALSE))</f>
        <v>0.5</v>
      </c>
      <c r="CG25" s="4">
        <f t="shared" si="32"/>
        <v>0.49628119025337974</v>
      </c>
      <c r="CH25" s="5">
        <f t="shared" si="33"/>
        <v>3.7188097466202552E-3</v>
      </c>
      <c r="CI25" s="1">
        <f>IFERROR(VLOOKUP($A25,East2003[],6,FALSE),VLOOKUP($A25,West2003[],6,FALSE))</f>
        <v>93.9</v>
      </c>
      <c r="CJ25" s="1">
        <f>IFERROR(VLOOKUP($A25,East2003[],7,FALSE),VLOOKUP($A25,West2003[],7,FALSE))</f>
        <v>91.8</v>
      </c>
      <c r="CK25">
        <f>IFERROR(VLOOKUP($A25,East2003[],4,FALSE),VLOOKUP($A25,West2003[],4,FALSE))</f>
        <v>0.57299999999999995</v>
      </c>
      <c r="CL25" s="4">
        <f t="shared" si="34"/>
        <v>0.57800822790729256</v>
      </c>
      <c r="CM25" s="5">
        <f t="shared" si="35"/>
        <v>-5.0082279072926061E-3</v>
      </c>
    </row>
    <row r="26" spans="1:91" x14ac:dyDescent="0.25">
      <c r="A26" s="1" t="s">
        <v>146</v>
      </c>
      <c r="B26" s="1">
        <f>IFERROR(VLOOKUP(A26,East2020[],6,FALSE),VLOOKUP(A26,West2020[],6,FALSE))</f>
        <v>105.8</v>
      </c>
      <c r="C26" s="1">
        <f>IFERROR(VLOOKUP(A26,East2020[],7,FALSE),VLOOKUP(A26,West2020[],7,FALSE))</f>
        <v>112.3</v>
      </c>
      <c r="D26">
        <f>IFERROR(VLOOKUP(A26,East2020[],4,FALSE),VLOOKUP(A26,West2020[],4,FALSE))</f>
        <v>0.318</v>
      </c>
      <c r="E26" s="4">
        <f t="shared" si="0"/>
        <v>0.27392863770146031</v>
      </c>
      <c r="F26" s="5">
        <f t="shared" si="1"/>
        <v>4.4071362298539696E-2</v>
      </c>
      <c r="G26" s="1">
        <f>IFERROR(VLOOKUP($A26,East2019[],6,FALSE),VLOOKUP($A26,West2019[],6,FALSE))</f>
        <v>104.6</v>
      </c>
      <c r="H26" s="1">
        <f>IFERROR(VLOOKUP($A26,East2019[],7,FALSE),VLOOKUP($A26,West2019[],7,FALSE))</f>
        <v>113</v>
      </c>
      <c r="I26">
        <f>IFERROR(VLOOKUP($A26,East2019[],4,FALSE),VLOOKUP($A26,West2019[],4,FALSE))</f>
        <v>0.20699999999999999</v>
      </c>
      <c r="J26" s="4">
        <f t="shared" si="2"/>
        <v>0.22158036707437556</v>
      </c>
      <c r="K26" s="5">
        <f t="shared" si="3"/>
        <v>-1.4580367074375572E-2</v>
      </c>
      <c r="L26" s="1">
        <f>IFERROR(VLOOKUP($A26,East2018[],6,FALSE),VLOOKUP($A26,West2018[],6,FALSE))</f>
        <v>104.5</v>
      </c>
      <c r="M26" s="1">
        <f>IFERROR(VLOOKUP($A26,East2018[],7,FALSE),VLOOKUP($A26,West2018[],7,FALSE))</f>
        <v>108</v>
      </c>
      <c r="N26">
        <f>IFERROR(VLOOKUP($A26,East2018[],4,FALSE),VLOOKUP($A26,West2018[],4,FALSE))</f>
        <v>0.35399999999999998</v>
      </c>
      <c r="O26" s="4">
        <f t="shared" si="4"/>
        <v>0.37462110369043916</v>
      </c>
      <c r="P26" s="5">
        <f t="shared" si="5"/>
        <v>-2.062110369043918E-2</v>
      </c>
      <c r="Q26" s="1">
        <f>IFERROR(VLOOKUP($A26,East2017[],6,FALSE),VLOOKUP($A26,West2017[],6,FALSE))</f>
        <v>104.3</v>
      </c>
      <c r="R26" s="1">
        <f>IFERROR(VLOOKUP($A26,East2017[],7,FALSE),VLOOKUP($A26,West2017[],7,FALSE))</f>
        <v>108</v>
      </c>
      <c r="S26">
        <f>IFERROR(VLOOKUP($A26,East2017[],4,FALSE),VLOOKUP($A26,West2017[],4,FALSE))</f>
        <v>0.378</v>
      </c>
      <c r="T26" s="4">
        <f t="shared" si="6"/>
        <v>0.36854611542411947</v>
      </c>
      <c r="U26" s="5">
        <f t="shared" si="7"/>
        <v>9.4538845758805334E-3</v>
      </c>
      <c r="V26" s="1">
        <f>IFERROR(VLOOKUP($A26,East2016[],6,FALSE),VLOOKUP($A26,West2016[],6,FALSE))</f>
        <v>98.4</v>
      </c>
      <c r="W26" s="1">
        <f>IFERROR(VLOOKUP($A26,East2016[],7,FALSE),VLOOKUP($A26,West2016[],7,FALSE))</f>
        <v>101.1</v>
      </c>
      <c r="X26">
        <f>IFERROR(VLOOKUP($A26,East2016[],4,FALSE),VLOOKUP($A26,West2016[],4,FALSE))</f>
        <v>0.39</v>
      </c>
      <c r="Y26" s="4">
        <f t="shared" si="8"/>
        <v>0.39974031105001301</v>
      </c>
      <c r="Z26" s="5">
        <f t="shared" si="9"/>
        <v>-9.7403110500129952E-3</v>
      </c>
      <c r="AA26" s="1">
        <f>IFERROR(VLOOKUP($A26,East2015[],6,FALSE),VLOOKUP($A26,West2015[],6,FALSE))</f>
        <v>91.9</v>
      </c>
      <c r="AB26" s="1">
        <f>IFERROR(VLOOKUP($A26,East2015[],7,FALSE),VLOOKUP($A26,West2015[],7,FALSE))</f>
        <v>101.2</v>
      </c>
      <c r="AC26">
        <f>IFERROR(VLOOKUP($A26,East2015[],4,FALSE),VLOOKUP($A26,West2015[],4,FALSE))</f>
        <v>0.20699999999999999</v>
      </c>
      <c r="AD26" s="4">
        <f t="shared" si="10"/>
        <v>0.19617412934385242</v>
      </c>
      <c r="AE26" s="5">
        <f t="shared" si="11"/>
        <v>1.0825870656147568E-2</v>
      </c>
      <c r="AF26" s="1">
        <f>IFERROR(VLOOKUP($A26,East2014[],6,FALSE),VLOOKUP($A26,West2014[],6,FALSE))</f>
        <v>98.6</v>
      </c>
      <c r="AG26" s="1">
        <f>IFERROR(VLOOKUP($A26,East2014[],7,FALSE),VLOOKUP($A26,West2014[],7,FALSE))</f>
        <v>99.4</v>
      </c>
      <c r="AH26">
        <f>IFERROR(VLOOKUP($A26,East2014[],4,FALSE),VLOOKUP($A26,West2014[],4,FALSE))</f>
        <v>0.45100000000000001</v>
      </c>
      <c r="AI26" s="4">
        <f t="shared" si="12"/>
        <v>0.47018394642194772</v>
      </c>
      <c r="AJ26" s="5">
        <f t="shared" si="13"/>
        <v>-1.9183946421947706E-2</v>
      </c>
      <c r="AK26" s="1">
        <f>IFERROR(VLOOKUP($A26,East2013[],6,FALSE),VLOOKUP($A26,West2013[],6,FALSE))</f>
        <v>100</v>
      </c>
      <c r="AL26" s="1">
        <f>IFERROR(VLOOKUP($A26,East2013[],7,FALSE),VLOOKUP($A26,West2013[],7,FALSE))</f>
        <v>95.7</v>
      </c>
      <c r="AM26">
        <f>IFERROR(VLOOKUP($A26,East2013[],4,FALSE),VLOOKUP($A26,West2013[],4,FALSE))</f>
        <v>0.65900000000000003</v>
      </c>
      <c r="AN26" s="4">
        <f t="shared" si="14"/>
        <v>0.65270594011134464</v>
      </c>
      <c r="AO26" s="5">
        <f t="shared" si="15"/>
        <v>6.29405988865539E-3</v>
      </c>
      <c r="AP26" s="1">
        <f>IFERROR(VLOOKUP($A26,East2012[],6,FALSE),VLOOKUP($A26,West2012[],6,FALSE))</f>
        <v>97.8</v>
      </c>
      <c r="AQ26" s="1">
        <f>IFERROR(VLOOKUP($A26,East2012[],7,FALSE),VLOOKUP($A26,West2012[],7,FALSE))</f>
        <v>94.7</v>
      </c>
      <c r="AR26">
        <f>IFERROR(VLOOKUP($A26,East2012[],4,FALSE),VLOOKUP($A26,West2012[],4,FALSE))</f>
        <v>0.54500000000000004</v>
      </c>
      <c r="AS26" s="4">
        <f t="shared" si="16"/>
        <v>0.61148874936951481</v>
      </c>
      <c r="AT26" s="5">
        <f t="shared" si="17"/>
        <v>-6.6488749369514766E-2</v>
      </c>
      <c r="AU26" s="1">
        <f>IFERROR(VLOOKUP($A26,East2011[],6,FALSE),VLOOKUP($A26,West2011[],6,FALSE))</f>
        <v>106.5</v>
      </c>
      <c r="AV26" s="1">
        <f>IFERROR(VLOOKUP($A26,East2011[],7,FALSE),VLOOKUP($A26,West2011[],7,FALSE))</f>
        <v>105.7</v>
      </c>
      <c r="AW26">
        <f>IFERROR(VLOOKUP($A26,East2011[],4,FALSE),VLOOKUP($A26,West2011[],4,FALSE))</f>
        <v>0.51200000000000001</v>
      </c>
      <c r="AX26" s="4">
        <f t="shared" si="18"/>
        <v>0.52742416012031723</v>
      </c>
      <c r="AY26" s="5">
        <f t="shared" si="19"/>
        <v>-1.5424160120317221E-2</v>
      </c>
      <c r="AZ26" s="1">
        <f>IFERROR(VLOOKUP($A26,East2010[],6,FALSE),VLOOKUP($A26,West2010[],6,FALSE))</f>
        <v>102.1</v>
      </c>
      <c r="BA26" s="1">
        <f>IFERROR(VLOOKUP($A26,East2010[],7,FALSE),VLOOKUP($A26,West2010[],7,FALSE))</f>
        <v>105.9</v>
      </c>
      <c r="BB26">
        <f>IFERROR(VLOOKUP($A26,East2010[],4,FALSE),VLOOKUP($A26,West2010[],4,FALSE))</f>
        <v>0.35399999999999998</v>
      </c>
      <c r="BC26" s="4">
        <f t="shared" si="20"/>
        <v>0.3688919408758326</v>
      </c>
      <c r="BD26" s="5">
        <f t="shared" si="21"/>
        <v>-1.4891940875832621E-2</v>
      </c>
      <c r="BE26" s="1">
        <f>IFERROR(VLOOKUP($A26,East2009[],6,FALSE),VLOOKUP($A26,West2009[],6,FALSE))</f>
        <v>105.2</v>
      </c>
      <c r="BF26" s="1">
        <f>IFERROR(VLOOKUP($A26,East2009[],7,FALSE),VLOOKUP($A26,West2009[],7,FALSE))</f>
        <v>107.8</v>
      </c>
      <c r="BG26">
        <f>IFERROR(VLOOKUP($A26,East2009[],4,FALSE),VLOOKUP($A26,West2009[],4,FALSE))</f>
        <v>0.39</v>
      </c>
      <c r="BH26" s="4">
        <f t="shared" si="22"/>
        <v>0.41169600633039227</v>
      </c>
      <c r="BI26" s="5">
        <f t="shared" si="23"/>
        <v>-2.1696006330392259E-2</v>
      </c>
      <c r="BJ26" s="1">
        <f>IFERROR(VLOOKUP($A26,East2008[],6,FALSE),VLOOKUP($A26,West2008[],6,FALSE))</f>
        <v>96.9</v>
      </c>
      <c r="BK26" s="1">
        <f>IFERROR(VLOOKUP($A26,East2008[],7,FALSE),VLOOKUP($A26,West2008[],7,FALSE))</f>
        <v>103.5</v>
      </c>
      <c r="BL26">
        <f>IFERROR(VLOOKUP($A26,East2008[],4,FALSE),VLOOKUP($A26,West2008[],4,FALSE))</f>
        <v>0.28000000000000003</v>
      </c>
      <c r="BM26" s="4">
        <f t="shared" si="24"/>
        <v>0.27624651475948681</v>
      </c>
      <c r="BN26" s="5">
        <f t="shared" si="25"/>
        <v>3.7534852405132213E-3</v>
      </c>
      <c r="BO26" s="1">
        <f>IFERROR(VLOOKUP($A26,East2007[],6,FALSE),VLOOKUP($A26,West2007[],6,FALSE))</f>
        <v>97.5</v>
      </c>
      <c r="BP26" s="1">
        <f>IFERROR(VLOOKUP($A26,East2007[],7,FALSE),VLOOKUP($A26,West2007[],7,FALSE))</f>
        <v>100.3</v>
      </c>
      <c r="BQ26">
        <f>IFERROR(VLOOKUP($A26,East2007[],4,FALSE),VLOOKUP($A26,West2007[],4,FALSE))</f>
        <v>0.40200000000000002</v>
      </c>
      <c r="BR26" s="4">
        <f t="shared" si="26"/>
        <v>0.39916650632481582</v>
      </c>
      <c r="BS26" s="5">
        <f t="shared" si="27"/>
        <v>2.8334936751842066E-3</v>
      </c>
      <c r="BT26" s="1">
        <f>IFERROR(VLOOKUP($A26,East2006[],6,FALSE),VLOOKUP($A26,West2006[],6,FALSE))</f>
        <v>95.6</v>
      </c>
      <c r="BU26" s="1">
        <f>IFERROR(VLOOKUP($A26,East2006[],7,FALSE),VLOOKUP($A26,West2006[],7,FALSE))</f>
        <v>102</v>
      </c>
      <c r="BV26">
        <f>IFERROR(VLOOKUP($A26,East2006[],4,FALSE),VLOOKUP($A26,West2006[],4,FALSE))</f>
        <v>0.28000000000000003</v>
      </c>
      <c r="BW26" s="4">
        <f t="shared" si="28"/>
        <v>0.28504082628839467</v>
      </c>
      <c r="BX26" s="5">
        <f t="shared" si="29"/>
        <v>-5.0408262883946398E-3</v>
      </c>
      <c r="BY26" s="1">
        <f>IFERROR(VLOOKUP($A26,East2005[],6,FALSE),VLOOKUP($A26,West2005[],6,FALSE))</f>
        <v>97.3</v>
      </c>
      <c r="BZ26" s="1">
        <f>IFERROR(VLOOKUP($A26,East2005[],7,FALSE),VLOOKUP($A26,West2005[],7,FALSE))</f>
        <v>99.7</v>
      </c>
      <c r="CA26">
        <f>IFERROR(VLOOKUP($A26,East2005[],4,FALSE),VLOOKUP($A26,West2005[],4,FALSE))</f>
        <v>0.40200000000000002</v>
      </c>
      <c r="CB26" s="4">
        <f t="shared" si="30"/>
        <v>0.41424276511216002</v>
      </c>
      <c r="CC26" s="5">
        <f t="shared" si="31"/>
        <v>-1.2242765112159992E-2</v>
      </c>
      <c r="CD26" s="1">
        <f>IFERROR(VLOOKUP($A26,East2004[],6,FALSE),VLOOKUP($A26,West2004[],6,FALSE))</f>
        <v>92</v>
      </c>
      <c r="CE26" s="1">
        <f>IFERROR(VLOOKUP($A26,East2004[],7,FALSE),VLOOKUP($A26,West2004[],7,FALSE))</f>
        <v>93.5</v>
      </c>
      <c r="CF26">
        <f>IFERROR(VLOOKUP($A26,East2004[],4,FALSE),VLOOKUP($A26,West2004[],4,FALSE))</f>
        <v>0.47599999999999998</v>
      </c>
      <c r="CG26" s="4">
        <f t="shared" si="32"/>
        <v>0.44498061422747753</v>
      </c>
      <c r="CH26" s="5">
        <f t="shared" si="33"/>
        <v>3.1019385772522445E-2</v>
      </c>
      <c r="CI26" s="1">
        <f>IFERROR(VLOOKUP($A26,East2003[],6,FALSE),VLOOKUP($A26,West2003[],6,FALSE))</f>
        <v>95.9</v>
      </c>
      <c r="CJ26" s="1">
        <f>IFERROR(VLOOKUP($A26,East2003[],7,FALSE),VLOOKUP($A26,West2003[],7,FALSE))</f>
        <v>97.2</v>
      </c>
      <c r="CK26">
        <f>IFERROR(VLOOKUP($A26,East2003[],4,FALSE),VLOOKUP($A26,West2003[],4,FALSE))</f>
        <v>0.45100000000000001</v>
      </c>
      <c r="CL26" s="4">
        <f t="shared" si="34"/>
        <v>0.45331506313888897</v>
      </c>
      <c r="CM26" s="5">
        <f t="shared" si="35"/>
        <v>-2.315063138888962E-3</v>
      </c>
    </row>
    <row r="27" spans="1:91" x14ac:dyDescent="0.25">
      <c r="A27" s="1" t="s">
        <v>157</v>
      </c>
      <c r="B27" s="1">
        <f>IFERROR(VLOOKUP(A27,East2020[],6,FALSE),VLOOKUP(A27,West2020[],6,FALSE))</f>
        <v>110.4</v>
      </c>
      <c r="C27" s="1">
        <f>IFERROR(VLOOKUP(A27,East2020[],7,FALSE),VLOOKUP(A27,West2020[],7,FALSE))</f>
        <v>108.4</v>
      </c>
      <c r="D27">
        <f>IFERROR(VLOOKUP(A27,East2020[],4,FALSE),VLOOKUP(A27,West2020[],4,FALSE))</f>
        <v>0.61099999999999999</v>
      </c>
      <c r="E27" s="4">
        <f t="shared" si="0"/>
        <v>0.5741718153167461</v>
      </c>
      <c r="F27" s="5">
        <f t="shared" si="1"/>
        <v>3.6828184683253884E-2</v>
      </c>
      <c r="G27" s="1">
        <f>IFERROR(VLOOKUP($A27,East2019[],6,FALSE),VLOOKUP($A27,West2019[],6,FALSE))</f>
        <v>114.5</v>
      </c>
      <c r="H27" s="1">
        <f>IFERROR(VLOOKUP($A27,East2019[],7,FALSE),VLOOKUP($A27,West2019[],7,FALSE))</f>
        <v>111.1</v>
      </c>
      <c r="I27">
        <f>IFERROR(VLOOKUP($A27,East2019[],4,FALSE),VLOOKUP($A27,West2019[],4,FALSE))</f>
        <v>0.59799999999999998</v>
      </c>
      <c r="J27" s="4">
        <f t="shared" si="2"/>
        <v>0.62018515196480872</v>
      </c>
      <c r="K27" s="5">
        <f t="shared" si="3"/>
        <v>-2.2185151964808747E-2</v>
      </c>
      <c r="L27" s="1">
        <f>IFERROR(VLOOKUP($A27,East2018[],6,FALSE),VLOOKUP($A27,West2018[],6,FALSE))</f>
        <v>107.9</v>
      </c>
      <c r="M27" s="1">
        <f>IFERROR(VLOOKUP($A27,East2018[],7,FALSE),VLOOKUP($A27,West2018[],7,FALSE))</f>
        <v>104.4</v>
      </c>
      <c r="N27">
        <f>IFERROR(VLOOKUP($A27,East2018[],4,FALSE),VLOOKUP($A27,West2018[],4,FALSE))</f>
        <v>0.58499999999999996</v>
      </c>
      <c r="O27" s="4">
        <f t="shared" si="4"/>
        <v>0.62549200944325134</v>
      </c>
      <c r="P27" s="5">
        <f t="shared" si="5"/>
        <v>-4.0492009443251376E-2</v>
      </c>
      <c r="Q27" s="1">
        <f>IFERROR(VLOOKUP($A27,East2017[],6,FALSE),VLOOKUP($A27,West2017[],6,FALSE))</f>
        <v>106.6</v>
      </c>
      <c r="R27" s="1">
        <f>IFERROR(VLOOKUP($A27,East2017[],7,FALSE),VLOOKUP($A27,West2017[],7,FALSE))</f>
        <v>105.8</v>
      </c>
      <c r="S27">
        <f>IFERROR(VLOOKUP($A27,East2017[],4,FALSE),VLOOKUP($A27,West2017[],4,FALSE))</f>
        <v>0.57299999999999995</v>
      </c>
      <c r="T27" s="4">
        <f t="shared" si="6"/>
        <v>0.52905660805989529</v>
      </c>
      <c r="U27" s="5">
        <f t="shared" si="7"/>
        <v>4.3943391940104659E-2</v>
      </c>
      <c r="V27" s="1">
        <f>IFERROR(VLOOKUP($A27,East2016[],6,FALSE),VLOOKUP($A27,West2016[],6,FALSE))</f>
        <v>110.2</v>
      </c>
      <c r="W27" s="1">
        <f>IFERROR(VLOOKUP($A27,East2016[],7,FALSE),VLOOKUP($A27,West2016[],7,FALSE))</f>
        <v>102.9</v>
      </c>
      <c r="X27">
        <f>IFERROR(VLOOKUP($A27,East2016[],4,FALSE),VLOOKUP($A27,West2016[],4,FALSE))</f>
        <v>0.67100000000000004</v>
      </c>
      <c r="Y27" s="4">
        <f t="shared" si="8"/>
        <v>0.73679444169893238</v>
      </c>
      <c r="Z27" s="5">
        <f t="shared" si="9"/>
        <v>-6.5794441698932338E-2</v>
      </c>
      <c r="AA27" s="1">
        <f>IFERROR(VLOOKUP($A27,East2015[],6,FALSE),VLOOKUP($A27,West2015[],6,FALSE))</f>
        <v>104</v>
      </c>
      <c r="AB27" s="1">
        <f>IFERROR(VLOOKUP($A27,East2015[],7,FALSE),VLOOKUP($A27,West2015[],7,FALSE))</f>
        <v>101.8</v>
      </c>
      <c r="AC27">
        <f>IFERROR(VLOOKUP($A27,East2015[],4,FALSE),VLOOKUP($A27,West2015[],4,FALSE))</f>
        <v>0.54900000000000004</v>
      </c>
      <c r="AD27" s="4">
        <f t="shared" si="10"/>
        <v>0.5775732093797622</v>
      </c>
      <c r="AE27" s="5">
        <f t="shared" si="11"/>
        <v>-2.8573209379762154E-2</v>
      </c>
      <c r="AF27" s="1">
        <f>IFERROR(VLOOKUP($A27,East2014[],6,FALSE),VLOOKUP($A27,West2014[],6,FALSE))</f>
        <v>106.2</v>
      </c>
      <c r="AG27" s="1">
        <f>IFERROR(VLOOKUP($A27,East2014[],7,FALSE),VLOOKUP($A27,West2014[],7,FALSE))</f>
        <v>99.8</v>
      </c>
      <c r="AH27">
        <f>IFERROR(VLOOKUP($A27,East2014[],4,FALSE),VLOOKUP($A27,West2014[],4,FALSE))</f>
        <v>0.72</v>
      </c>
      <c r="AI27" s="4">
        <f t="shared" si="12"/>
        <v>0.7147242764541174</v>
      </c>
      <c r="AJ27" s="5">
        <f t="shared" si="13"/>
        <v>5.2757235458825713E-3</v>
      </c>
      <c r="AK27" s="1">
        <f>IFERROR(VLOOKUP($A27,East2013[],6,FALSE),VLOOKUP($A27,West2013[],6,FALSE))</f>
        <v>105.7</v>
      </c>
      <c r="AL27" s="1">
        <f>IFERROR(VLOOKUP($A27,East2013[],7,FALSE),VLOOKUP($A27,West2013[],7,FALSE))</f>
        <v>96.5</v>
      </c>
      <c r="AM27">
        <f>IFERROR(VLOOKUP($A27,East2013[],4,FALSE),VLOOKUP($A27,West2013[],4,FALSE))</f>
        <v>0.73199999999999998</v>
      </c>
      <c r="AN27" s="4">
        <f t="shared" si="14"/>
        <v>0.78705197983137876</v>
      </c>
      <c r="AO27" s="5">
        <f t="shared" si="15"/>
        <v>-5.5051979831378772E-2</v>
      </c>
      <c r="AP27" s="1">
        <f>IFERROR(VLOOKUP($A27,East2012[],6,FALSE),VLOOKUP($A27,West2012[],6,FALSE))</f>
        <v>103.1</v>
      </c>
      <c r="AQ27" s="1">
        <f>IFERROR(VLOOKUP($A27,East2012[],7,FALSE),VLOOKUP($A27,West2012[],7,FALSE))</f>
        <v>96.9</v>
      </c>
      <c r="AR27">
        <f>IFERROR(VLOOKUP($A27,East2012[],4,FALSE),VLOOKUP($A27,West2012[],4,FALSE))</f>
        <v>0.71199999999999997</v>
      </c>
      <c r="AS27" s="4">
        <f t="shared" si="16"/>
        <v>0.70543919307416436</v>
      </c>
      <c r="AT27" s="5">
        <f t="shared" si="17"/>
        <v>6.560806925835605E-3</v>
      </c>
      <c r="AU27" s="1">
        <f>IFERROR(VLOOKUP($A27,East2011[],6,FALSE),VLOOKUP($A27,West2011[],6,FALSE))</f>
        <v>104.8</v>
      </c>
      <c r="AV27" s="1">
        <f>IFERROR(VLOOKUP($A27,East2011[],7,FALSE),VLOOKUP($A27,West2011[],7,FALSE))</f>
        <v>101</v>
      </c>
      <c r="AW27">
        <f>IFERROR(VLOOKUP($A27,East2011[],4,FALSE),VLOOKUP($A27,West2011[],4,FALSE))</f>
        <v>0.67100000000000004</v>
      </c>
      <c r="AX27" s="4">
        <f t="shared" si="18"/>
        <v>0.63131476866594838</v>
      </c>
      <c r="AY27" s="5">
        <f t="shared" si="19"/>
        <v>3.9685231334051663E-2</v>
      </c>
      <c r="AZ27" s="1">
        <f>IFERROR(VLOOKUP($A27,East2010[],6,FALSE),VLOOKUP($A27,West2010[],6,FALSE))</f>
        <v>101.5</v>
      </c>
      <c r="BA27" s="1">
        <f>IFERROR(VLOOKUP($A27,East2010[],7,FALSE),VLOOKUP($A27,West2010[],7,FALSE))</f>
        <v>98</v>
      </c>
      <c r="BB27">
        <f>IFERROR(VLOOKUP($A27,East2010[],4,FALSE),VLOOKUP($A27,West2010[],4,FALSE))</f>
        <v>0.61</v>
      </c>
      <c r="BC27" s="4">
        <f t="shared" si="20"/>
        <v>0.62612970248787059</v>
      </c>
      <c r="BD27" s="5">
        <f t="shared" si="21"/>
        <v>-1.6129702487870601E-2</v>
      </c>
      <c r="BE27" s="1">
        <f>IFERROR(VLOOKUP($A27,East2009[],6,FALSE),VLOOKUP($A27,West2009[],6,FALSE))</f>
        <v>97</v>
      </c>
      <c r="BF27" s="1">
        <f>IFERROR(VLOOKUP($A27,East2009[],7,FALSE),VLOOKUP($A27,West2009[],7,FALSE))</f>
        <v>103.1</v>
      </c>
      <c r="BG27">
        <f>IFERROR(VLOOKUP($A27,East2009[],4,FALSE),VLOOKUP($A27,West2009[],4,FALSE))</f>
        <v>0.28000000000000003</v>
      </c>
      <c r="BH27" s="4">
        <f t="shared" si="22"/>
        <v>0.29075867500038549</v>
      </c>
      <c r="BI27" s="5">
        <f t="shared" si="23"/>
        <v>-1.0758675000385465E-2</v>
      </c>
      <c r="BJ27" s="1">
        <f>IFERROR(VLOOKUP($A27,East2008[],6,FALSE),VLOOKUP($A27,West2008[],6,FALSE))</f>
        <v>97.5</v>
      </c>
      <c r="BK27" s="1">
        <f>IFERROR(VLOOKUP($A27,East2008[],7,FALSE),VLOOKUP($A27,West2008[],7,FALSE))</f>
        <v>106.3</v>
      </c>
      <c r="BL27">
        <f>IFERROR(VLOOKUP($A27,East2008[],4,FALSE),VLOOKUP($A27,West2008[],4,FALSE))</f>
        <v>0.24399999999999999</v>
      </c>
      <c r="BM27" s="4">
        <f t="shared" si="24"/>
        <v>0.22043833055297585</v>
      </c>
      <c r="BN27" s="5">
        <f t="shared" si="25"/>
        <v>2.3561669447024147E-2</v>
      </c>
      <c r="BO27" s="1">
        <f>IFERROR(VLOOKUP($A27,East2007[],6,FALSE),VLOOKUP($A27,West2007[],6,FALSE))</f>
        <v>99.1</v>
      </c>
      <c r="BP27" s="1">
        <f>IFERROR(VLOOKUP($A27,East2007[],7,FALSE),VLOOKUP($A27,West2007[],7,FALSE))</f>
        <v>102</v>
      </c>
      <c r="BQ27">
        <f>IFERROR(VLOOKUP($A27,East2007[],4,FALSE),VLOOKUP($A27,West2007[],4,FALSE))</f>
        <v>0.378</v>
      </c>
      <c r="BR27" s="4">
        <f t="shared" si="26"/>
        <v>0.39733182811089673</v>
      </c>
      <c r="BS27" s="5">
        <f t="shared" si="27"/>
        <v>-1.9331828110896732E-2</v>
      </c>
      <c r="BT27" s="1">
        <f>IFERROR(VLOOKUP($A27,East2006[],6,FALSE),VLOOKUP($A27,West2006[],6,FALSE))</f>
        <v>102.6</v>
      </c>
      <c r="BU27" s="1">
        <f>IFERROR(VLOOKUP($A27,East2006[],7,FALSE),VLOOKUP($A27,West2006[],7,FALSE))</f>
        <v>105.6</v>
      </c>
      <c r="BV27">
        <f>IFERROR(VLOOKUP($A27,East2006[],4,FALSE),VLOOKUP($A27,West2006[],4,FALSE))</f>
        <v>0.42699999999999999</v>
      </c>
      <c r="BW27" s="4">
        <f t="shared" si="28"/>
        <v>0.39915238215780419</v>
      </c>
      <c r="BX27" s="5">
        <f t="shared" si="29"/>
        <v>2.7847617842195804E-2</v>
      </c>
      <c r="BY27" s="1">
        <f>IFERROR(VLOOKUP($A27,East2005[],6,FALSE),VLOOKUP($A27,West2005[],6,FALSE))</f>
        <v>98.9</v>
      </c>
      <c r="BZ27" s="1">
        <f>IFERROR(VLOOKUP($A27,East2005[],7,FALSE),VLOOKUP($A27,West2005[],7,FALSE))</f>
        <v>96.6</v>
      </c>
      <c r="CA27">
        <f>IFERROR(VLOOKUP($A27,East2005[],4,FALSE),VLOOKUP($A27,West2005[],4,FALSE))</f>
        <v>0.63400000000000001</v>
      </c>
      <c r="CB27" s="4">
        <f t="shared" si="30"/>
        <v>0.5828694570146119</v>
      </c>
      <c r="CC27" s="5">
        <f t="shared" si="31"/>
        <v>5.1130542985388105E-2</v>
      </c>
      <c r="CD27" s="1">
        <f>IFERROR(VLOOKUP($A27,East2004[],6,FALSE),VLOOKUP($A27,West2004[],6,FALSE))</f>
        <v>97.1</v>
      </c>
      <c r="CE27" s="1">
        <f>IFERROR(VLOOKUP($A27,East2004[],7,FALSE),VLOOKUP($A27,West2004[],7,FALSE))</f>
        <v>97.8</v>
      </c>
      <c r="CF27">
        <f>IFERROR(VLOOKUP($A27,East2004[],4,FALSE),VLOOKUP($A27,West2004[],4,FALSE))</f>
        <v>0.45100000000000001</v>
      </c>
      <c r="CG27" s="4">
        <f t="shared" si="32"/>
        <v>0.47548337212969982</v>
      </c>
      <c r="CH27" s="5">
        <f t="shared" si="33"/>
        <v>-2.448337212969981E-2</v>
      </c>
      <c r="CI27" s="1">
        <f>IFERROR(VLOOKUP($A27,East2003[],6,FALSE),VLOOKUP($A27,West2003[],6,FALSE))</f>
        <v>92.1</v>
      </c>
      <c r="CJ27" s="1">
        <f>IFERROR(VLOOKUP($A27,East2003[],7,FALSE),VLOOKUP($A27,West2003[],7,FALSE))</f>
        <v>92.3</v>
      </c>
      <c r="CK27">
        <f>IFERROR(VLOOKUP($A27,East2003[],4,FALSE),VLOOKUP($A27,West2003[],4,FALSE))</f>
        <v>0.48799999999999999</v>
      </c>
      <c r="CL27" s="4">
        <f t="shared" si="34"/>
        <v>0.49245755271455494</v>
      </c>
      <c r="CM27" s="5">
        <f t="shared" si="35"/>
        <v>-4.4575527145549465E-3</v>
      </c>
    </row>
    <row r="28" spans="1:91" x14ac:dyDescent="0.25">
      <c r="A28" s="1" t="s">
        <v>138</v>
      </c>
      <c r="B28" s="1">
        <f>IFERROR(VLOOKUP(A28,East2020[],6,FALSE),VLOOKUP(A28,West2020[],6,FALSE))</f>
        <v>107.3</v>
      </c>
      <c r="C28" s="1">
        <f>IFERROR(VLOOKUP(A28,East2020[],7,FALSE),VLOOKUP(A28,West2020[],7,FALSE))</f>
        <v>108.3</v>
      </c>
      <c r="D28">
        <f>IFERROR(VLOOKUP(A28,East2020[],4,FALSE),VLOOKUP(A28,West2020[],4,FALSE))</f>
        <v>0.45200000000000001</v>
      </c>
      <c r="E28" s="4">
        <f t="shared" si="0"/>
        <v>0.46215716779817662</v>
      </c>
      <c r="F28" s="5">
        <f t="shared" si="1"/>
        <v>-1.0157167798176603E-2</v>
      </c>
      <c r="G28" s="1">
        <f>IFERROR(VLOOKUP($A28,East2019[],6,FALSE),VLOOKUP($A28,West2019[],6,FALSE))</f>
        <v>107.3</v>
      </c>
      <c r="H28" s="1">
        <f>IFERROR(VLOOKUP($A28,East2019[],7,FALSE),VLOOKUP($A28,West2019[],7,FALSE))</f>
        <v>106.6</v>
      </c>
      <c r="I28">
        <f>IFERROR(VLOOKUP($A28,East2019[],4,FALSE),VLOOKUP($A28,West2019[],4,FALSE))</f>
        <v>0.51200000000000001</v>
      </c>
      <c r="J28" s="4">
        <f t="shared" si="2"/>
        <v>0.52659122344796261</v>
      </c>
      <c r="K28" s="5">
        <f t="shared" si="3"/>
        <v>-1.4591223447962598E-2</v>
      </c>
      <c r="L28" s="1">
        <f>IFERROR(VLOOKUP($A28,East2018[],6,FALSE),VLOOKUP($A28,West2018[],6,FALSE))</f>
        <v>103.4</v>
      </c>
      <c r="M28" s="1">
        <f>IFERROR(VLOOKUP($A28,East2018[],7,FALSE),VLOOKUP($A28,West2018[],7,FALSE))</f>
        <v>108.2</v>
      </c>
      <c r="N28">
        <f>IFERROR(VLOOKUP($A28,East2018[],4,FALSE),VLOOKUP($A28,West2018[],4,FALSE))</f>
        <v>0.30499999999999999</v>
      </c>
      <c r="O28" s="4">
        <f t="shared" si="4"/>
        <v>0.33052206651058658</v>
      </c>
      <c r="P28" s="5">
        <f t="shared" si="5"/>
        <v>-2.5522066510586583E-2</v>
      </c>
      <c r="Q28" s="1">
        <f>IFERROR(VLOOKUP($A28,East2017[],6,FALSE),VLOOKUP($A28,West2017[],6,FALSE))</f>
        <v>101.1</v>
      </c>
      <c r="R28" s="1">
        <f>IFERROR(VLOOKUP($A28,East2017[],7,FALSE),VLOOKUP($A28,West2017[],7,FALSE))</f>
        <v>107.6</v>
      </c>
      <c r="S28">
        <f>IFERROR(VLOOKUP($A28,East2017[],4,FALSE),VLOOKUP($A28,West2017[],4,FALSE))</f>
        <v>0.35399999999999998</v>
      </c>
      <c r="T28" s="4">
        <f t="shared" si="6"/>
        <v>0.27638341047433457</v>
      </c>
      <c r="U28" s="5">
        <f t="shared" si="7"/>
        <v>7.7616589525665414E-2</v>
      </c>
      <c r="V28" s="1">
        <f>IFERROR(VLOOKUP($A28,East2016[],6,FALSE),VLOOKUP($A28,West2016[],6,FALSE))</f>
        <v>102.1</v>
      </c>
      <c r="W28" s="1">
        <f>IFERROR(VLOOKUP($A28,East2016[],7,FALSE),VLOOKUP($A28,West2016[],7,FALSE))</f>
        <v>103.7</v>
      </c>
      <c r="X28">
        <f>IFERROR(VLOOKUP($A28,East2016[],4,FALSE),VLOOKUP($A28,West2016[],4,FALSE))</f>
        <v>0.42699999999999999</v>
      </c>
      <c r="Y28" s="4">
        <f t="shared" si="8"/>
        <v>0.44188081533906343</v>
      </c>
      <c r="Z28" s="5">
        <f t="shared" si="9"/>
        <v>-1.4880815339063436E-2</v>
      </c>
      <c r="AA28" s="1">
        <f>IFERROR(VLOOKUP($A28,East2015[],6,FALSE),VLOOKUP($A28,West2015[],6,FALSE))</f>
        <v>95.7</v>
      </c>
      <c r="AB28" s="1">
        <f>IFERROR(VLOOKUP($A28,East2015[],7,FALSE),VLOOKUP($A28,West2015[],7,FALSE))</f>
        <v>101.4</v>
      </c>
      <c r="AC28">
        <f>IFERROR(VLOOKUP($A28,East2015[],4,FALSE),VLOOKUP($A28,West2015[],4,FALSE))</f>
        <v>0.30499999999999999</v>
      </c>
      <c r="AD28" s="4">
        <f t="shared" si="10"/>
        <v>0.30017506191785254</v>
      </c>
      <c r="AE28" s="5">
        <f t="shared" si="11"/>
        <v>4.8249380821474563E-3</v>
      </c>
      <c r="AF28" s="1">
        <f>IFERROR(VLOOKUP($A28,East2014[],6,FALSE),VLOOKUP($A28,West2014[],6,FALSE))</f>
        <v>96.5</v>
      </c>
      <c r="AG28" s="1">
        <f>IFERROR(VLOOKUP($A28,East2014[],7,FALSE),VLOOKUP($A28,West2014[],7,FALSE))</f>
        <v>102</v>
      </c>
      <c r="AH28">
        <f>IFERROR(VLOOKUP($A28,East2014[],4,FALSE),VLOOKUP($A28,West2014[],4,FALSE))</f>
        <v>0.28000000000000003</v>
      </c>
      <c r="AI28" s="4">
        <f t="shared" si="12"/>
        <v>0.30596475163176839</v>
      </c>
      <c r="AJ28" s="5">
        <f t="shared" si="13"/>
        <v>-2.5964751631768368E-2</v>
      </c>
      <c r="AK28" s="1">
        <f>IFERROR(VLOOKUP($A28,East2013[],6,FALSE),VLOOKUP($A28,West2013[],6,FALSE))</f>
        <v>94.1</v>
      </c>
      <c r="AL28" s="1">
        <f>IFERROR(VLOOKUP($A28,East2013[],7,FALSE),VLOOKUP($A28,West2013[],7,FALSE))</f>
        <v>101.1</v>
      </c>
      <c r="AM28">
        <f>IFERROR(VLOOKUP($A28,East2013[],4,FALSE),VLOOKUP($A28,West2013[],4,FALSE))</f>
        <v>0.24399999999999999</v>
      </c>
      <c r="AN28" s="4">
        <f t="shared" si="14"/>
        <v>0.26307581867153035</v>
      </c>
      <c r="AO28" s="5">
        <f t="shared" si="15"/>
        <v>-1.9075818671530353E-2</v>
      </c>
      <c r="AP28" s="1">
        <f>IFERROR(VLOOKUP($A28,East2012[],6,FALSE),VLOOKUP($A28,West2012[],6,FALSE))</f>
        <v>94.2</v>
      </c>
      <c r="AQ28" s="1">
        <f>IFERROR(VLOOKUP($A28,East2012[],7,FALSE),VLOOKUP($A28,West2012[],7,FALSE))</f>
        <v>93.4</v>
      </c>
      <c r="AR28">
        <f>IFERROR(VLOOKUP($A28,East2012[],4,FALSE),VLOOKUP($A28,West2012[],4,FALSE))</f>
        <v>0.56100000000000005</v>
      </c>
      <c r="AS28" s="4">
        <f t="shared" si="16"/>
        <v>0.52998874373033689</v>
      </c>
      <c r="AT28" s="5">
        <f t="shared" si="17"/>
        <v>3.1011256269663168E-2</v>
      </c>
      <c r="AU28" s="1">
        <f>IFERROR(VLOOKUP($A28,East2011[],6,FALSE),VLOOKUP($A28,West2011[],6,FALSE))</f>
        <v>99.2</v>
      </c>
      <c r="AV28" s="1">
        <f>IFERROR(VLOOKUP($A28,East2011[],7,FALSE),VLOOKUP($A28,West2011[],7,FALSE))</f>
        <v>93.7</v>
      </c>
      <c r="AW28">
        <f>IFERROR(VLOOKUP($A28,East2011[],4,FALSE),VLOOKUP($A28,West2011[],4,FALSE))</f>
        <v>0.63400000000000001</v>
      </c>
      <c r="AX28" s="4">
        <f t="shared" si="18"/>
        <v>0.69649754779688522</v>
      </c>
      <c r="AY28" s="5">
        <f t="shared" si="19"/>
        <v>-6.2497547796885211E-2</v>
      </c>
      <c r="AZ28" s="1">
        <f>IFERROR(VLOOKUP($A28,East2010[],6,FALSE),VLOOKUP($A28,West2010[],6,FALSE))</f>
        <v>102.8</v>
      </c>
      <c r="BA28" s="1">
        <f>IFERROR(VLOOKUP($A28,East2010[],7,FALSE),VLOOKUP($A28,West2010[],7,FALSE))</f>
        <v>95.3</v>
      </c>
      <c r="BB28">
        <f>IFERROR(VLOOKUP($A28,East2010[],4,FALSE),VLOOKUP($A28,West2010[],4,FALSE))</f>
        <v>0.72</v>
      </c>
      <c r="BC28" s="4">
        <f t="shared" si="20"/>
        <v>0.75272299372198692</v>
      </c>
      <c r="BD28" s="5">
        <f t="shared" si="21"/>
        <v>-3.2722993721986948E-2</v>
      </c>
      <c r="BE28" s="1">
        <f>IFERROR(VLOOKUP($A28,East2009[],6,FALSE),VLOOKUP($A28,West2009[],6,FALSE))</f>
        <v>101</v>
      </c>
      <c r="BF28" s="1">
        <f>IFERROR(VLOOKUP($A28,East2009[],7,FALSE),VLOOKUP($A28,West2009[],7,FALSE))</f>
        <v>94.4</v>
      </c>
      <c r="BG28">
        <f>IFERROR(VLOOKUP($A28,East2009[],4,FALSE),VLOOKUP($A28,West2009[],4,FALSE))</f>
        <v>0.72</v>
      </c>
      <c r="BH28" s="4">
        <f t="shared" si="22"/>
        <v>0.72870627967655777</v>
      </c>
      <c r="BI28" s="5">
        <f t="shared" si="23"/>
        <v>-8.7062796765577932E-3</v>
      </c>
      <c r="BJ28" s="1">
        <f>IFERROR(VLOOKUP($A28,East2008[],6,FALSE),VLOOKUP($A28,West2008[],6,FALSE))</f>
        <v>104.5</v>
      </c>
      <c r="BK28" s="1">
        <f>IFERROR(VLOOKUP($A28,East2008[],7,FALSE),VLOOKUP($A28,West2008[],7,FALSE))</f>
        <v>99</v>
      </c>
      <c r="BL28">
        <f>IFERROR(VLOOKUP($A28,East2008[],4,FALSE),VLOOKUP($A28,West2008[],4,FALSE))</f>
        <v>0.63400000000000001</v>
      </c>
      <c r="BM28" s="4">
        <f t="shared" si="24"/>
        <v>0.68789806312369695</v>
      </c>
      <c r="BN28" s="5">
        <f t="shared" si="25"/>
        <v>-5.3898063123696938E-2</v>
      </c>
      <c r="BO28" s="1">
        <f>IFERROR(VLOOKUP($A28,East2007[],6,FALSE),VLOOKUP($A28,West2007[],6,FALSE))</f>
        <v>94.8</v>
      </c>
      <c r="BP28" s="1">
        <f>IFERROR(VLOOKUP($A28,East2007[],7,FALSE),VLOOKUP($A28,West2007[],7,FALSE))</f>
        <v>94</v>
      </c>
      <c r="BQ28">
        <f>IFERROR(VLOOKUP($A28,East2007[],4,FALSE),VLOOKUP($A28,West2007[],4,FALSE))</f>
        <v>0.48799999999999999</v>
      </c>
      <c r="BR28" s="4">
        <f t="shared" si="26"/>
        <v>0.53056235733832025</v>
      </c>
      <c r="BS28" s="5">
        <f t="shared" si="27"/>
        <v>-4.2562357338320256E-2</v>
      </c>
      <c r="BT28" s="1">
        <f>IFERROR(VLOOKUP($A28,East2006[],6,FALSE),VLOOKUP($A28,West2006[],6,FALSE))</f>
        <v>94.9</v>
      </c>
      <c r="BU28" s="1">
        <f>IFERROR(VLOOKUP($A28,East2006[],7,FALSE),VLOOKUP($A28,West2006[],7,FALSE))</f>
        <v>96</v>
      </c>
      <c r="BV28">
        <f>IFERROR(VLOOKUP($A28,East2006[],4,FALSE),VLOOKUP($A28,West2006[],4,FALSE))</f>
        <v>0.439</v>
      </c>
      <c r="BW28" s="4">
        <f t="shared" si="28"/>
        <v>0.45920417179088591</v>
      </c>
      <c r="BX28" s="5">
        <f t="shared" si="29"/>
        <v>-2.0204171790885905E-2</v>
      </c>
      <c r="BY28" s="1">
        <f>IFERROR(VLOOKUP($A28,East2005[],6,FALSE),VLOOKUP($A28,West2005[],6,FALSE))</f>
        <v>99.5</v>
      </c>
      <c r="BZ28" s="1">
        <f>IFERROR(VLOOKUP($A28,East2005[],7,FALSE),VLOOKUP($A28,West2005[],7,FALSE))</f>
        <v>101.8</v>
      </c>
      <c r="CA28">
        <f>IFERROR(VLOOKUP($A28,East2005[],4,FALSE),VLOOKUP($A28,West2005[],4,FALSE))</f>
        <v>0.439</v>
      </c>
      <c r="CB28" s="4">
        <f t="shared" si="30"/>
        <v>0.41947633139179191</v>
      </c>
      <c r="CC28" s="5">
        <f t="shared" si="31"/>
        <v>1.9523668608208089E-2</v>
      </c>
      <c r="CD28" s="1">
        <f>IFERROR(VLOOKUP($A28,East2004[],6,FALSE),VLOOKUP($A28,West2004[],6,FALSE))</f>
        <v>94</v>
      </c>
      <c r="CE28" s="1">
        <f>IFERROR(VLOOKUP($A28,East2004[],7,FALSE),VLOOKUP($A28,West2004[],7,FALSE))</f>
        <v>101.1</v>
      </c>
      <c r="CF28">
        <f>IFERROR(VLOOKUP($A28,East2004[],4,FALSE),VLOOKUP($A28,West2004[],4,FALSE))</f>
        <v>0.25600000000000001</v>
      </c>
      <c r="CG28" s="4">
        <f t="shared" si="32"/>
        <v>0.26994778300430072</v>
      </c>
      <c r="CH28" s="5">
        <f t="shared" si="33"/>
        <v>-1.3947783004300718E-2</v>
      </c>
      <c r="CI28" s="1">
        <f>IFERROR(VLOOKUP($A28,East2003[],6,FALSE),VLOOKUP($A28,West2003[],6,FALSE))</f>
        <v>98.5</v>
      </c>
      <c r="CJ28" s="1">
        <f>IFERROR(VLOOKUP($A28,East2003[],7,FALSE),VLOOKUP($A28,West2003[],7,FALSE))</f>
        <v>98.4</v>
      </c>
      <c r="CK28">
        <f>IFERROR(VLOOKUP($A28,East2003[],4,FALSE),VLOOKUP($A28,West2003[],4,FALSE))</f>
        <v>0.51200000000000001</v>
      </c>
      <c r="CL28" s="4">
        <f t="shared" si="34"/>
        <v>0.50353201936947067</v>
      </c>
      <c r="CM28" s="5">
        <f t="shared" si="35"/>
        <v>8.467980630529337E-3</v>
      </c>
    </row>
    <row r="29" spans="1:91" x14ac:dyDescent="0.25">
      <c r="A29" s="1" t="s">
        <v>134</v>
      </c>
      <c r="B29" s="1">
        <f>IFERROR(VLOOKUP(A29,East2020[],6,FALSE),VLOOKUP(A29,West2020[],6,FALSE))</f>
        <v>110.7</v>
      </c>
      <c r="C29" s="1">
        <f>IFERROR(VLOOKUP(A29,East2020[],7,FALSE),VLOOKUP(A29,West2020[],7,FALSE))</f>
        <v>108.4</v>
      </c>
      <c r="D29">
        <f>IFERROR(VLOOKUP(A29,East2020[],4,FALSE),VLOOKUP(A29,West2020[],4,FALSE))</f>
        <v>0.58899999999999997</v>
      </c>
      <c r="E29" s="4">
        <f t="shared" si="0"/>
        <v>0.58498196847079109</v>
      </c>
      <c r="F29" s="5">
        <f t="shared" si="1"/>
        <v>4.0180315292088764E-3</v>
      </c>
      <c r="G29" s="1">
        <f>IFERROR(VLOOKUP($A29,East2019[],6,FALSE),VLOOKUP($A29,West2019[],6,FALSE))</f>
        <v>115.2</v>
      </c>
      <c r="H29" s="1">
        <f>IFERROR(VLOOKUP($A29,East2019[],7,FALSE),VLOOKUP($A29,West2019[],7,FALSE))</f>
        <v>112.5</v>
      </c>
      <c r="I29">
        <f>IFERROR(VLOOKUP($A29,East2019[],4,FALSE),VLOOKUP($A29,West2019[],4,FALSE))</f>
        <v>0.622</v>
      </c>
      <c r="J29" s="4">
        <f t="shared" si="2"/>
        <v>0.59526658796589993</v>
      </c>
      <c r="K29" s="5">
        <f t="shared" si="3"/>
        <v>2.6733412034100068E-2</v>
      </c>
      <c r="L29" s="1">
        <f>IFERROR(VLOOKUP($A29,East2018[],6,FALSE),VLOOKUP($A29,West2018[],6,FALSE))</f>
        <v>109.8</v>
      </c>
      <c r="M29" s="1">
        <f>IFERROR(VLOOKUP($A29,East2018[],7,FALSE),VLOOKUP($A29,West2018[],7,FALSE))</f>
        <v>105.3</v>
      </c>
      <c r="N29">
        <f>IFERROR(VLOOKUP($A29,East2018[],4,FALSE),VLOOKUP($A29,West2018[],4,FALSE))</f>
        <v>0.63400000000000001</v>
      </c>
      <c r="O29" s="4">
        <f t="shared" si="4"/>
        <v>0.65721933182483117</v>
      </c>
      <c r="P29" s="5">
        <f t="shared" si="5"/>
        <v>-2.3219331824831158E-2</v>
      </c>
      <c r="Q29" s="1">
        <f>IFERROR(VLOOKUP($A29,East2017[],6,FALSE),VLOOKUP($A29,West2017[],6,FALSE))</f>
        <v>102.4</v>
      </c>
      <c r="R29" s="1">
        <f>IFERROR(VLOOKUP($A29,East2017[],7,FALSE),VLOOKUP($A29,West2017[],7,FALSE))</f>
        <v>108.1</v>
      </c>
      <c r="S29">
        <f>IFERROR(VLOOKUP($A29,East2017[],4,FALSE),VLOOKUP($A29,West2017[],4,FALSE))</f>
        <v>0.34100000000000003</v>
      </c>
      <c r="T29" s="4">
        <f t="shared" si="6"/>
        <v>0.30222369343353889</v>
      </c>
      <c r="U29" s="5">
        <f t="shared" si="7"/>
        <v>3.8776306566461138E-2</v>
      </c>
      <c r="V29" s="1">
        <f>IFERROR(VLOOKUP($A29,East2016[],6,FALSE),VLOOKUP($A29,West2016[],6,FALSE))</f>
        <v>97.4</v>
      </c>
      <c r="W29" s="1">
        <f>IFERROR(VLOOKUP($A29,East2016[],7,FALSE),VLOOKUP($A29,West2016[],7,FALSE))</f>
        <v>107.6</v>
      </c>
      <c r="X29">
        <f>IFERROR(VLOOKUP($A29,East2016[],4,FALSE),VLOOKUP($A29,West2016[],4,FALSE))</f>
        <v>0.122</v>
      </c>
      <c r="Y29" s="4">
        <f t="shared" si="8"/>
        <v>0.1830552387537846</v>
      </c>
      <c r="Z29" s="5">
        <f t="shared" si="9"/>
        <v>-6.1055238753784602E-2</v>
      </c>
      <c r="AA29" s="1">
        <f>IFERROR(VLOOKUP($A29,East2015[],6,FALSE),VLOOKUP($A29,West2015[],6,FALSE))</f>
        <v>92</v>
      </c>
      <c r="AB29" s="1">
        <f>IFERROR(VLOOKUP($A29,East2015[],7,FALSE),VLOOKUP($A29,West2015[],7,FALSE))</f>
        <v>101</v>
      </c>
      <c r="AC29">
        <f>IFERROR(VLOOKUP($A29,East2015[],4,FALSE),VLOOKUP($A29,West2015[],4,FALSE))</f>
        <v>0.22</v>
      </c>
      <c r="AD29" s="4">
        <f t="shared" si="10"/>
        <v>0.20334382364903053</v>
      </c>
      <c r="AE29" s="5">
        <f t="shared" si="11"/>
        <v>1.665617635096947E-2</v>
      </c>
      <c r="AF29" s="1">
        <f>IFERROR(VLOOKUP($A29,East2014[],6,FALSE),VLOOKUP($A29,West2014[],6,FALSE))</f>
        <v>99.5</v>
      </c>
      <c r="AG29" s="1">
        <f>IFERROR(VLOOKUP($A29,East2014[],7,FALSE),VLOOKUP($A29,West2014[],7,FALSE))</f>
        <v>109.9</v>
      </c>
      <c r="AH29">
        <f>IFERROR(VLOOKUP($A29,East2014[],4,FALSE),VLOOKUP($A29,West2014[],4,FALSE))</f>
        <v>0.23200000000000001</v>
      </c>
      <c r="AI29" s="4">
        <f t="shared" si="12"/>
        <v>0.18709933507636328</v>
      </c>
      <c r="AJ29" s="5">
        <f t="shared" si="13"/>
        <v>4.4900664923636729E-2</v>
      </c>
      <c r="AK29" s="1">
        <f>IFERROR(VLOOKUP($A29,East2013[],6,FALSE),VLOOKUP($A29,West2013[],6,FALSE))</f>
        <v>93.2</v>
      </c>
      <c r="AL29" s="1">
        <f>IFERROR(VLOOKUP($A29,East2013[],7,FALSE),VLOOKUP($A29,West2013[],7,FALSE))</f>
        <v>96.5</v>
      </c>
      <c r="AM29">
        <f>IFERROR(VLOOKUP($A29,East2013[],4,FALSE),VLOOKUP($A29,West2013[],4,FALSE))</f>
        <v>0.41499999999999998</v>
      </c>
      <c r="AN29" s="4">
        <f t="shared" si="14"/>
        <v>0.37765664275250482</v>
      </c>
      <c r="AO29" s="5">
        <f t="shared" si="15"/>
        <v>3.7343357247495157E-2</v>
      </c>
      <c r="AP29" s="1">
        <f>IFERROR(VLOOKUP($A29,East2012[],6,FALSE),VLOOKUP($A29,West2012[],6,FALSE))</f>
        <v>93.6</v>
      </c>
      <c r="AQ29" s="1">
        <f>IFERROR(VLOOKUP($A29,East2012[],7,FALSE),VLOOKUP($A29,West2012[],7,FALSE))</f>
        <v>89.4</v>
      </c>
      <c r="AR29">
        <f>IFERROR(VLOOKUP($A29,East2012[],4,FALSE),VLOOKUP($A29,West2012[],4,FALSE))</f>
        <v>0.53</v>
      </c>
      <c r="AS29" s="4">
        <f t="shared" si="16"/>
        <v>0.65621661030911038</v>
      </c>
      <c r="AT29" s="5">
        <f t="shared" si="17"/>
        <v>-0.12621661030911036</v>
      </c>
      <c r="AU29" s="1">
        <f>IFERROR(VLOOKUP($A29,East2011[],6,FALSE),VLOOKUP($A29,West2011[],6,FALSE))</f>
        <v>99</v>
      </c>
      <c r="AV29" s="1">
        <f>IFERROR(VLOOKUP($A29,East2011[],7,FALSE),VLOOKUP($A29,West2011[],7,FALSE))</f>
        <v>97.5</v>
      </c>
      <c r="AW29">
        <f>IFERROR(VLOOKUP($A29,East2011[],4,FALSE),VLOOKUP($A29,West2011[],4,FALSE))</f>
        <v>0.5</v>
      </c>
      <c r="AX29" s="4">
        <f t="shared" si="18"/>
        <v>0.55535742614583872</v>
      </c>
      <c r="AY29" s="5">
        <f t="shared" si="19"/>
        <v>-5.5357426145838717E-2</v>
      </c>
      <c r="AZ29" s="1">
        <f>IFERROR(VLOOKUP($A29,East2010[],6,FALSE),VLOOKUP($A29,West2010[],6,FALSE))</f>
        <v>97.7</v>
      </c>
      <c r="BA29" s="1">
        <f>IFERROR(VLOOKUP($A29,East2010[],7,FALSE),VLOOKUP($A29,West2010[],7,FALSE))</f>
        <v>101.6</v>
      </c>
      <c r="BB29">
        <f>IFERROR(VLOOKUP($A29,East2010[],4,FALSE),VLOOKUP($A29,West2010[],4,FALSE))</f>
        <v>0.32900000000000001</v>
      </c>
      <c r="BC29" s="4">
        <f t="shared" si="20"/>
        <v>0.36004452947877275</v>
      </c>
      <c r="BD29" s="5">
        <f t="shared" si="21"/>
        <v>-3.1044529478772731E-2</v>
      </c>
      <c r="BE29" s="1">
        <f>IFERROR(VLOOKUP($A29,East2009[],6,FALSE),VLOOKUP($A29,West2009[],6,FALSE))</f>
        <v>97.4</v>
      </c>
      <c r="BF29" s="1">
        <f>IFERROR(VLOOKUP($A29,East2009[],7,FALSE),VLOOKUP($A29,West2009[],7,FALSE))</f>
        <v>97.3</v>
      </c>
      <c r="BG29">
        <f>IFERROR(VLOOKUP($A29,East2009[],4,FALSE),VLOOKUP($A29,West2009[],4,FALSE))</f>
        <v>0.5</v>
      </c>
      <c r="BH29" s="4">
        <f t="shared" si="22"/>
        <v>0.50375464122075286</v>
      </c>
      <c r="BI29" s="5">
        <f t="shared" si="23"/>
        <v>-3.7546412207528634E-3</v>
      </c>
      <c r="BJ29" s="1">
        <f>IFERROR(VLOOKUP($A29,East2008[],6,FALSE),VLOOKUP($A29,West2008[],6,FALSE))</f>
        <v>96.6</v>
      </c>
      <c r="BK29" s="1">
        <f>IFERROR(VLOOKUP($A29,East2008[],7,FALSE),VLOOKUP($A29,West2008[],7,FALSE))</f>
        <v>96.2</v>
      </c>
      <c r="BL29">
        <f>IFERROR(VLOOKUP($A29,East2008[],4,FALSE),VLOOKUP($A29,West2008[],4,FALSE))</f>
        <v>0.48799999999999999</v>
      </c>
      <c r="BM29" s="4">
        <f t="shared" si="24"/>
        <v>0.51515843451981869</v>
      </c>
      <c r="BN29" s="5">
        <f t="shared" si="25"/>
        <v>-2.7158434519818697E-2</v>
      </c>
      <c r="BO29" s="1">
        <f>IFERROR(VLOOKUP($A29,East2007[],6,FALSE),VLOOKUP($A29,West2007[],6,FALSE))</f>
        <v>94.9</v>
      </c>
      <c r="BP29" s="1">
        <f>IFERROR(VLOOKUP($A29,East2007[],7,FALSE),VLOOKUP($A29,West2007[],7,FALSE))</f>
        <v>98</v>
      </c>
      <c r="BQ29">
        <f>IFERROR(VLOOKUP($A29,East2007[],4,FALSE),VLOOKUP($A29,West2007[],4,FALSE))</f>
        <v>0.42699999999999999</v>
      </c>
      <c r="BR29" s="4">
        <f t="shared" si="26"/>
        <v>0.38597481244583265</v>
      </c>
      <c r="BS29" s="5">
        <f t="shared" si="27"/>
        <v>4.1025187554167342E-2</v>
      </c>
      <c r="BT29" s="1">
        <f>IFERROR(VLOOKUP($A29,East2006[],6,FALSE),VLOOKUP($A29,West2006[],6,FALSE))</f>
        <v>99.4</v>
      </c>
      <c r="BU29" s="1">
        <f>IFERROR(VLOOKUP($A29,East2006[],7,FALSE),VLOOKUP($A29,West2006[],7,FALSE))</f>
        <v>101.3</v>
      </c>
      <c r="BV29">
        <f>IFERROR(VLOOKUP($A29,East2006[],4,FALSE),VLOOKUP($A29,West2006[],4,FALSE))</f>
        <v>0.46300000000000002</v>
      </c>
      <c r="BW29" s="4">
        <f t="shared" si="28"/>
        <v>0.43322593086127126</v>
      </c>
      <c r="BX29" s="5">
        <f t="shared" si="29"/>
        <v>2.9774069138728765E-2</v>
      </c>
      <c r="BY29" s="1">
        <f>IFERROR(VLOOKUP($A29,East2005[],6,FALSE),VLOOKUP($A29,West2005[],6,FALSE))</f>
        <v>99.1</v>
      </c>
      <c r="BZ29" s="1">
        <f>IFERROR(VLOOKUP($A29,East2005[],7,FALSE),VLOOKUP($A29,West2005[],7,FALSE))</f>
        <v>99.9</v>
      </c>
      <c r="CA29">
        <f>IFERROR(VLOOKUP($A29,East2005[],4,FALSE),VLOOKUP($A29,West2005[],4,FALSE))</f>
        <v>0.52400000000000002</v>
      </c>
      <c r="CB29" s="4">
        <f t="shared" si="30"/>
        <v>0.47145140326760687</v>
      </c>
      <c r="CC29" s="5">
        <f t="shared" si="31"/>
        <v>5.2548596732393149E-2</v>
      </c>
      <c r="CD29" s="1">
        <f>IFERROR(VLOOKUP($A29,East2004[],6,FALSE),VLOOKUP($A29,West2004[],6,FALSE))</f>
        <v>88</v>
      </c>
      <c r="CE29" s="1">
        <f>IFERROR(VLOOKUP($A29,East2004[],7,FALSE),VLOOKUP($A29,West2004[],7,FALSE))</f>
        <v>90.5</v>
      </c>
      <c r="CF29">
        <f>IFERROR(VLOOKUP($A29,East2004[],4,FALSE),VLOOKUP($A29,West2004[],4,FALSE))</f>
        <v>0.40200000000000002</v>
      </c>
      <c r="CG29" s="4">
        <f t="shared" si="32"/>
        <v>0.40546463884673789</v>
      </c>
      <c r="CH29" s="5">
        <f t="shared" si="33"/>
        <v>-3.4646388467378664E-3</v>
      </c>
      <c r="CI29" s="1">
        <f>IFERROR(VLOOKUP($A29,East2003[],6,FALSE),VLOOKUP($A29,West2003[],6,FALSE))</f>
        <v>96.8</v>
      </c>
      <c r="CJ29" s="1">
        <f>IFERROR(VLOOKUP($A29,East2003[],7,FALSE),VLOOKUP($A29,West2003[],7,FALSE))</f>
        <v>94.5</v>
      </c>
      <c r="CK29">
        <f>IFERROR(VLOOKUP($A29,East2003[],4,FALSE),VLOOKUP($A29,West2003[],4,FALSE))</f>
        <v>0.58499999999999996</v>
      </c>
      <c r="CL29" s="4">
        <f t="shared" si="34"/>
        <v>0.58284895580434415</v>
      </c>
      <c r="CM29" s="5">
        <f t="shared" si="35"/>
        <v>2.1510441956558157E-3</v>
      </c>
    </row>
    <row r="30" spans="1:91" x14ac:dyDescent="0.25">
      <c r="A30" s="1" t="s">
        <v>164</v>
      </c>
      <c r="B30" s="1">
        <f>IFERROR(VLOOKUP(A30,East2020[],6,FALSE),VLOOKUP(A30,West2020[],6,FALSE))</f>
        <v>113.6</v>
      </c>
      <c r="C30" s="1">
        <f>IFERROR(VLOOKUP(A30,East2020[],7,FALSE),VLOOKUP(A30,West2020[],7,FALSE))</f>
        <v>113.4</v>
      </c>
      <c r="D30">
        <f>IFERROR(VLOOKUP(A30,East2020[],4,FALSE),VLOOKUP(A30,West2020[],4,FALSE))</f>
        <v>0.46600000000000003</v>
      </c>
      <c r="E30" s="4">
        <f t="shared" si="0"/>
        <v>0.50720169649471036</v>
      </c>
      <c r="F30" s="5">
        <f t="shared" si="1"/>
        <v>-4.1201696494710338E-2</v>
      </c>
      <c r="G30" s="1">
        <f>IFERROR(VLOOKUP($A30,East2019[],6,FALSE),VLOOKUP($A30,West2019[],6,FALSE))</f>
        <v>107.5</v>
      </c>
      <c r="H30" s="1">
        <f>IFERROR(VLOOKUP($A30,East2019[],7,FALSE),VLOOKUP($A30,West2019[],7,FALSE))</f>
        <v>116.8</v>
      </c>
      <c r="I30">
        <f>IFERROR(VLOOKUP($A30,East2019[],4,FALSE),VLOOKUP($A30,West2019[],4,FALSE))</f>
        <v>0.23200000000000001</v>
      </c>
      <c r="J30" s="4">
        <f t="shared" si="2"/>
        <v>0.20592707659815093</v>
      </c>
      <c r="K30" s="5">
        <f t="shared" si="3"/>
        <v>2.607292340184908E-2</v>
      </c>
      <c r="L30" s="1">
        <f>IFERROR(VLOOKUP($A30,East2018[],6,FALSE),VLOOKUP($A30,West2018[],6,FALSE))</f>
        <v>103.9</v>
      </c>
      <c r="M30" s="1">
        <f>IFERROR(VLOOKUP($A30,East2018[],7,FALSE),VLOOKUP($A30,West2018[],7,FALSE))</f>
        <v>113.3</v>
      </c>
      <c r="N30">
        <f>IFERROR(VLOOKUP($A30,East2018[],4,FALSE),VLOOKUP($A30,West2018[],4,FALSE))</f>
        <v>0.25600000000000001</v>
      </c>
      <c r="O30" s="4">
        <f t="shared" si="4"/>
        <v>0.20632641108476638</v>
      </c>
      <c r="P30" s="5">
        <f t="shared" si="5"/>
        <v>4.967358891523363E-2</v>
      </c>
      <c r="Q30" s="1">
        <f>IFERROR(VLOOKUP($A30,East2017[],6,FALSE),VLOOKUP($A30,West2017[],6,FALSE))</f>
        <v>107.7</v>
      </c>
      <c r="R30" s="1">
        <f>IFERROR(VLOOKUP($A30,East2017[],7,FALSE),VLOOKUP($A30,West2017[],7,FALSE))</f>
        <v>113.3</v>
      </c>
      <c r="S30">
        <f>IFERROR(VLOOKUP($A30,East2017[],4,FALSE),VLOOKUP($A30,West2017[],4,FALSE))</f>
        <v>0.29299999999999998</v>
      </c>
      <c r="T30" s="4">
        <f t="shared" si="6"/>
        <v>0.31367990523328287</v>
      </c>
      <c r="U30" s="5">
        <f t="shared" si="7"/>
        <v>-2.0679905233282891E-2</v>
      </c>
      <c r="V30" s="1">
        <f>IFERROR(VLOOKUP($A30,East2016[],6,FALSE),VLOOKUP($A30,West2016[],6,FALSE))</f>
        <v>100.9</v>
      </c>
      <c r="W30" s="1">
        <f>IFERROR(VLOOKUP($A30,East2016[],7,FALSE),VLOOKUP($A30,West2016[],7,FALSE))</f>
        <v>107.5</v>
      </c>
      <c r="X30">
        <f>IFERROR(VLOOKUP($A30,East2016[],4,FALSE),VLOOKUP($A30,West2016[],4,FALSE))</f>
        <v>0.28000000000000003</v>
      </c>
      <c r="Y30" s="4">
        <f t="shared" si="8"/>
        <v>0.27856285198668779</v>
      </c>
      <c r="Z30" s="5">
        <f t="shared" si="9"/>
        <v>1.4371480133122394E-3</v>
      </c>
      <c r="AA30" s="1">
        <f>IFERROR(VLOOKUP($A30,East2015[],6,FALSE),VLOOKUP($A30,West2015[],6,FALSE))</f>
        <v>102.4</v>
      </c>
      <c r="AB30" s="1">
        <f>IFERROR(VLOOKUP($A30,East2015[],7,FALSE),VLOOKUP($A30,West2015[],7,FALSE))</f>
        <v>103.3</v>
      </c>
      <c r="AC30">
        <f>IFERROR(VLOOKUP($A30,East2015[],4,FALSE),VLOOKUP($A30,West2015[],4,FALSE))</f>
        <v>0.47599999999999998</v>
      </c>
      <c r="AD30" s="4">
        <f t="shared" si="10"/>
        <v>0.46803625405786975</v>
      </c>
      <c r="AE30" s="5">
        <f t="shared" si="11"/>
        <v>7.9637459421302292E-3</v>
      </c>
      <c r="AF30" s="1">
        <f>IFERROR(VLOOKUP($A30,East2014[],6,FALSE),VLOOKUP($A30,West2014[],6,FALSE))</f>
        <v>105.2</v>
      </c>
      <c r="AG30" s="1">
        <f>IFERROR(VLOOKUP($A30,East2014[],7,FALSE),VLOOKUP($A30,West2014[],7,FALSE))</f>
        <v>102.6</v>
      </c>
      <c r="AH30">
        <f>IFERROR(VLOOKUP($A30,East2014[],4,FALSE),VLOOKUP($A30,West2014[],4,FALSE))</f>
        <v>0.58499999999999996</v>
      </c>
      <c r="AI30" s="4">
        <f t="shared" si="12"/>
        <v>0.59140697385968355</v>
      </c>
      <c r="AJ30" s="5">
        <f t="shared" si="13"/>
        <v>-6.4069738596835846E-3</v>
      </c>
      <c r="AK30" s="1">
        <f>IFERROR(VLOOKUP($A30,East2013[],6,FALSE),VLOOKUP($A30,West2013[],6,FALSE))</f>
        <v>95.2</v>
      </c>
      <c r="AL30" s="1">
        <f>IFERROR(VLOOKUP($A30,East2013[],7,FALSE),VLOOKUP($A30,West2013[],7,FALSE))</f>
        <v>101.6</v>
      </c>
      <c r="AM30">
        <f>IFERROR(VLOOKUP($A30,East2013[],4,FALSE),VLOOKUP($A30,West2013[],4,FALSE))</f>
        <v>0.30499999999999999</v>
      </c>
      <c r="AN30" s="4">
        <f t="shared" si="14"/>
        <v>0.28210871390014042</v>
      </c>
      <c r="AO30" s="5">
        <f t="shared" si="15"/>
        <v>2.2891286099859576E-2</v>
      </c>
      <c r="AP30" s="1">
        <f>IFERROR(VLOOKUP($A30,East2012[],6,FALSE),VLOOKUP($A30,West2012[],6,FALSE))</f>
        <v>98.4</v>
      </c>
      <c r="AQ30" s="1">
        <f>IFERROR(VLOOKUP($A30,East2012[],7,FALSE),VLOOKUP($A30,West2012[],7,FALSE))</f>
        <v>98.6</v>
      </c>
      <c r="AR30">
        <f>IFERROR(VLOOKUP($A30,East2012[],4,FALSE),VLOOKUP($A30,West2012[],4,FALSE))</f>
        <v>0.5</v>
      </c>
      <c r="AS30" s="4">
        <f t="shared" si="16"/>
        <v>0.49285249616314519</v>
      </c>
      <c r="AT30" s="5">
        <f t="shared" si="17"/>
        <v>7.1475038368548072E-3</v>
      </c>
      <c r="AU30" s="1">
        <f>IFERROR(VLOOKUP($A30,East2011[],6,FALSE),VLOOKUP($A30,West2011[],6,FALSE))</f>
        <v>105</v>
      </c>
      <c r="AV30" s="1">
        <f>IFERROR(VLOOKUP($A30,East2011[],7,FALSE),VLOOKUP($A30,West2011[],7,FALSE))</f>
        <v>105.9</v>
      </c>
      <c r="AW30">
        <f>IFERROR(VLOOKUP($A30,East2011[],4,FALSE),VLOOKUP($A30,West2011[],4,FALSE))</f>
        <v>0.48799999999999999</v>
      </c>
      <c r="AX30" s="4">
        <f t="shared" si="18"/>
        <v>0.46896636200428099</v>
      </c>
      <c r="AY30" s="5">
        <f t="shared" si="19"/>
        <v>1.9033637995718999E-2</v>
      </c>
      <c r="AZ30" s="1">
        <f>IFERROR(VLOOKUP($A30,East2010[],6,FALSE),VLOOKUP($A30,West2010[],6,FALSE))</f>
        <v>110.2</v>
      </c>
      <c r="BA30" s="1">
        <f>IFERROR(VLOOKUP($A30,East2010[],7,FALSE),VLOOKUP($A30,West2010[],7,FALSE))</f>
        <v>105.3</v>
      </c>
      <c r="BB30">
        <f>IFERROR(VLOOKUP($A30,East2010[],4,FALSE),VLOOKUP($A30,West2010[],4,FALSE))</f>
        <v>0.65900000000000003</v>
      </c>
      <c r="BC30" s="4">
        <f t="shared" si="20"/>
        <v>0.66113492662619489</v>
      </c>
      <c r="BD30" s="5">
        <f t="shared" si="21"/>
        <v>-2.1349266261948552E-3</v>
      </c>
      <c r="BE30" s="1">
        <f>IFERROR(VLOOKUP($A30,East2009[],6,FALSE),VLOOKUP($A30,West2009[],6,FALSE))</f>
        <v>109.4</v>
      </c>
      <c r="BF30" s="1">
        <f>IFERROR(VLOOKUP($A30,East2009[],7,FALSE),VLOOKUP($A30,West2009[],7,FALSE))</f>
        <v>107.5</v>
      </c>
      <c r="BG30">
        <f>IFERROR(VLOOKUP($A30,East2009[],4,FALSE),VLOOKUP($A30,West2009[],4,FALSE))</f>
        <v>0.56100000000000005</v>
      </c>
      <c r="BH30" s="4">
        <f t="shared" si="22"/>
        <v>0.56369157279287441</v>
      </c>
      <c r="BI30" s="5">
        <f t="shared" si="23"/>
        <v>-2.6915727928743527E-3</v>
      </c>
      <c r="BJ30" s="1">
        <f>IFERROR(VLOOKUP($A30,East2008[],6,FALSE),VLOOKUP($A30,West2008[],6,FALSE))</f>
        <v>110.1</v>
      </c>
      <c r="BK30" s="1">
        <f>IFERROR(VLOOKUP($A30,East2008[],7,FALSE),VLOOKUP($A30,West2008[],7,FALSE))</f>
        <v>105</v>
      </c>
      <c r="BL30">
        <f>IFERROR(VLOOKUP($A30,East2008[],4,FALSE),VLOOKUP($A30,West2008[],4,FALSE))</f>
        <v>0.67100000000000004</v>
      </c>
      <c r="BM30" s="4">
        <f t="shared" si="24"/>
        <v>0.66669489076726851</v>
      </c>
      <c r="BN30" s="5">
        <f t="shared" si="25"/>
        <v>4.3051092327315299E-3</v>
      </c>
      <c r="BO30" s="1">
        <f>IFERROR(VLOOKUP($A30,East2007[],6,FALSE),VLOOKUP($A30,West2007[],6,FALSE))</f>
        <v>110.2</v>
      </c>
      <c r="BP30" s="1">
        <f>IFERROR(VLOOKUP($A30,East2007[],7,FALSE),VLOOKUP($A30,West2007[],7,FALSE))</f>
        <v>102.9</v>
      </c>
      <c r="BQ30">
        <f>IFERROR(VLOOKUP($A30,East2007[],4,FALSE),VLOOKUP($A30,West2007[],4,FALSE))</f>
        <v>0.74399999999999999</v>
      </c>
      <c r="BR30" s="4">
        <f t="shared" si="26"/>
        <v>0.72907539597485915</v>
      </c>
      <c r="BS30" s="5">
        <f t="shared" si="27"/>
        <v>1.4924604025140842E-2</v>
      </c>
      <c r="BT30" s="1">
        <f>IFERROR(VLOOKUP($A30,East2006[],6,FALSE),VLOOKUP($A30,West2006[],6,FALSE))</f>
        <v>108.4</v>
      </c>
      <c r="BU30" s="1">
        <f>IFERROR(VLOOKUP($A30,East2006[],7,FALSE),VLOOKUP($A30,West2006[],7,FALSE))</f>
        <v>102.8</v>
      </c>
      <c r="BV30">
        <f>IFERROR(VLOOKUP($A30,East2006[],4,FALSE),VLOOKUP($A30,West2006[],4,FALSE))</f>
        <v>0.65900000000000003</v>
      </c>
      <c r="BW30" s="4">
        <f t="shared" si="28"/>
        <v>0.67977605264724905</v>
      </c>
      <c r="BX30" s="5">
        <f t="shared" si="29"/>
        <v>-2.0776052647249021E-2</v>
      </c>
      <c r="BY30" s="1">
        <f>IFERROR(VLOOKUP($A30,East2005[],6,FALSE),VLOOKUP($A30,West2005[],6,FALSE))</f>
        <v>110.4</v>
      </c>
      <c r="BZ30" s="1">
        <f>IFERROR(VLOOKUP($A30,East2005[],7,FALSE),VLOOKUP($A30,West2005[],7,FALSE))</f>
        <v>103.3</v>
      </c>
      <c r="CA30">
        <f>IFERROR(VLOOKUP($A30,East2005[],4,FALSE),VLOOKUP($A30,West2005[],4,FALSE))</f>
        <v>0.75600000000000001</v>
      </c>
      <c r="CB30" s="4">
        <f t="shared" si="30"/>
        <v>0.72013484786528192</v>
      </c>
      <c r="CC30" s="5">
        <f t="shared" si="31"/>
        <v>3.5865152134718081E-2</v>
      </c>
      <c r="CD30" s="1">
        <f>IFERROR(VLOOKUP($A30,East2004[],6,FALSE),VLOOKUP($A30,West2004[],6,FALSE))</f>
        <v>94.2</v>
      </c>
      <c r="CE30" s="1">
        <f>IFERROR(VLOOKUP($A30,East2004[],7,FALSE),VLOOKUP($A30,West2004[],7,FALSE))</f>
        <v>97.9</v>
      </c>
      <c r="CF30">
        <f>IFERROR(VLOOKUP($A30,East2004[],4,FALSE),VLOOKUP($A30,West2004[],4,FALSE))</f>
        <v>0.35399999999999998</v>
      </c>
      <c r="CG30" s="4">
        <f t="shared" si="32"/>
        <v>0.37135882714711421</v>
      </c>
      <c r="CH30" s="5">
        <f t="shared" si="33"/>
        <v>-1.7358827147114231E-2</v>
      </c>
      <c r="CI30" s="1">
        <f>IFERROR(VLOOKUP($A30,East2003[],6,FALSE),VLOOKUP($A30,West2003[],6,FALSE))</f>
        <v>95.5</v>
      </c>
      <c r="CJ30" s="1">
        <f>IFERROR(VLOOKUP($A30,East2003[],7,FALSE),VLOOKUP($A30,West2003[],7,FALSE))</f>
        <v>94.4</v>
      </c>
      <c r="CK30">
        <f>IFERROR(VLOOKUP($A30,East2003[],4,FALSE),VLOOKUP($A30,West2003[],4,FALSE))</f>
        <v>0.53700000000000003</v>
      </c>
      <c r="CL30" s="4">
        <f t="shared" si="34"/>
        <v>0.54019853363694115</v>
      </c>
      <c r="CM30" s="5">
        <f t="shared" si="35"/>
        <v>-3.1985336369411144E-3</v>
      </c>
    </row>
    <row r="31" spans="1:91" x14ac:dyDescent="0.25">
      <c r="A31" s="1" t="s">
        <v>160</v>
      </c>
      <c r="B31" s="1">
        <f>IFERROR(VLOOKUP(A31,East2020[],6,FALSE),VLOOKUP(A31,West2020[],6,FALSE))</f>
        <v>115</v>
      </c>
      <c r="C31" s="1">
        <f>IFERROR(VLOOKUP(A31,East2020[],7,FALSE),VLOOKUP(A31,West2020[],7,FALSE))</f>
        <v>116.1</v>
      </c>
      <c r="D31">
        <f>IFERROR(VLOOKUP(A31,East2020[],4,FALSE),VLOOKUP(A31,West2020[],4,FALSE))</f>
        <v>0.47299999999999998</v>
      </c>
      <c r="E31" s="4">
        <f t="shared" si="0"/>
        <v>0.46116876662493234</v>
      </c>
      <c r="F31" s="5">
        <f t="shared" si="1"/>
        <v>1.183123337506764E-2</v>
      </c>
      <c r="G31" s="1">
        <f>IFERROR(VLOOKUP($A31,East2019[],6,FALSE),VLOOKUP($A31,West2019[],6,FALSE))</f>
        <v>114.7</v>
      </c>
      <c r="H31" s="1">
        <f>IFERROR(VLOOKUP($A31,East2019[],7,FALSE),VLOOKUP($A31,West2019[],7,FALSE))</f>
        <v>110.5</v>
      </c>
      <c r="I31">
        <f>IFERROR(VLOOKUP($A31,East2019[],4,FALSE),VLOOKUP($A31,West2019[],4,FALSE))</f>
        <v>0.64600000000000002</v>
      </c>
      <c r="J31" s="4">
        <f t="shared" si="2"/>
        <v>0.64721213642051811</v>
      </c>
      <c r="K31" s="5">
        <f t="shared" si="3"/>
        <v>-1.2121364205180951E-3</v>
      </c>
      <c r="L31" s="1">
        <f>IFERROR(VLOOKUP($A31,East2018[],6,FALSE),VLOOKUP($A31,West2018[],6,FALSE))</f>
        <v>105.6</v>
      </c>
      <c r="M31" s="1">
        <f>IFERROR(VLOOKUP($A31,East2018[],7,FALSE),VLOOKUP($A31,West2018[],7,FALSE))</f>
        <v>103</v>
      </c>
      <c r="N31">
        <f>IFERROR(VLOOKUP($A31,East2018[],4,FALSE),VLOOKUP($A31,West2018[],4,FALSE))</f>
        <v>0.59799999999999998</v>
      </c>
      <c r="O31" s="4">
        <f t="shared" si="4"/>
        <v>0.59574664883950357</v>
      </c>
      <c r="P31" s="5">
        <f t="shared" si="5"/>
        <v>2.2533511604964085E-3</v>
      </c>
      <c r="Q31" s="1">
        <f>IFERROR(VLOOKUP($A31,East2017[],6,FALSE),VLOOKUP($A31,West2017[],6,FALSE))</f>
        <v>107.9</v>
      </c>
      <c r="R31" s="1">
        <f>IFERROR(VLOOKUP($A31,East2017[],7,FALSE),VLOOKUP($A31,West2017[],7,FALSE))</f>
        <v>108.5</v>
      </c>
      <c r="S31">
        <f>IFERROR(VLOOKUP($A31,East2017[],4,FALSE),VLOOKUP($A31,West2017[],4,FALSE))</f>
        <v>0.5</v>
      </c>
      <c r="T31" s="4">
        <f t="shared" si="6"/>
        <v>0.47859936350842297</v>
      </c>
      <c r="U31" s="5">
        <f t="shared" si="7"/>
        <v>2.140063649157703E-2</v>
      </c>
      <c r="V31" s="1">
        <f>IFERROR(VLOOKUP($A31,East2016[],6,FALSE),VLOOKUP($A31,West2016[],6,FALSE))</f>
        <v>105.1</v>
      </c>
      <c r="W31" s="1">
        <f>IFERROR(VLOOKUP($A31,East2016[],7,FALSE),VLOOKUP($A31,West2016[],7,FALSE))</f>
        <v>104.3</v>
      </c>
      <c r="X31">
        <f>IFERROR(VLOOKUP($A31,East2016[],4,FALSE),VLOOKUP($A31,West2016[],4,FALSE))</f>
        <v>0.53700000000000003</v>
      </c>
      <c r="Y31" s="4">
        <f t="shared" si="8"/>
        <v>0.52865780005739949</v>
      </c>
      <c r="Z31" s="5">
        <f t="shared" si="9"/>
        <v>8.3421999426005478E-3</v>
      </c>
      <c r="AA31" s="1">
        <f>IFERROR(VLOOKUP($A31,East2015[],6,FALSE),VLOOKUP($A31,West2015[],6,FALSE))</f>
        <v>102.8</v>
      </c>
      <c r="AB31" s="1">
        <f>IFERROR(VLOOKUP($A31,East2015[],7,FALSE),VLOOKUP($A31,West2015[],7,FALSE))</f>
        <v>98.6</v>
      </c>
      <c r="AC31">
        <f>IFERROR(VLOOKUP($A31,East2015[],4,FALSE),VLOOKUP($A31,West2015[],4,FALSE))</f>
        <v>0.622</v>
      </c>
      <c r="AD31" s="4">
        <f t="shared" si="10"/>
        <v>0.64801204083588371</v>
      </c>
      <c r="AE31" s="5">
        <f t="shared" si="11"/>
        <v>-2.601204083588371E-2</v>
      </c>
      <c r="AF31" s="1">
        <f>IFERROR(VLOOKUP($A31,East2014[],6,FALSE),VLOOKUP($A31,West2014[],6,FALSE))</f>
        <v>106.7</v>
      </c>
      <c r="AG31" s="1">
        <f>IFERROR(VLOOKUP($A31,East2014[],7,FALSE),VLOOKUP($A31,West2014[],7,FALSE))</f>
        <v>102.8</v>
      </c>
      <c r="AH31">
        <f>IFERROR(VLOOKUP($A31,East2014[],4,FALSE),VLOOKUP($A31,West2014[],4,FALSE))</f>
        <v>0.65900000000000003</v>
      </c>
      <c r="AI31" s="4">
        <f t="shared" si="12"/>
        <v>0.63418455932235029</v>
      </c>
      <c r="AJ31" s="5">
        <f t="shared" si="13"/>
        <v>2.4815440677649736E-2</v>
      </c>
      <c r="AK31" s="1">
        <f>IFERROR(VLOOKUP($A31,East2013[],6,FALSE),VLOOKUP($A31,West2013[],6,FALSE))</f>
        <v>97.5</v>
      </c>
      <c r="AL31" s="1">
        <f>IFERROR(VLOOKUP($A31,East2013[],7,FALSE),VLOOKUP($A31,West2013[],7,FALSE))</f>
        <v>100.7</v>
      </c>
      <c r="AM31">
        <f>IFERROR(VLOOKUP($A31,East2013[],4,FALSE),VLOOKUP($A31,West2013[],4,FALSE))</f>
        <v>0.40200000000000002</v>
      </c>
      <c r="AN31" s="4">
        <f t="shared" si="14"/>
        <v>0.38613433073753678</v>
      </c>
      <c r="AO31" s="5">
        <f t="shared" si="15"/>
        <v>1.5865669262463244E-2</v>
      </c>
      <c r="AP31" s="1">
        <f>IFERROR(VLOOKUP($A31,East2012[],6,FALSE),VLOOKUP($A31,West2012[],6,FALSE))</f>
        <v>97.2</v>
      </c>
      <c r="AQ31" s="1">
        <f>IFERROR(VLOOKUP($A31,East2012[],7,FALSE),VLOOKUP($A31,West2012[],7,FALSE))</f>
        <v>97.8</v>
      </c>
      <c r="AR31">
        <f>IFERROR(VLOOKUP($A31,East2012[],4,FALSE),VLOOKUP($A31,West2012[],4,FALSE))</f>
        <v>0.42399999999999999</v>
      </c>
      <c r="AS31" s="4">
        <f t="shared" si="16"/>
        <v>0.47834957513130022</v>
      </c>
      <c r="AT31" s="5">
        <f t="shared" si="17"/>
        <v>-5.4349575131300232E-2</v>
      </c>
      <c r="AU31" s="1">
        <f>IFERROR(VLOOKUP($A31,East2011[],6,FALSE),VLOOKUP($A31,West2011[],6,FALSE))</f>
        <v>96.3</v>
      </c>
      <c r="AV31" s="1">
        <f>IFERROR(VLOOKUP($A31,East2011[],7,FALSE),VLOOKUP($A31,West2011[],7,FALSE))</f>
        <v>94.8</v>
      </c>
      <c r="AW31">
        <f>IFERROR(VLOOKUP($A31,East2011[],4,FALSE),VLOOKUP($A31,West2011[],4,FALSE))</f>
        <v>0.58499999999999996</v>
      </c>
      <c r="AX31" s="4">
        <f t="shared" si="18"/>
        <v>0.55690839012291138</v>
      </c>
      <c r="AY31" s="5">
        <f t="shared" si="19"/>
        <v>2.8091609877088586E-2</v>
      </c>
      <c r="AZ31" s="1">
        <f>IFERROR(VLOOKUP($A31,East2010[],6,FALSE),VLOOKUP($A31,West2010[],6,FALSE))</f>
        <v>98.1</v>
      </c>
      <c r="BA31" s="1">
        <f>IFERROR(VLOOKUP($A31,East2010[],7,FALSE),VLOOKUP($A31,West2010[],7,FALSE))</f>
        <v>94.8</v>
      </c>
      <c r="BB31">
        <f>IFERROR(VLOOKUP($A31,East2010[],4,FALSE),VLOOKUP($A31,West2010[],4,FALSE))</f>
        <v>0.61</v>
      </c>
      <c r="BC31" s="4">
        <f t="shared" si="20"/>
        <v>0.62312063765613102</v>
      </c>
      <c r="BD31" s="5">
        <f t="shared" si="21"/>
        <v>-1.3120637656131029E-2</v>
      </c>
      <c r="BE31" s="1">
        <f>IFERROR(VLOOKUP($A31,East2009[],6,FALSE),VLOOKUP($A31,West2009[],6,FALSE))</f>
        <v>99.4</v>
      </c>
      <c r="BF31" s="1">
        <f>IFERROR(VLOOKUP($A31,East2009[],7,FALSE),VLOOKUP($A31,West2009[],7,FALSE))</f>
        <v>94.1</v>
      </c>
      <c r="BG31">
        <f>IFERROR(VLOOKUP($A31,East2009[],4,FALSE),VLOOKUP($A31,West2009[],4,FALSE))</f>
        <v>0.65900000000000003</v>
      </c>
      <c r="BH31" s="4">
        <f t="shared" si="22"/>
        <v>0.69021735335267509</v>
      </c>
      <c r="BI31" s="5">
        <f t="shared" si="23"/>
        <v>-3.1217353352675059E-2</v>
      </c>
      <c r="BJ31" s="1">
        <f>IFERROR(VLOOKUP($A31,East2008[],6,FALSE),VLOOKUP($A31,West2008[],6,FALSE))</f>
        <v>95.4</v>
      </c>
      <c r="BK31" s="1">
        <f>IFERROR(VLOOKUP($A31,East2008[],7,FALSE),VLOOKUP($A31,West2008[],7,FALSE))</f>
        <v>96.3</v>
      </c>
      <c r="BL31">
        <f>IFERROR(VLOOKUP($A31,East2008[],4,FALSE),VLOOKUP($A31,West2008[],4,FALSE))</f>
        <v>0.5</v>
      </c>
      <c r="BM31" s="4">
        <f t="shared" si="24"/>
        <v>0.46574086125523212</v>
      </c>
      <c r="BN31" s="5">
        <f t="shared" si="25"/>
        <v>3.4259138744767881E-2</v>
      </c>
      <c r="BO31" s="1">
        <f>IFERROR(VLOOKUP($A31,East2007[],6,FALSE),VLOOKUP($A31,West2007[],6,FALSE))</f>
        <v>94.1</v>
      </c>
      <c r="BP31" s="1">
        <f>IFERROR(VLOOKUP($A31,East2007[],7,FALSE),VLOOKUP($A31,West2007[],7,FALSE))</f>
        <v>98.4</v>
      </c>
      <c r="BQ31">
        <f>IFERROR(VLOOKUP($A31,East2007[],4,FALSE),VLOOKUP($A31,West2007[],4,FALSE))</f>
        <v>0.39</v>
      </c>
      <c r="BR31" s="4">
        <f t="shared" si="26"/>
        <v>0.3440339246141515</v>
      </c>
      <c r="BS31" s="5">
        <f t="shared" si="27"/>
        <v>4.5966075385848515E-2</v>
      </c>
      <c r="BT31" s="1">
        <f>IFERROR(VLOOKUP($A31,East2006[],6,FALSE),VLOOKUP($A31,West2006[],6,FALSE))</f>
        <v>88.8</v>
      </c>
      <c r="BU31" s="1">
        <f>IFERROR(VLOOKUP($A31,East2006[],7,FALSE),VLOOKUP($A31,West2006[],7,FALSE))</f>
        <v>98.3</v>
      </c>
      <c r="BV31">
        <f>IFERROR(VLOOKUP($A31,East2006[],4,FALSE),VLOOKUP($A31,West2006[],4,FALSE))</f>
        <v>0.25600000000000001</v>
      </c>
      <c r="BW31" s="4">
        <f t="shared" si="28"/>
        <v>0.19117990570187948</v>
      </c>
      <c r="BX31" s="5">
        <f t="shared" si="29"/>
        <v>6.4820094298120523E-2</v>
      </c>
      <c r="BY31" s="1">
        <f>IFERROR(VLOOKUP($A31,East2005[],6,FALSE),VLOOKUP($A31,West2005[],6,FALSE))</f>
        <v>92.9</v>
      </c>
      <c r="BZ31" s="1">
        <f>IFERROR(VLOOKUP($A31,East2005[],7,FALSE),VLOOKUP($A31,West2005[],7,FALSE))</f>
        <v>96.9</v>
      </c>
      <c r="CA31">
        <f>IFERROR(VLOOKUP($A31,East2005[],4,FALSE),VLOOKUP($A31,West2005[],4,FALSE))</f>
        <v>0.32900000000000001</v>
      </c>
      <c r="CB31" s="4">
        <f t="shared" si="30"/>
        <v>0.35448430010316001</v>
      </c>
      <c r="CC31" s="5">
        <f t="shared" si="31"/>
        <v>-2.5484300103159996E-2</v>
      </c>
      <c r="CD31" s="1">
        <f>IFERROR(VLOOKUP($A31,East2004[],6,FALSE),VLOOKUP($A31,West2004[],6,FALSE))</f>
        <v>90.7</v>
      </c>
      <c r="CE31" s="1">
        <f>IFERROR(VLOOKUP($A31,East2004[],7,FALSE),VLOOKUP($A31,West2004[],7,FALSE))</f>
        <v>92</v>
      </c>
      <c r="CF31">
        <f>IFERROR(VLOOKUP($A31,East2004[],4,FALSE),VLOOKUP($A31,West2004[],4,FALSE))</f>
        <v>0.5</v>
      </c>
      <c r="CG31" s="4">
        <f t="shared" si="32"/>
        <v>0.4515417304954551</v>
      </c>
      <c r="CH31" s="5">
        <f t="shared" si="33"/>
        <v>4.8458269504544904E-2</v>
      </c>
      <c r="CI31" s="1">
        <f>IFERROR(VLOOKUP($A31,East2003[],6,FALSE),VLOOKUP($A31,West2003[],6,FALSE))</f>
        <v>95.2</v>
      </c>
      <c r="CJ31" s="1">
        <f>IFERROR(VLOOKUP($A31,East2003[],7,FALSE),VLOOKUP($A31,West2003[],7,FALSE))</f>
        <v>92.5</v>
      </c>
      <c r="CK31">
        <f>IFERROR(VLOOKUP($A31,East2003[],4,FALSE),VLOOKUP($A31,West2003[],4,FALSE))</f>
        <v>0.61</v>
      </c>
      <c r="CL31" s="4">
        <f t="shared" si="34"/>
        <v>0.59873312885665031</v>
      </c>
      <c r="CM31" s="5">
        <f t="shared" si="35"/>
        <v>1.1266871143349677E-2</v>
      </c>
    </row>
    <row r="32" spans="1:91" x14ac:dyDescent="0.25">
      <c r="A32" s="1" t="s">
        <v>167</v>
      </c>
      <c r="B32" s="1">
        <f>IFERROR(VLOOKUP(A32,East2020[],6,FALSE),VLOOKUP(A32,West2020[],6,FALSE))</f>
        <v>110.1</v>
      </c>
      <c r="C32" s="1">
        <f>IFERROR(VLOOKUP(A32,East2020[],7,FALSE),VLOOKUP(A32,West2020[],7,FALSE))</f>
        <v>112.1</v>
      </c>
      <c r="D32">
        <f>IFERROR(VLOOKUP(A32,East2020[],4,FALSE),VLOOKUP(A32,West2020[],4,FALSE))</f>
        <v>0.43099999999999999</v>
      </c>
      <c r="E32" s="4">
        <f t="shared" si="0"/>
        <v>0.42694684115584824</v>
      </c>
      <c r="F32" s="5">
        <f t="shared" si="1"/>
        <v>4.0531588441517497E-3</v>
      </c>
      <c r="G32" s="1">
        <f>IFERROR(VLOOKUP($A32,East2019[],6,FALSE),VLOOKUP($A32,West2019[],6,FALSE))</f>
        <v>114.2</v>
      </c>
      <c r="H32" s="1">
        <f>IFERROR(VLOOKUP($A32,East2019[],7,FALSE),VLOOKUP($A32,West2019[],7,FALSE))</f>
        <v>115.3</v>
      </c>
      <c r="I32">
        <f>IFERROR(VLOOKUP($A32,East2019[],4,FALSE),VLOOKUP($A32,West2019[],4,FALSE))</f>
        <v>0.47599999999999998</v>
      </c>
      <c r="J32" s="4">
        <f t="shared" si="2"/>
        <v>0.46109601754789353</v>
      </c>
      <c r="K32" s="5">
        <f t="shared" si="3"/>
        <v>1.4903982452106446E-2</v>
      </c>
      <c r="L32" s="1">
        <f>IFERROR(VLOOKUP($A32,East2018[],6,FALSE),VLOOKUP($A32,West2018[],6,FALSE))</f>
        <v>98.8</v>
      </c>
      <c r="M32" s="1">
        <f>IFERROR(VLOOKUP($A32,East2018[],7,FALSE),VLOOKUP($A32,West2018[],7,FALSE))</f>
        <v>105.8</v>
      </c>
      <c r="N32">
        <f>IFERROR(VLOOKUP($A32,East2018[],4,FALSE),VLOOKUP($A32,West2018[],4,FALSE))</f>
        <v>0.32900000000000001</v>
      </c>
      <c r="O32" s="4">
        <f t="shared" si="4"/>
        <v>0.25639757302158361</v>
      </c>
      <c r="P32" s="5">
        <f t="shared" si="5"/>
        <v>7.2602426978416401E-2</v>
      </c>
      <c r="Q32" s="1">
        <f>IFERROR(VLOOKUP($A32,East2017[],6,FALSE),VLOOKUP($A32,West2017[],6,FALSE))</f>
        <v>102.8</v>
      </c>
      <c r="R32" s="1">
        <f>IFERROR(VLOOKUP($A32,East2017[],7,FALSE),VLOOKUP($A32,West2017[],7,FALSE))</f>
        <v>106.7</v>
      </c>
      <c r="S32">
        <f>IFERROR(VLOOKUP($A32,East2017[],4,FALSE),VLOOKUP($A32,West2017[],4,FALSE))</f>
        <v>0.39</v>
      </c>
      <c r="T32" s="4">
        <f t="shared" si="6"/>
        <v>0.3600473209859445</v>
      </c>
      <c r="U32" s="5">
        <f t="shared" si="7"/>
        <v>2.9952679014055517E-2</v>
      </c>
      <c r="V32" s="1">
        <f>IFERROR(VLOOKUP($A32,East2016[],6,FALSE),VLOOKUP($A32,West2016[],6,FALSE))</f>
        <v>106.6</v>
      </c>
      <c r="W32" s="1">
        <f>IFERROR(VLOOKUP($A32,East2016[],7,FALSE),VLOOKUP($A32,West2016[],7,FALSE))</f>
        <v>109.1</v>
      </c>
      <c r="X32">
        <f>IFERROR(VLOOKUP($A32,East2016[],4,FALSE),VLOOKUP($A32,West2016[],4,FALSE))</f>
        <v>0.40200000000000002</v>
      </c>
      <c r="Y32" s="4">
        <f t="shared" si="8"/>
        <v>0.41382983525848677</v>
      </c>
      <c r="Z32" s="5">
        <f t="shared" si="9"/>
        <v>-1.1829835258486743E-2</v>
      </c>
      <c r="AA32" s="1">
        <f>IFERROR(VLOOKUP($A32,East2015[],6,FALSE),VLOOKUP($A32,West2015[],6,FALSE))</f>
        <v>101.3</v>
      </c>
      <c r="AB32" s="1">
        <f>IFERROR(VLOOKUP($A32,East2015[],7,FALSE),VLOOKUP($A32,West2015[],7,FALSE))</f>
        <v>105</v>
      </c>
      <c r="AC32">
        <f>IFERROR(VLOOKUP($A32,East2015[],4,FALSE),VLOOKUP($A32,West2015[],4,FALSE))</f>
        <v>0.35399999999999998</v>
      </c>
      <c r="AD32" s="4">
        <f t="shared" si="10"/>
        <v>0.37171511598297857</v>
      </c>
      <c r="AE32" s="5">
        <f t="shared" si="11"/>
        <v>-1.7715115982978591E-2</v>
      </c>
      <c r="AF32" s="1">
        <f>IFERROR(VLOOKUP($A32,East2014[],6,FALSE),VLOOKUP($A32,West2014[],6,FALSE))</f>
        <v>100.5</v>
      </c>
      <c r="AG32" s="1">
        <f>IFERROR(VLOOKUP($A32,East2014[],7,FALSE),VLOOKUP($A32,West2014[],7,FALSE))</f>
        <v>103.4</v>
      </c>
      <c r="AH32">
        <f>IFERROR(VLOOKUP($A32,East2014[],4,FALSE),VLOOKUP($A32,West2014[],4,FALSE))</f>
        <v>0.34100000000000003</v>
      </c>
      <c r="AI32" s="4">
        <f t="shared" si="12"/>
        <v>0.39643356284939935</v>
      </c>
      <c r="AJ32" s="5">
        <f t="shared" si="13"/>
        <v>-5.543356284939932E-2</v>
      </c>
      <c r="AK32" s="1">
        <f>IFERROR(VLOOKUP($A32,East2013[],6,FALSE),VLOOKUP($A32,West2013[],6,FALSE))</f>
        <v>100.2</v>
      </c>
      <c r="AL32" s="1">
        <f>IFERROR(VLOOKUP($A32,East2013[],7,FALSE),VLOOKUP($A32,West2013[],7,FALSE))</f>
        <v>105.1</v>
      </c>
      <c r="AM32">
        <f>IFERROR(VLOOKUP($A32,East2013[],4,FALSE),VLOOKUP($A32,West2013[],4,FALSE))</f>
        <v>0.34100000000000003</v>
      </c>
      <c r="AN32" s="4">
        <f t="shared" si="14"/>
        <v>0.33505845919791571</v>
      </c>
      <c r="AO32" s="5">
        <f t="shared" si="15"/>
        <v>5.9415408020843108E-3</v>
      </c>
      <c r="AP32" s="1">
        <f>IFERROR(VLOOKUP($A32,East2012[],6,FALSE),VLOOKUP($A32,West2012[],6,FALSE))</f>
        <v>98.8</v>
      </c>
      <c r="AQ32" s="1">
        <f>IFERROR(VLOOKUP($A32,East2012[],7,FALSE),VLOOKUP($A32,West2012[],7,FALSE))</f>
        <v>104.4</v>
      </c>
      <c r="AR32">
        <f>IFERROR(VLOOKUP($A32,East2012[],4,FALSE),VLOOKUP($A32,West2012[],4,FALSE))</f>
        <v>0.33300000000000002</v>
      </c>
      <c r="AS32" s="4">
        <f t="shared" si="16"/>
        <v>0.31510830945701196</v>
      </c>
      <c r="AT32" s="5">
        <f t="shared" si="17"/>
        <v>1.7891690542988059E-2</v>
      </c>
      <c r="AU32" s="1">
        <f>IFERROR(VLOOKUP($A32,East2011[],6,FALSE),VLOOKUP($A32,West2011[],6,FALSE))</f>
        <v>99.4</v>
      </c>
      <c r="AV32" s="1">
        <f>IFERROR(VLOOKUP($A32,East2011[],7,FALSE),VLOOKUP($A32,West2011[],7,FALSE))</f>
        <v>104.7</v>
      </c>
      <c r="AW32">
        <f>IFERROR(VLOOKUP($A32,East2011[],4,FALSE),VLOOKUP($A32,West2011[],4,FALSE))</f>
        <v>0.29299999999999998</v>
      </c>
      <c r="AX32" s="4">
        <f t="shared" si="18"/>
        <v>0.31940500335509703</v>
      </c>
      <c r="AY32" s="5">
        <f t="shared" si="19"/>
        <v>-2.6405003355097045E-2</v>
      </c>
      <c r="AZ32" s="1">
        <f>IFERROR(VLOOKUP($A32,East2010[],6,FALSE),VLOOKUP($A32,West2010[],6,FALSE))</f>
        <v>100</v>
      </c>
      <c r="BA32" s="1">
        <f>IFERROR(VLOOKUP($A32,East2010[],7,FALSE),VLOOKUP($A32,West2010[],7,FALSE))</f>
        <v>104.4</v>
      </c>
      <c r="BB32">
        <f>IFERROR(VLOOKUP($A32,East2010[],4,FALSE),VLOOKUP($A32,West2010[],4,FALSE))</f>
        <v>0.30499999999999999</v>
      </c>
      <c r="BC32" s="4">
        <f t="shared" si="20"/>
        <v>0.34689026064870621</v>
      </c>
      <c r="BD32" s="5">
        <f t="shared" si="21"/>
        <v>-4.1890260648706212E-2</v>
      </c>
      <c r="BE32" s="1">
        <f>IFERROR(VLOOKUP($A32,East2009[],6,FALSE),VLOOKUP($A32,West2009[],6,FALSE))</f>
        <v>100.6</v>
      </c>
      <c r="BF32" s="1">
        <f>IFERROR(VLOOKUP($A32,East2009[],7,FALSE),VLOOKUP($A32,West2009[],7,FALSE))</f>
        <v>109.3</v>
      </c>
      <c r="BG32">
        <f>IFERROR(VLOOKUP($A32,East2009[],4,FALSE),VLOOKUP($A32,West2009[],4,FALSE))</f>
        <v>0.20699999999999999</v>
      </c>
      <c r="BH32" s="4">
        <f t="shared" si="22"/>
        <v>0.22922128080278151</v>
      </c>
      <c r="BI32" s="5">
        <f t="shared" si="23"/>
        <v>-2.2221280802781518E-2</v>
      </c>
      <c r="BJ32" s="1">
        <f>IFERROR(VLOOKUP($A32,East2008[],6,FALSE),VLOOKUP($A32,West2008[],6,FALSE))</f>
        <v>102.5</v>
      </c>
      <c r="BK32" s="1">
        <f>IFERROR(VLOOKUP($A32,East2008[],7,FALSE),VLOOKUP($A32,West2008[],7,FALSE))</f>
        <v>104.8</v>
      </c>
      <c r="BL32">
        <f>IFERROR(VLOOKUP($A32,East2008[],4,FALSE),VLOOKUP($A32,West2008[],4,FALSE))</f>
        <v>0.46300000000000002</v>
      </c>
      <c r="BM32" s="4">
        <f t="shared" si="24"/>
        <v>0.41961119955107168</v>
      </c>
      <c r="BN32" s="5">
        <f t="shared" si="25"/>
        <v>4.3388800448928344E-2</v>
      </c>
      <c r="BO32" s="1">
        <f>IFERROR(VLOOKUP($A32,East2007[],6,FALSE),VLOOKUP($A32,West2007[],6,FALSE))</f>
        <v>101.3</v>
      </c>
      <c r="BP32" s="1">
        <f>IFERROR(VLOOKUP($A32,East2007[],7,FALSE),VLOOKUP($A32,West2007[],7,FALSE))</f>
        <v>103.1</v>
      </c>
      <c r="BQ32">
        <f>IFERROR(VLOOKUP($A32,East2007[],4,FALSE),VLOOKUP($A32,West2007[],4,FALSE))</f>
        <v>0.40200000000000002</v>
      </c>
      <c r="BR32" s="4">
        <f t="shared" si="26"/>
        <v>0.43674315150623222</v>
      </c>
      <c r="BS32" s="5">
        <f t="shared" si="27"/>
        <v>-3.4743151506232195E-2</v>
      </c>
      <c r="BT32" s="1">
        <f>IFERROR(VLOOKUP($A32,East2006[],6,FALSE),VLOOKUP($A32,West2006[],6,FALSE))</f>
        <v>98.9</v>
      </c>
      <c r="BU32" s="1">
        <f>IFERROR(VLOOKUP($A32,East2006[],7,FALSE),VLOOKUP($A32,West2006[],7,FALSE))</f>
        <v>97.3</v>
      </c>
      <c r="BV32">
        <f>IFERROR(VLOOKUP($A32,East2006[],4,FALSE),VLOOKUP($A32,West2006[],4,FALSE))</f>
        <v>0.53700000000000003</v>
      </c>
      <c r="BW32" s="4">
        <f t="shared" si="28"/>
        <v>0.55760874427888885</v>
      </c>
      <c r="BX32" s="5">
        <f t="shared" si="29"/>
        <v>-2.0608744278888813E-2</v>
      </c>
      <c r="BY32" s="1">
        <f>IFERROR(VLOOKUP($A32,East2005[],6,FALSE),VLOOKUP($A32,West2005[],6,FALSE))</f>
        <v>103.7</v>
      </c>
      <c r="BZ32" s="1">
        <f>IFERROR(VLOOKUP($A32,East2005[],7,FALSE),VLOOKUP($A32,West2005[],7,FALSE))</f>
        <v>101.6</v>
      </c>
      <c r="CA32">
        <f>IFERROR(VLOOKUP($A32,East2005[],4,FALSE),VLOOKUP($A32,West2005[],4,FALSE))</f>
        <v>0.61</v>
      </c>
      <c r="CB32" s="4">
        <f t="shared" si="30"/>
        <v>0.57221315685201657</v>
      </c>
      <c r="CC32" s="5">
        <f t="shared" si="31"/>
        <v>3.7786843147983418E-2</v>
      </c>
      <c r="CD32" s="1">
        <f>IFERROR(VLOOKUP($A32,East2004[],6,FALSE),VLOOKUP($A32,West2004[],6,FALSE))</f>
        <v>102.8</v>
      </c>
      <c r="CE32" s="1">
        <f>IFERROR(VLOOKUP($A32,East2004[],7,FALSE),VLOOKUP($A32,West2004[],7,FALSE))</f>
        <v>97.8</v>
      </c>
      <c r="CF32">
        <f>IFERROR(VLOOKUP($A32,East2004[],4,FALSE),VLOOKUP($A32,West2004[],4,FALSE))</f>
        <v>0.67100000000000004</v>
      </c>
      <c r="CG32" s="4">
        <f t="shared" si="32"/>
        <v>0.66401888570133039</v>
      </c>
      <c r="CH32" s="5">
        <f t="shared" si="33"/>
        <v>6.981114298669655E-3</v>
      </c>
      <c r="CI32" s="1">
        <f>IFERROR(VLOOKUP($A32,East2003[],6,FALSE),VLOOKUP($A32,West2003[],6,FALSE))</f>
        <v>101.7</v>
      </c>
      <c r="CJ32" s="1">
        <f>IFERROR(VLOOKUP($A32,East2003[],7,FALSE),VLOOKUP($A32,West2003[],7,FALSE))</f>
        <v>95.2</v>
      </c>
      <c r="CK32">
        <f>IFERROR(VLOOKUP($A32,East2003[],4,FALSE),VLOOKUP($A32,West2003[],4,FALSE))</f>
        <v>0.72</v>
      </c>
      <c r="CL32" s="4">
        <f t="shared" si="34"/>
        <v>0.71477185609051574</v>
      </c>
      <c r="CM32" s="5">
        <f t="shared" si="35"/>
        <v>5.2281439094842286E-3</v>
      </c>
    </row>
    <row r="33" spans="1:91" x14ac:dyDescent="0.25">
      <c r="A33" s="1" t="s">
        <v>165</v>
      </c>
      <c r="B33" s="1">
        <f>IFERROR(VLOOKUP(A33,East2020[],6,FALSE),VLOOKUP(A33,West2020[],6,FALSE))</f>
        <v>114.1</v>
      </c>
      <c r="C33" s="1">
        <f>IFERROR(VLOOKUP(A33,East2020[],7,FALSE),VLOOKUP(A33,West2020[],7,FALSE))</f>
        <v>115.2</v>
      </c>
      <c r="D33">
        <f>IFERROR(VLOOKUP(A33,East2020[],4,FALSE),VLOOKUP(A33,West2020[],4,FALSE))</f>
        <v>0.45100000000000001</v>
      </c>
      <c r="E33" s="4">
        <f t="shared" si="0"/>
        <v>0.46086517926341497</v>
      </c>
      <c r="F33" s="5">
        <f t="shared" si="1"/>
        <v>-9.8651792634149582E-3</v>
      </c>
      <c r="G33" s="1">
        <f>IFERROR(VLOOKUP($A33,East2019[],6,FALSE),VLOOKUP($A33,West2019[],6,FALSE))</f>
        <v>111.7</v>
      </c>
      <c r="H33" s="1">
        <f>IFERROR(VLOOKUP($A33,East2019[],7,FALSE),VLOOKUP($A33,West2019[],7,FALSE))</f>
        <v>110</v>
      </c>
      <c r="I33">
        <f>IFERROR(VLOOKUP($A33,East2019[],4,FALSE),VLOOKUP($A33,West2019[],4,FALSE))</f>
        <v>0.58499999999999996</v>
      </c>
      <c r="J33" s="4">
        <f t="shared" si="2"/>
        <v>0.5620450373768634</v>
      </c>
      <c r="K33" s="5">
        <f t="shared" si="3"/>
        <v>2.2954962623136566E-2</v>
      </c>
      <c r="L33" s="1">
        <f>IFERROR(VLOOKUP($A33,East2018[],6,FALSE),VLOOKUP($A33,West2018[],6,FALSE))</f>
        <v>102.7</v>
      </c>
      <c r="M33" s="1">
        <f>IFERROR(VLOOKUP($A33,East2018[],7,FALSE),VLOOKUP($A33,West2018[],7,FALSE))</f>
        <v>99.8</v>
      </c>
      <c r="N33">
        <f>IFERROR(VLOOKUP($A33,East2018[],4,FALSE),VLOOKUP($A33,West2018[],4,FALSE))</f>
        <v>0.57299999999999995</v>
      </c>
      <c r="O33" s="4">
        <f t="shared" si="4"/>
        <v>0.60958142779596003</v>
      </c>
      <c r="P33" s="5">
        <f t="shared" si="5"/>
        <v>-3.6581427795960075E-2</v>
      </c>
      <c r="Q33" s="1">
        <f>IFERROR(VLOOKUP($A33,East2017[],6,FALSE),VLOOKUP($A33,West2017[],6,FALSE))</f>
        <v>105.3</v>
      </c>
      <c r="R33" s="1">
        <f>IFERROR(VLOOKUP($A33,East2017[],7,FALSE),VLOOKUP($A33,West2017[],7,FALSE))</f>
        <v>98.1</v>
      </c>
      <c r="S33">
        <f>IFERROR(VLOOKUP($A33,East2017[],4,FALSE),VLOOKUP($A33,West2017[],4,FALSE))</f>
        <v>0.74399999999999999</v>
      </c>
      <c r="T33" s="4">
        <f t="shared" si="6"/>
        <v>0.74913548059200064</v>
      </c>
      <c r="U33" s="5">
        <f t="shared" si="7"/>
        <v>-5.1354805920006408E-3</v>
      </c>
      <c r="V33" s="1">
        <f>IFERROR(VLOOKUP($A33,East2016[],6,FALSE),VLOOKUP($A33,West2016[],6,FALSE))</f>
        <v>103.5</v>
      </c>
      <c r="W33" s="1">
        <f>IFERROR(VLOOKUP($A33,East2016[],7,FALSE),VLOOKUP($A33,West2016[],7,FALSE))</f>
        <v>92.9</v>
      </c>
      <c r="X33">
        <f>IFERROR(VLOOKUP($A33,East2016[],4,FALSE),VLOOKUP($A33,West2016[],4,FALSE))</f>
        <v>0.81699999999999995</v>
      </c>
      <c r="Y33" s="4">
        <f t="shared" si="8"/>
        <v>0.83517334232935692</v>
      </c>
      <c r="Z33" s="5">
        <f t="shared" si="9"/>
        <v>-1.8173342329356967E-2</v>
      </c>
      <c r="AA33" s="1">
        <f>IFERROR(VLOOKUP($A33,East2015[],6,FALSE),VLOOKUP($A33,West2015[],6,FALSE))</f>
        <v>103.2</v>
      </c>
      <c r="AB33" s="1">
        <f>IFERROR(VLOOKUP($A33,East2015[],7,FALSE),VLOOKUP($A33,West2015[],7,FALSE))</f>
        <v>97</v>
      </c>
      <c r="AC33">
        <f>IFERROR(VLOOKUP($A33,East2015[],4,FALSE),VLOOKUP($A33,West2015[],4,FALSE))</f>
        <v>0.67100000000000004</v>
      </c>
      <c r="AD33" s="4">
        <f t="shared" si="10"/>
        <v>0.7122825839727277</v>
      </c>
      <c r="AE33" s="5">
        <f t="shared" si="11"/>
        <v>-4.128258397272766E-2</v>
      </c>
      <c r="AF33" s="1">
        <f>IFERROR(VLOOKUP($A33,East2014[],6,FALSE),VLOOKUP($A33,West2014[],6,FALSE))</f>
        <v>105.4</v>
      </c>
      <c r="AG33" s="1">
        <f>IFERROR(VLOOKUP($A33,East2014[],7,FALSE),VLOOKUP($A33,West2014[],7,FALSE))</f>
        <v>97.6</v>
      </c>
      <c r="AH33">
        <f>IFERROR(VLOOKUP($A33,East2014[],4,FALSE),VLOOKUP($A33,West2014[],4,FALSE))</f>
        <v>0.75600000000000001</v>
      </c>
      <c r="AI33" s="4">
        <f t="shared" si="12"/>
        <v>0.75696019797758063</v>
      </c>
      <c r="AJ33" s="5">
        <f t="shared" si="13"/>
        <v>-9.6019797758062353E-4</v>
      </c>
      <c r="AK33" s="1">
        <f>IFERROR(VLOOKUP($A33,East2013[],6,FALSE),VLOOKUP($A33,West2013[],6,FALSE))</f>
        <v>103</v>
      </c>
      <c r="AL33" s="1">
        <f>IFERROR(VLOOKUP($A33,East2013[],7,FALSE),VLOOKUP($A33,West2013[],7,FALSE))</f>
        <v>96.6</v>
      </c>
      <c r="AM33">
        <f>IFERROR(VLOOKUP($A33,East2013[],4,FALSE),VLOOKUP($A33,West2013[],4,FALSE))</f>
        <v>0.70699999999999996</v>
      </c>
      <c r="AN33" s="4">
        <f t="shared" si="14"/>
        <v>0.71522830734630916</v>
      </c>
      <c r="AO33" s="5">
        <f t="shared" si="15"/>
        <v>-8.2283073463091938E-3</v>
      </c>
      <c r="AP33" s="1">
        <f>IFERROR(VLOOKUP($A33,East2012[],6,FALSE),VLOOKUP($A33,West2012[],6,FALSE))</f>
        <v>103.7</v>
      </c>
      <c r="AQ33" s="1">
        <f>IFERROR(VLOOKUP($A33,East2012[],7,FALSE),VLOOKUP($A33,West2012[],7,FALSE))</f>
        <v>96.5</v>
      </c>
      <c r="AR33">
        <f>IFERROR(VLOOKUP($A33,East2012[],4,FALSE),VLOOKUP($A33,West2012[],4,FALSE))</f>
        <v>0.75800000000000001</v>
      </c>
      <c r="AS33" s="4">
        <f t="shared" si="16"/>
        <v>0.73366445603243491</v>
      </c>
      <c r="AT33" s="5">
        <f t="shared" si="17"/>
        <v>2.4335543967565099E-2</v>
      </c>
      <c r="AU33" s="1">
        <f>IFERROR(VLOOKUP($A33,East2011[],6,FALSE),VLOOKUP($A33,West2011[],6,FALSE))</f>
        <v>103.7</v>
      </c>
      <c r="AV33" s="1">
        <f>IFERROR(VLOOKUP($A33,East2011[],7,FALSE),VLOOKUP($A33,West2011[],7,FALSE))</f>
        <v>98</v>
      </c>
      <c r="AW33">
        <f>IFERROR(VLOOKUP($A33,East2011[],4,FALSE),VLOOKUP($A33,West2011[],4,FALSE))</f>
        <v>0.74399999999999999</v>
      </c>
      <c r="AX33" s="4">
        <f t="shared" si="18"/>
        <v>0.69494009711380555</v>
      </c>
      <c r="AY33" s="5">
        <f t="shared" si="19"/>
        <v>4.905990288619444E-2</v>
      </c>
      <c r="AZ33" s="1">
        <f>IFERROR(VLOOKUP($A33,East2010[],6,FALSE),VLOOKUP($A33,West2010[],6,FALSE))</f>
        <v>101.4</v>
      </c>
      <c r="BA33" s="1">
        <f>IFERROR(VLOOKUP($A33,East2010[],7,FALSE),VLOOKUP($A33,West2010[],7,FALSE))</f>
        <v>96.3</v>
      </c>
      <c r="BB33">
        <f>IFERROR(VLOOKUP($A33,East2010[],4,FALSE),VLOOKUP($A33,West2010[],4,FALSE))</f>
        <v>0.61</v>
      </c>
      <c r="BC33" s="4">
        <f t="shared" si="20"/>
        <v>0.68098565192096217</v>
      </c>
      <c r="BD33" s="5">
        <f t="shared" si="21"/>
        <v>-7.0985651920962178E-2</v>
      </c>
      <c r="BE33" s="1">
        <f>IFERROR(VLOOKUP($A33,East2009[],6,FALSE),VLOOKUP($A33,West2009[],6,FALSE))</f>
        <v>97</v>
      </c>
      <c r="BF33" s="1">
        <f>IFERROR(VLOOKUP($A33,East2009[],7,FALSE),VLOOKUP($A33,West2009[],7,FALSE))</f>
        <v>93.3</v>
      </c>
      <c r="BG33">
        <f>IFERROR(VLOOKUP($A33,East2009[],4,FALSE),VLOOKUP($A33,West2009[],4,FALSE))</f>
        <v>0.65900000000000003</v>
      </c>
      <c r="BH33" s="4">
        <f t="shared" si="22"/>
        <v>0.63844409736344987</v>
      </c>
      <c r="BI33" s="5">
        <f t="shared" si="23"/>
        <v>2.0555902636550161E-2</v>
      </c>
      <c r="BJ33" s="1">
        <f>IFERROR(VLOOKUP($A33,East2008[],6,FALSE),VLOOKUP($A33,West2008[],6,FALSE))</f>
        <v>95.4</v>
      </c>
      <c r="BK33" s="1">
        <f>IFERROR(VLOOKUP($A33,East2008[],7,FALSE),VLOOKUP($A33,West2008[],7,FALSE))</f>
        <v>90.6</v>
      </c>
      <c r="BL33">
        <f>IFERROR(VLOOKUP($A33,East2008[],4,FALSE),VLOOKUP($A33,West2008[],4,FALSE))</f>
        <v>0.68300000000000005</v>
      </c>
      <c r="BM33" s="4">
        <f t="shared" si="24"/>
        <v>0.68018086787928134</v>
      </c>
      <c r="BN33" s="5">
        <f t="shared" si="25"/>
        <v>2.8191321207187148E-3</v>
      </c>
      <c r="BO33" s="1">
        <f>IFERROR(VLOOKUP($A33,East2007[],6,FALSE),VLOOKUP($A33,West2007[],6,FALSE))</f>
        <v>98.5</v>
      </c>
      <c r="BP33" s="1">
        <f>IFERROR(VLOOKUP($A33,East2007[],7,FALSE),VLOOKUP($A33,West2007[],7,FALSE))</f>
        <v>90.1</v>
      </c>
      <c r="BQ33">
        <f>IFERROR(VLOOKUP($A33,East2007[],4,FALSE),VLOOKUP($A33,West2007[],4,FALSE))</f>
        <v>0.70699999999999996</v>
      </c>
      <c r="BR33" s="4">
        <f t="shared" si="26"/>
        <v>0.7837115639047918</v>
      </c>
      <c r="BS33" s="5">
        <f t="shared" si="27"/>
        <v>-7.6711563904791835E-2</v>
      </c>
      <c r="BT33" s="1">
        <f>IFERROR(VLOOKUP($A33,East2006[],6,FALSE),VLOOKUP($A33,West2006[],6,FALSE))</f>
        <v>95.6</v>
      </c>
      <c r="BU33" s="1">
        <f>IFERROR(VLOOKUP($A33,East2006[],7,FALSE),VLOOKUP($A33,West2006[],7,FALSE))</f>
        <v>88.8</v>
      </c>
      <c r="BV33">
        <f>IFERROR(VLOOKUP($A33,East2006[],4,FALSE),VLOOKUP($A33,West2006[],4,FALSE))</f>
        <v>0.76800000000000002</v>
      </c>
      <c r="BW33" s="4">
        <f t="shared" si="28"/>
        <v>0.74022111513769417</v>
      </c>
      <c r="BX33" s="5">
        <f t="shared" si="29"/>
        <v>2.7778884862305842E-2</v>
      </c>
      <c r="BY33" s="1">
        <f>IFERROR(VLOOKUP($A33,East2005[],6,FALSE),VLOOKUP($A33,West2005[],6,FALSE))</f>
        <v>96.2</v>
      </c>
      <c r="BZ33" s="1">
        <f>IFERROR(VLOOKUP($A33,East2005[],7,FALSE),VLOOKUP($A33,West2005[],7,FALSE))</f>
        <v>88.4</v>
      </c>
      <c r="CA33">
        <f>IFERROR(VLOOKUP($A33,East2005[],4,FALSE),VLOOKUP($A33,West2005[],4,FALSE))</f>
        <v>0.72</v>
      </c>
      <c r="CB33" s="4">
        <f t="shared" si="30"/>
        <v>0.76892721390842367</v>
      </c>
      <c r="CC33" s="5">
        <f t="shared" si="31"/>
        <v>-4.8927213908423695E-2</v>
      </c>
      <c r="CD33" s="1">
        <f>IFERROR(VLOOKUP($A33,East2004[],6,FALSE),VLOOKUP($A33,West2004[],6,FALSE))</f>
        <v>91.5</v>
      </c>
      <c r="CE33" s="1">
        <f>IFERROR(VLOOKUP($A33,East2004[],7,FALSE),VLOOKUP($A33,West2004[],7,FALSE))</f>
        <v>84.3</v>
      </c>
      <c r="CF33">
        <f>IFERROR(VLOOKUP($A33,East2004[],4,FALSE),VLOOKUP($A33,West2004[],4,FALSE))</f>
        <v>0.69499999999999995</v>
      </c>
      <c r="CG33" s="4">
        <f t="shared" si="32"/>
        <v>0.75395029457239537</v>
      </c>
      <c r="CH33" s="5">
        <f t="shared" si="33"/>
        <v>-5.8950294572395423E-2</v>
      </c>
      <c r="CI33" s="1">
        <f>IFERROR(VLOOKUP($A33,East2003[],6,FALSE),VLOOKUP($A33,West2003[],6,FALSE))</f>
        <v>95.8</v>
      </c>
      <c r="CJ33" s="1">
        <f>IFERROR(VLOOKUP($A33,East2003[],7,FALSE),VLOOKUP($A33,West2003[],7,FALSE))</f>
        <v>90.4</v>
      </c>
      <c r="CK33">
        <f>IFERROR(VLOOKUP($A33,East2003[],4,FALSE),VLOOKUP($A33,West2003[],4,FALSE))</f>
        <v>0.73199999999999998</v>
      </c>
      <c r="CL33" s="4">
        <f t="shared" si="34"/>
        <v>0.69146918824726644</v>
      </c>
      <c r="CM33" s="5">
        <f t="shared" si="35"/>
        <v>4.0530811752733542E-2</v>
      </c>
    </row>
    <row r="34" spans="1:91" x14ac:dyDescent="0.25">
      <c r="A34" s="1" t="s">
        <v>129</v>
      </c>
      <c r="B34" s="1">
        <f>IFERROR(VLOOKUP(A34,East2020[],6,FALSE),VLOOKUP(A34,West2020[],6,FALSE))</f>
        <v>112.8</v>
      </c>
      <c r="C34" s="1">
        <f>IFERROR(VLOOKUP(A34,East2020[],7,FALSE),VLOOKUP(A34,West2020[],7,FALSE))</f>
        <v>106.5</v>
      </c>
      <c r="D34">
        <f>IFERROR(VLOOKUP(A34,East2020[],4,FALSE),VLOOKUP(A34,West2020[],4,FALSE))</f>
        <v>0.73599999999999999</v>
      </c>
      <c r="E34" s="4">
        <f t="shared" si="0"/>
        <v>0.7190184216989578</v>
      </c>
      <c r="F34" s="5">
        <f t="shared" si="1"/>
        <v>1.6981578301042188E-2</v>
      </c>
      <c r="G34" s="1">
        <f>IFERROR(VLOOKUP($A34,East2019[],6,FALSE),VLOOKUP($A34,West2019[],6,FALSE))</f>
        <v>114.4</v>
      </c>
      <c r="H34" s="1">
        <f>IFERROR(VLOOKUP($A34,East2019[],7,FALSE),VLOOKUP($A34,West2019[],7,FALSE))</f>
        <v>108.4</v>
      </c>
      <c r="I34">
        <f>IFERROR(VLOOKUP($A34,East2019[],4,FALSE),VLOOKUP($A34,West2019[],4,FALSE))</f>
        <v>0.70699999999999996</v>
      </c>
      <c r="J34" s="4">
        <f t="shared" si="2"/>
        <v>0.70605814040633674</v>
      </c>
      <c r="K34" s="5">
        <f t="shared" si="3"/>
        <v>9.4185959366321903E-4</v>
      </c>
      <c r="L34" s="1">
        <f>IFERROR(VLOOKUP($A34,East2018[],6,FALSE),VLOOKUP($A34,West2018[],6,FALSE))</f>
        <v>111.7</v>
      </c>
      <c r="M34" s="1">
        <f>IFERROR(VLOOKUP($A34,East2018[],7,FALSE),VLOOKUP($A34,West2018[],7,FALSE))</f>
        <v>103.9</v>
      </c>
      <c r="N34">
        <f>IFERROR(VLOOKUP($A34,East2018[],4,FALSE),VLOOKUP($A34,West2018[],4,FALSE))</f>
        <v>0.72</v>
      </c>
      <c r="O34" s="4">
        <f t="shared" si="4"/>
        <v>0.75509701323128753</v>
      </c>
      <c r="P34" s="5">
        <f t="shared" si="5"/>
        <v>-3.5097013231287555E-2</v>
      </c>
      <c r="Q34" s="1">
        <f>IFERROR(VLOOKUP($A34,East2017[],6,FALSE),VLOOKUP($A34,West2017[],6,FALSE))</f>
        <v>106.9</v>
      </c>
      <c r="R34" s="1">
        <f>IFERROR(VLOOKUP($A34,East2017[],7,FALSE),VLOOKUP($A34,West2017[],7,FALSE))</f>
        <v>102.6</v>
      </c>
      <c r="S34">
        <f>IFERROR(VLOOKUP($A34,East2017[],4,FALSE),VLOOKUP($A34,West2017[],4,FALSE))</f>
        <v>0.622</v>
      </c>
      <c r="T34" s="4">
        <f t="shared" si="6"/>
        <v>0.65343330997718785</v>
      </c>
      <c r="U34" s="5">
        <f t="shared" si="7"/>
        <v>-3.1433309977187851E-2</v>
      </c>
      <c r="V34" s="1">
        <f>IFERROR(VLOOKUP($A34,East2016[],6,FALSE),VLOOKUP($A34,West2016[],6,FALSE))</f>
        <v>102.7</v>
      </c>
      <c r="W34" s="1">
        <f>IFERROR(VLOOKUP($A34,East2016[],7,FALSE),VLOOKUP($A34,West2016[],7,FALSE))</f>
        <v>98.2</v>
      </c>
      <c r="X34">
        <f>IFERROR(VLOOKUP($A34,East2016[],4,FALSE),VLOOKUP($A34,West2016[],4,FALSE))</f>
        <v>0.68300000000000005</v>
      </c>
      <c r="Y34" s="4">
        <f t="shared" si="8"/>
        <v>0.66215857570339698</v>
      </c>
      <c r="Z34" s="5">
        <f t="shared" si="9"/>
        <v>2.0841424296603073E-2</v>
      </c>
      <c r="AA34" s="1">
        <f>IFERROR(VLOOKUP($A34,East2015[],6,FALSE),VLOOKUP($A34,West2015[],6,FALSE))</f>
        <v>104</v>
      </c>
      <c r="AB34" s="1">
        <f>IFERROR(VLOOKUP($A34,East2015[],7,FALSE),VLOOKUP($A34,West2015[],7,FALSE))</f>
        <v>100.9</v>
      </c>
      <c r="AC34">
        <f>IFERROR(VLOOKUP($A34,East2015[],4,FALSE),VLOOKUP($A34,West2015[],4,FALSE))</f>
        <v>0.59799999999999998</v>
      </c>
      <c r="AD34" s="4">
        <f t="shared" si="10"/>
        <v>0.6089125616369595</v>
      </c>
      <c r="AE34" s="5">
        <f t="shared" si="11"/>
        <v>-1.0912561636959528E-2</v>
      </c>
      <c r="AF34" s="1">
        <f>IFERROR(VLOOKUP($A34,East2014[],6,FALSE),VLOOKUP($A34,West2014[],6,FALSE))</f>
        <v>101.3</v>
      </c>
      <c r="AG34" s="1">
        <f>IFERROR(VLOOKUP($A34,East2014[],7,FALSE),VLOOKUP($A34,West2014[],7,FALSE))</f>
        <v>98</v>
      </c>
      <c r="AH34">
        <f>IFERROR(VLOOKUP($A34,East2014[],4,FALSE),VLOOKUP($A34,West2014[],4,FALSE))</f>
        <v>0.58499999999999996</v>
      </c>
      <c r="AI34" s="4">
        <f t="shared" si="12"/>
        <v>0.61996001680261936</v>
      </c>
      <c r="AJ34" s="5">
        <f t="shared" si="13"/>
        <v>-3.4960016802619398E-2</v>
      </c>
      <c r="AK34" s="1">
        <f>IFERROR(VLOOKUP($A34,East2013[],6,FALSE),VLOOKUP($A34,West2013[],6,FALSE))</f>
        <v>97.2</v>
      </c>
      <c r="AL34" s="1">
        <f>IFERROR(VLOOKUP($A34,East2013[],7,FALSE),VLOOKUP($A34,West2013[],7,FALSE))</f>
        <v>98.7</v>
      </c>
      <c r="AM34">
        <f>IFERROR(VLOOKUP($A34,East2013[],4,FALSE),VLOOKUP($A34,West2013[],4,FALSE))</f>
        <v>0.41499999999999998</v>
      </c>
      <c r="AN34" s="4">
        <f t="shared" si="14"/>
        <v>0.44525911683896213</v>
      </c>
      <c r="AO34" s="5">
        <f t="shared" si="15"/>
        <v>-3.0259116838962152E-2</v>
      </c>
      <c r="AP34" s="1">
        <f>IFERROR(VLOOKUP($A34,East2012[],6,FALSE),VLOOKUP($A34,West2012[],6,FALSE))</f>
        <v>90.7</v>
      </c>
      <c r="AQ34" s="1">
        <f>IFERROR(VLOOKUP($A34,East2012[],7,FALSE),VLOOKUP($A34,West2012[],7,FALSE))</f>
        <v>94</v>
      </c>
      <c r="AR34">
        <f>IFERROR(VLOOKUP($A34,East2012[],4,FALSE),VLOOKUP($A34,West2012[],4,FALSE))</f>
        <v>0.34799999999999998</v>
      </c>
      <c r="AS34" s="4">
        <f t="shared" si="16"/>
        <v>0.37678005895767236</v>
      </c>
      <c r="AT34" s="5">
        <f t="shared" si="17"/>
        <v>-2.8780058957672383E-2</v>
      </c>
      <c r="AU34" s="1">
        <f>IFERROR(VLOOKUP($A34,East2011[],6,FALSE),VLOOKUP($A34,West2011[],6,FALSE))</f>
        <v>99.1</v>
      </c>
      <c r="AV34" s="1">
        <f>IFERROR(VLOOKUP($A34,East2011[],7,FALSE),VLOOKUP($A34,West2011[],7,FALSE))</f>
        <v>105.4</v>
      </c>
      <c r="AW34">
        <f>IFERROR(VLOOKUP($A34,East2011[],4,FALSE),VLOOKUP($A34,West2011[],4,FALSE))</f>
        <v>0.26800000000000002</v>
      </c>
      <c r="AX34" s="4">
        <f t="shared" si="18"/>
        <v>0.28955050648942904</v>
      </c>
      <c r="AY34" s="5">
        <f t="shared" si="19"/>
        <v>-2.1550506489429022E-2</v>
      </c>
      <c r="AZ34" s="1">
        <f>IFERROR(VLOOKUP($A34,East2010[],6,FALSE),VLOOKUP($A34,West2010[],6,FALSE))</f>
        <v>104.1</v>
      </c>
      <c r="BA34" s="1">
        <f>IFERROR(VLOOKUP($A34,East2010[],7,FALSE),VLOOKUP($A34,West2010[],7,FALSE))</f>
        <v>105.9</v>
      </c>
      <c r="BB34">
        <f>IFERROR(VLOOKUP($A34,East2010[],4,FALSE),VLOOKUP($A34,West2010[],4,FALSE))</f>
        <v>0.48799999999999999</v>
      </c>
      <c r="BC34" s="4">
        <f t="shared" si="20"/>
        <v>0.43735307115048849</v>
      </c>
      <c r="BD34" s="5">
        <f t="shared" si="21"/>
        <v>5.0646928849511497E-2</v>
      </c>
      <c r="BE34" s="1">
        <f>IFERROR(VLOOKUP($A34,East2009[],6,FALSE),VLOOKUP($A34,West2009[],6,FALSE))</f>
        <v>99</v>
      </c>
      <c r="BF34" s="1">
        <f>IFERROR(VLOOKUP($A34,East2009[],7,FALSE),VLOOKUP($A34,West2009[],7,FALSE))</f>
        <v>101.9</v>
      </c>
      <c r="BG34">
        <f>IFERROR(VLOOKUP($A34,East2009[],4,FALSE),VLOOKUP($A34,West2009[],4,FALSE))</f>
        <v>0.40200000000000002</v>
      </c>
      <c r="BH34" s="4">
        <f t="shared" si="22"/>
        <v>0.39600612089425663</v>
      </c>
      <c r="BI34" s="5">
        <f t="shared" si="23"/>
        <v>5.9938791057433938E-3</v>
      </c>
      <c r="BJ34" s="1">
        <f>IFERROR(VLOOKUP($A34,East2008[],6,FALSE),VLOOKUP($A34,West2008[],6,FALSE))</f>
        <v>100.2</v>
      </c>
      <c r="BK34" s="1">
        <f>IFERROR(VLOOKUP($A34,East2008[],7,FALSE),VLOOKUP($A34,West2008[],7,FALSE))</f>
        <v>97.3</v>
      </c>
      <c r="BL34">
        <f>IFERROR(VLOOKUP($A34,East2008[],4,FALSE),VLOOKUP($A34,West2008[],4,FALSE))</f>
        <v>0.5</v>
      </c>
      <c r="BM34" s="4">
        <f t="shared" si="24"/>
        <v>0.60570534367617157</v>
      </c>
      <c r="BN34" s="5">
        <f t="shared" si="25"/>
        <v>-0.10570534367617157</v>
      </c>
      <c r="BO34" s="1">
        <f>IFERROR(VLOOKUP($A34,East2007[],6,FALSE),VLOOKUP($A34,West2007[],6,FALSE))</f>
        <v>99.5</v>
      </c>
      <c r="BP34" s="1">
        <f>IFERROR(VLOOKUP($A34,East2007[],7,FALSE),VLOOKUP($A34,West2007[],7,FALSE))</f>
        <v>98.5</v>
      </c>
      <c r="BQ34">
        <f>IFERROR(VLOOKUP($A34,East2007[],4,FALSE),VLOOKUP($A34,West2007[],4,FALSE))</f>
        <v>0.57299999999999995</v>
      </c>
      <c r="BR34" s="4">
        <f t="shared" si="26"/>
        <v>0.53640886446868097</v>
      </c>
      <c r="BS34" s="5">
        <f t="shared" si="27"/>
        <v>3.6591135531318986E-2</v>
      </c>
      <c r="BT34" s="1">
        <f>IFERROR(VLOOKUP($A34,East2006[],6,FALSE),VLOOKUP($A34,West2006[],6,FALSE))</f>
        <v>101.1</v>
      </c>
      <c r="BU34" s="1">
        <f>IFERROR(VLOOKUP($A34,East2006[],7,FALSE),VLOOKUP($A34,West2006[],7,FALSE))</f>
        <v>104</v>
      </c>
      <c r="BV34">
        <f>IFERROR(VLOOKUP($A34,East2006[],4,FALSE),VLOOKUP($A34,West2006[],4,FALSE))</f>
        <v>0.32900000000000001</v>
      </c>
      <c r="BW34" s="4">
        <f t="shared" si="28"/>
        <v>0.40099053574787114</v>
      </c>
      <c r="BX34" s="5">
        <f t="shared" si="29"/>
        <v>-7.1990535747871121E-2</v>
      </c>
      <c r="BY34" s="1">
        <f>IFERROR(VLOOKUP($A34,East2005[],6,FALSE),VLOOKUP($A34,West2005[],6,FALSE))</f>
        <v>99.7</v>
      </c>
      <c r="BZ34" s="1">
        <f>IFERROR(VLOOKUP($A34,East2005[],7,FALSE),VLOOKUP($A34,West2005[],7,FALSE))</f>
        <v>101.4</v>
      </c>
      <c r="CA34">
        <f>IFERROR(VLOOKUP($A34,East2005[],4,FALSE),VLOOKUP($A34,West2005[],4,FALSE))</f>
        <v>0.40200000000000002</v>
      </c>
      <c r="CB34" s="4">
        <f t="shared" si="30"/>
        <v>0.44018902687338152</v>
      </c>
      <c r="CC34" s="5">
        <f t="shared" si="31"/>
        <v>-3.8189026873381493E-2</v>
      </c>
      <c r="CD34" s="1">
        <f>IFERROR(VLOOKUP($A34,East2004[],6,FALSE),VLOOKUP($A34,West2004[],6,FALSE))</f>
        <v>85.4</v>
      </c>
      <c r="CE34" s="1">
        <f>IFERROR(VLOOKUP($A34,East2004[],7,FALSE),VLOOKUP($A34,West2004[],7,FALSE))</f>
        <v>88.5</v>
      </c>
      <c r="CF34">
        <f>IFERROR(VLOOKUP($A34,East2004[],4,FALSE),VLOOKUP($A34,West2004[],4,FALSE))</f>
        <v>0.40200000000000002</v>
      </c>
      <c r="CG34" s="4">
        <f t="shared" si="32"/>
        <v>0.38055817998388825</v>
      </c>
      <c r="CH34" s="5">
        <f t="shared" si="33"/>
        <v>2.1441820016111779E-2</v>
      </c>
      <c r="CI34" s="1">
        <f>IFERROR(VLOOKUP($A34,East2003[],6,FALSE),VLOOKUP($A34,West2003[],6,FALSE))</f>
        <v>90.9</v>
      </c>
      <c r="CJ34" s="1">
        <f>IFERROR(VLOOKUP($A34,East2003[],7,FALSE),VLOOKUP($A34,West2003[],7,FALSE))</f>
        <v>96.8</v>
      </c>
      <c r="CK34">
        <f>IFERROR(VLOOKUP($A34,East2003[],4,FALSE),VLOOKUP($A34,West2003[],4,FALSE))</f>
        <v>0.29299999999999998</v>
      </c>
      <c r="CL34" s="4">
        <f t="shared" si="34"/>
        <v>0.29427406010613677</v>
      </c>
      <c r="CM34" s="5">
        <f t="shared" si="35"/>
        <v>-1.2740601061367873E-3</v>
      </c>
    </row>
    <row r="35" spans="1:91" x14ac:dyDescent="0.25">
      <c r="A35" s="1" t="s">
        <v>158</v>
      </c>
      <c r="B35" s="1">
        <f>IFERROR(VLOOKUP(A35,East2020[],6,FALSE),VLOOKUP(A35,West2020[],6,FALSE))</f>
        <v>111.3</v>
      </c>
      <c r="C35" s="1">
        <f>IFERROR(VLOOKUP(A35,East2020[],7,FALSE),VLOOKUP(A35,West2020[],7,FALSE))</f>
        <v>108.8</v>
      </c>
      <c r="D35">
        <f>IFERROR(VLOOKUP(A35,East2020[],4,FALSE),VLOOKUP(A35,West2020[],4,FALSE))</f>
        <v>0.61099999999999999</v>
      </c>
      <c r="E35" s="4">
        <f t="shared" si="0"/>
        <v>0.59180080571450999</v>
      </c>
      <c r="F35" s="5">
        <f t="shared" si="1"/>
        <v>1.9199194285489996E-2</v>
      </c>
      <c r="G35" s="1">
        <f>IFERROR(VLOOKUP($A35,East2019[],6,FALSE),VLOOKUP($A35,West2019[],6,FALSE))</f>
        <v>111.7</v>
      </c>
      <c r="H35" s="1">
        <f>IFERROR(VLOOKUP($A35,East2019[],7,FALSE),VLOOKUP($A35,West2019[],7,FALSE))</f>
        <v>106.5</v>
      </c>
      <c r="I35">
        <f>IFERROR(VLOOKUP($A35,East2019[],4,FALSE),VLOOKUP($A35,West2019[],4,FALSE))</f>
        <v>0.61</v>
      </c>
      <c r="J35" s="4">
        <f t="shared" si="2"/>
        <v>0.68469730449481814</v>
      </c>
      <c r="K35" s="5">
        <f t="shared" si="3"/>
        <v>-7.4697304494818151E-2</v>
      </c>
      <c r="L35" s="1">
        <f>IFERROR(VLOOKUP($A35,East2018[],6,FALSE),VLOOKUP($A35,West2018[],6,FALSE))</f>
        <v>104.1</v>
      </c>
      <c r="M35" s="1">
        <f>IFERROR(VLOOKUP($A35,East2018[],7,FALSE),VLOOKUP($A35,West2018[],7,FALSE))</f>
        <v>99.8</v>
      </c>
      <c r="N35">
        <f>IFERROR(VLOOKUP($A35,East2018[],4,FALSE),VLOOKUP($A35,West2018[],4,FALSE))</f>
        <v>0.58499999999999996</v>
      </c>
      <c r="O35" s="4">
        <f t="shared" si="4"/>
        <v>0.65839817333007999</v>
      </c>
      <c r="P35" s="5">
        <f t="shared" si="5"/>
        <v>-7.339817333008003E-2</v>
      </c>
      <c r="Q35" s="1">
        <f>IFERROR(VLOOKUP($A35,East2017[],6,FALSE),VLOOKUP($A35,West2017[],6,FALSE))</f>
        <v>100.7</v>
      </c>
      <c r="R35" s="1">
        <f>IFERROR(VLOOKUP($A35,East2017[],7,FALSE),VLOOKUP($A35,West2017[],7,FALSE))</f>
        <v>96.8</v>
      </c>
      <c r="S35">
        <f>IFERROR(VLOOKUP($A35,East2017[],4,FALSE),VLOOKUP($A35,West2017[],4,FALSE))</f>
        <v>0.622</v>
      </c>
      <c r="T35" s="4">
        <f t="shared" si="6"/>
        <v>0.647966794539099</v>
      </c>
      <c r="U35" s="5">
        <f t="shared" si="7"/>
        <v>-2.5966794539099003E-2</v>
      </c>
      <c r="V35" s="1">
        <f>IFERROR(VLOOKUP($A35,East2016[],6,FALSE),VLOOKUP($A35,West2016[],6,FALSE))</f>
        <v>97.7</v>
      </c>
      <c r="W35" s="1">
        <f>IFERROR(VLOOKUP($A35,East2016[],7,FALSE),VLOOKUP($A35,West2016[],7,FALSE))</f>
        <v>95.9</v>
      </c>
      <c r="X35">
        <f>IFERROR(VLOOKUP($A35,East2016[],4,FALSE),VLOOKUP($A35,West2016[],4,FALSE))</f>
        <v>0.48799999999999999</v>
      </c>
      <c r="Y35" s="4">
        <f t="shared" si="8"/>
        <v>0.56937024778667045</v>
      </c>
      <c r="Z35" s="5">
        <f t="shared" si="9"/>
        <v>-8.1370247786670458E-2</v>
      </c>
      <c r="AA35" s="1">
        <f>IFERROR(VLOOKUP($A35,East2015[],6,FALSE),VLOOKUP($A35,West2015[],6,FALSE))</f>
        <v>95.1</v>
      </c>
      <c r="AB35" s="1">
        <f>IFERROR(VLOOKUP($A35,East2015[],7,FALSE),VLOOKUP($A35,West2015[],7,FALSE))</f>
        <v>94.9</v>
      </c>
      <c r="AC35">
        <f>IFERROR(VLOOKUP($A35,East2015[],4,FALSE),VLOOKUP($A35,West2015[],4,FALSE))</f>
        <v>0.46300000000000002</v>
      </c>
      <c r="AD35" s="4">
        <f t="shared" si="10"/>
        <v>0.50769983760906101</v>
      </c>
      <c r="AE35" s="5">
        <f t="shared" si="11"/>
        <v>-4.4699837609060988E-2</v>
      </c>
      <c r="AF35" s="1">
        <f>IFERROR(VLOOKUP($A35,East2014[],6,FALSE),VLOOKUP($A35,West2014[],6,FALSE))</f>
        <v>95</v>
      </c>
      <c r="AG35" s="1">
        <f>IFERROR(VLOOKUP($A35,East2014[],7,FALSE),VLOOKUP($A35,West2014[],7,FALSE))</f>
        <v>102.2</v>
      </c>
      <c r="AH35">
        <f>IFERROR(VLOOKUP($A35,East2014[],4,FALSE),VLOOKUP($A35,West2014[],4,FALSE))</f>
        <v>0.30499999999999999</v>
      </c>
      <c r="AI35" s="4">
        <f t="shared" si="12"/>
        <v>0.25360318935625381</v>
      </c>
      <c r="AJ35" s="5">
        <f t="shared" si="13"/>
        <v>5.1396810643746182E-2</v>
      </c>
      <c r="AK35" s="1">
        <f>IFERROR(VLOOKUP($A35,East2013[],6,FALSE),VLOOKUP($A35,West2013[],6,FALSE))</f>
        <v>98</v>
      </c>
      <c r="AL35" s="1">
        <f>IFERROR(VLOOKUP($A35,East2013[],7,FALSE),VLOOKUP($A35,West2013[],7,FALSE))</f>
        <v>98.1</v>
      </c>
      <c r="AM35">
        <f>IFERROR(VLOOKUP($A35,East2013[],4,FALSE),VLOOKUP($A35,West2013[],4,FALSE))</f>
        <v>0.52400000000000002</v>
      </c>
      <c r="AN35" s="4">
        <f t="shared" si="14"/>
        <v>0.49633979472102679</v>
      </c>
      <c r="AO35" s="5">
        <f t="shared" si="15"/>
        <v>2.7660205278973227E-2</v>
      </c>
      <c r="AP35" s="1">
        <f>IFERROR(VLOOKUP($A35,East2012[],6,FALSE),VLOOKUP($A35,West2012[],6,FALSE))</f>
        <v>99.7</v>
      </c>
      <c r="AQ35" s="1">
        <f>IFERROR(VLOOKUP($A35,East2012[],7,FALSE),VLOOKUP($A35,West2012[],7,FALSE))</f>
        <v>99</v>
      </c>
      <c r="AR35">
        <f>IFERROR(VLOOKUP($A35,East2012[],4,FALSE),VLOOKUP($A35,West2012[],4,FALSE))</f>
        <v>0.54500000000000004</v>
      </c>
      <c r="AS35" s="4">
        <f t="shared" si="16"/>
        <v>0.52478369052077012</v>
      </c>
      <c r="AT35" s="5">
        <f t="shared" si="17"/>
        <v>2.0216309479229921E-2</v>
      </c>
      <c r="AU35" s="1">
        <f>IFERROR(VLOOKUP($A35,East2011[],6,FALSE),VLOOKUP($A35,West2011[],6,FALSE))</f>
        <v>99.4</v>
      </c>
      <c r="AV35" s="1">
        <f>IFERROR(VLOOKUP($A35,East2011[],7,FALSE),VLOOKUP($A35,West2011[],7,FALSE))</f>
        <v>101.3</v>
      </c>
      <c r="AW35">
        <f>IFERROR(VLOOKUP($A35,East2011[],4,FALSE),VLOOKUP($A35,West2011[],4,FALSE))</f>
        <v>0.47599999999999998</v>
      </c>
      <c r="AX35" s="4">
        <f t="shared" si="18"/>
        <v>0.43149814264497388</v>
      </c>
      <c r="AY35" s="5">
        <f t="shared" si="19"/>
        <v>4.4501857355026098E-2</v>
      </c>
      <c r="AZ35" s="1">
        <f>IFERROR(VLOOKUP($A35,East2010[],6,FALSE),VLOOKUP($A35,West2010[],6,FALSE))</f>
        <v>104.2</v>
      </c>
      <c r="BA35" s="1">
        <f>IFERROR(VLOOKUP($A35,East2010[],7,FALSE),VLOOKUP($A35,West2010[],7,FALSE))</f>
        <v>98.9</v>
      </c>
      <c r="BB35">
        <f>IFERROR(VLOOKUP($A35,East2010[],4,FALSE),VLOOKUP($A35,West2010[],4,FALSE))</f>
        <v>0.64600000000000002</v>
      </c>
      <c r="BC35" s="4">
        <f t="shared" si="20"/>
        <v>0.68289197439717308</v>
      </c>
      <c r="BD35" s="5">
        <f t="shared" si="21"/>
        <v>-3.6891974397173066E-2</v>
      </c>
      <c r="BE35" s="1">
        <f>IFERROR(VLOOKUP($A35,East2009[],6,FALSE),VLOOKUP($A35,West2009[],6,FALSE))</f>
        <v>103.6</v>
      </c>
      <c r="BF35" s="1">
        <f>IFERROR(VLOOKUP($A35,East2009[],7,FALSE),VLOOKUP($A35,West2009[],7,FALSE))</f>
        <v>100.9</v>
      </c>
      <c r="BG35">
        <f>IFERROR(VLOOKUP($A35,East2009[],4,FALSE),VLOOKUP($A35,West2009[],4,FALSE))</f>
        <v>0.58499999999999996</v>
      </c>
      <c r="BH35" s="4">
        <f t="shared" si="22"/>
        <v>0.59534315931421811</v>
      </c>
      <c r="BI35" s="5">
        <f t="shared" si="23"/>
        <v>-1.0343159314218142E-2</v>
      </c>
      <c r="BJ35" s="1">
        <f>IFERROR(VLOOKUP($A35,East2008[],6,FALSE),VLOOKUP($A35,West2008[],6,FALSE))</f>
        <v>106.2</v>
      </c>
      <c r="BK35" s="1">
        <f>IFERROR(VLOOKUP($A35,East2008[],7,FALSE),VLOOKUP($A35,West2008[],7,FALSE))</f>
        <v>99.3</v>
      </c>
      <c r="BL35">
        <f>IFERROR(VLOOKUP($A35,East2008[],4,FALSE),VLOOKUP($A35,West2008[],4,FALSE))</f>
        <v>0.65900000000000003</v>
      </c>
      <c r="BM35" s="4">
        <f t="shared" si="24"/>
        <v>0.72749722808084538</v>
      </c>
      <c r="BN35" s="5">
        <f t="shared" si="25"/>
        <v>-6.8497228080845352E-2</v>
      </c>
      <c r="BO35" s="1">
        <f>IFERROR(VLOOKUP($A35,East2007[],6,FALSE),VLOOKUP($A35,West2007[],6,FALSE))</f>
        <v>101.5</v>
      </c>
      <c r="BP35" s="1">
        <f>IFERROR(VLOOKUP($A35,East2007[],7,FALSE),VLOOKUP($A35,West2007[],7,FALSE))</f>
        <v>98.6</v>
      </c>
      <c r="BQ35">
        <f>IFERROR(VLOOKUP($A35,East2007[],4,FALSE),VLOOKUP($A35,West2007[],4,FALSE))</f>
        <v>0.622</v>
      </c>
      <c r="BR35" s="4">
        <f t="shared" si="26"/>
        <v>0.60316667311791949</v>
      </c>
      <c r="BS35" s="5">
        <f t="shared" si="27"/>
        <v>1.8833326882080503E-2</v>
      </c>
      <c r="BT35" s="1">
        <f>IFERROR(VLOOKUP($A35,East2006[],6,FALSE),VLOOKUP($A35,West2006[],6,FALSE))</f>
        <v>92.4</v>
      </c>
      <c r="BU35" s="1">
        <f>IFERROR(VLOOKUP($A35,East2006[],7,FALSE),VLOOKUP($A35,West2006[],7,FALSE))</f>
        <v>95</v>
      </c>
      <c r="BV35">
        <f>IFERROR(VLOOKUP($A35,East2006[],4,FALSE),VLOOKUP($A35,West2006[],4,FALSE))</f>
        <v>0.5</v>
      </c>
      <c r="BW35" s="4">
        <f t="shared" si="28"/>
        <v>0.40280141983121998</v>
      </c>
      <c r="BX35" s="5">
        <f t="shared" si="29"/>
        <v>9.7198580168780024E-2</v>
      </c>
      <c r="BY35" s="1">
        <f>IFERROR(VLOOKUP($A35,East2005[],6,FALSE),VLOOKUP($A35,West2005[],6,FALSE))</f>
        <v>93</v>
      </c>
      <c r="BZ35" s="1">
        <f>IFERROR(VLOOKUP($A35,East2005[],7,FALSE),VLOOKUP($A35,West2005[],7,FALSE))</f>
        <v>97.3</v>
      </c>
      <c r="CA35">
        <f>IFERROR(VLOOKUP($A35,East2005[],4,FALSE),VLOOKUP($A35,West2005[],4,FALSE))</f>
        <v>0.317</v>
      </c>
      <c r="CB35" s="4">
        <f t="shared" si="30"/>
        <v>0.34464534057022556</v>
      </c>
      <c r="CC35" s="5">
        <f t="shared" si="31"/>
        <v>-2.7645340570225552E-2</v>
      </c>
      <c r="CD35" s="1">
        <f>IFERROR(VLOOKUP($A35,East2004[],6,FALSE),VLOOKUP($A35,West2004[],6,FALSE))</f>
        <v>88.7</v>
      </c>
      <c r="CE35" s="1">
        <f>IFERROR(VLOOKUP($A35,East2004[],7,FALSE),VLOOKUP($A35,West2004[],7,FALSE))</f>
        <v>89.9</v>
      </c>
      <c r="CF35">
        <f>IFERROR(VLOOKUP($A35,East2004[],4,FALSE),VLOOKUP($A35,West2004[],4,FALSE))</f>
        <v>0.51200000000000001</v>
      </c>
      <c r="CG35" s="4">
        <f t="shared" si="32"/>
        <v>0.45422696051447825</v>
      </c>
      <c r="CH35" s="5">
        <f t="shared" si="33"/>
        <v>5.777303948552176E-2</v>
      </c>
      <c r="CI35" s="1">
        <f>IFERROR(VLOOKUP($A35,East2003[],6,FALSE),VLOOKUP($A35,West2003[],6,FALSE))</f>
        <v>94.7</v>
      </c>
      <c r="CJ35" s="1">
        <f>IFERROR(VLOOKUP($A35,East2003[],7,FALSE),VLOOKUP($A35,West2003[],7,FALSE))</f>
        <v>92.3</v>
      </c>
      <c r="CK35">
        <f>IFERROR(VLOOKUP($A35,East2003[],4,FALSE),VLOOKUP($A35,West2003[],4,FALSE))</f>
        <v>0.57299999999999995</v>
      </c>
      <c r="CL35" s="4">
        <f t="shared" si="34"/>
        <v>0.58832621786359995</v>
      </c>
      <c r="CM35" s="5">
        <f t="shared" si="35"/>
        <v>-1.53262178636E-2</v>
      </c>
    </row>
    <row r="36" spans="1:91" x14ac:dyDescent="0.25">
      <c r="A36" s="1" t="s">
        <v>142</v>
      </c>
      <c r="B36" s="1">
        <f>IFERROR(VLOOKUP(A36,East2020[],6,FALSE),VLOOKUP(A36,West2020[],6,FALSE))</f>
        <v>114.4</v>
      </c>
      <c r="C36" s="1">
        <f>IFERROR(VLOOKUP(A36,East2020[],7,FALSE),VLOOKUP(A36,West2020[],7,FALSE))</f>
        <v>119.1</v>
      </c>
      <c r="D36">
        <f>IFERROR(VLOOKUP(A36,East2020[],4,FALSE),VLOOKUP(A36,West2020[],4,FALSE))</f>
        <v>0.34699999999999998</v>
      </c>
      <c r="E36" s="4">
        <f t="shared" si="0"/>
        <v>0.34113305286844342</v>
      </c>
      <c r="F36" s="5">
        <f t="shared" si="1"/>
        <v>5.8669471315565547E-3</v>
      </c>
      <c r="G36" s="1">
        <f>IFERROR(VLOOKUP($A36,East2019[],6,FALSE),VLOOKUP($A36,West2019[],6,FALSE))</f>
        <v>114</v>
      </c>
      <c r="H36" s="1">
        <f>IFERROR(VLOOKUP($A36,East2019[],7,FALSE),VLOOKUP($A36,West2019[],7,FALSE))</f>
        <v>116.9</v>
      </c>
      <c r="I36">
        <f>IFERROR(VLOOKUP($A36,East2019[],4,FALSE),VLOOKUP($A36,West2019[],4,FALSE))</f>
        <v>0.39</v>
      </c>
      <c r="J36" s="4">
        <f t="shared" si="2"/>
        <v>0.3992438012482567</v>
      </c>
      <c r="K36" s="5">
        <f t="shared" si="3"/>
        <v>-9.2438012482566889E-3</v>
      </c>
      <c r="L36" s="1">
        <f>IFERROR(VLOOKUP($A36,East2018[],6,FALSE),VLOOKUP($A36,West2018[],6,FALSE))</f>
        <v>106.6</v>
      </c>
      <c r="M36" s="1">
        <f>IFERROR(VLOOKUP($A36,East2018[],7,FALSE),VLOOKUP($A36,West2018[],7,FALSE))</f>
        <v>106</v>
      </c>
      <c r="N36">
        <f>IFERROR(VLOOKUP($A36,East2018[],4,FALSE),VLOOKUP($A36,West2018[],4,FALSE))</f>
        <v>0.52400000000000002</v>
      </c>
      <c r="O36" s="4">
        <f t="shared" si="4"/>
        <v>0.52193547860235434</v>
      </c>
      <c r="P36" s="5">
        <f t="shared" si="5"/>
        <v>2.06452139764568E-3</v>
      </c>
      <c r="Q36" s="1">
        <f>IFERROR(VLOOKUP($A36,East2017[],6,FALSE),VLOOKUP($A36,West2017[],6,FALSE))</f>
        <v>109.2</v>
      </c>
      <c r="R36" s="1">
        <f>IFERROR(VLOOKUP($A36,East2017[],7,FALSE),VLOOKUP($A36,West2017[],7,FALSE))</f>
        <v>107.4</v>
      </c>
      <c r="S36">
        <f>IFERROR(VLOOKUP($A36,East2017[],4,FALSE),VLOOKUP($A36,West2017[],4,FALSE))</f>
        <v>0.59799999999999998</v>
      </c>
      <c r="T36" s="4">
        <f t="shared" si="6"/>
        <v>0.56383292629237913</v>
      </c>
      <c r="U36" s="5">
        <f t="shared" si="7"/>
        <v>3.4167073707620843E-2</v>
      </c>
      <c r="V36" s="1">
        <f>IFERROR(VLOOKUP($A36,East2016[],6,FALSE),VLOOKUP($A36,West2016[],6,FALSE))</f>
        <v>104.1</v>
      </c>
      <c r="W36" s="1">
        <f>IFERROR(VLOOKUP($A36,East2016[],7,FALSE),VLOOKUP($A36,West2016[],7,FALSE))</f>
        <v>104.6</v>
      </c>
      <c r="X36">
        <f>IFERROR(VLOOKUP($A36,East2016[],4,FALSE),VLOOKUP($A36,West2016[],4,FALSE))</f>
        <v>0.5</v>
      </c>
      <c r="Y36" s="4">
        <f t="shared" si="8"/>
        <v>0.48201689476394188</v>
      </c>
      <c r="Z36" s="5">
        <f t="shared" si="9"/>
        <v>1.7983105236058117E-2</v>
      </c>
      <c r="AA36" s="1">
        <f>IFERROR(VLOOKUP($A36,East2015[],6,FALSE),VLOOKUP($A36,West2015[],6,FALSE))</f>
        <v>98.5</v>
      </c>
      <c r="AB36" s="1">
        <f>IFERROR(VLOOKUP($A36,East2015[],7,FALSE),VLOOKUP($A36,West2015[],7,FALSE))</f>
        <v>97.8</v>
      </c>
      <c r="AC36">
        <f>IFERROR(VLOOKUP($A36,East2015[],4,FALSE),VLOOKUP($A36,West2015[],4,FALSE))</f>
        <v>0.56100000000000005</v>
      </c>
      <c r="AD36" s="4">
        <f t="shared" si="10"/>
        <v>0.52606304284715921</v>
      </c>
      <c r="AE36" s="5">
        <f t="shared" si="11"/>
        <v>3.4936957152840842E-2</v>
      </c>
      <c r="AF36" s="1">
        <f>IFERROR(VLOOKUP($A36,East2014[],6,FALSE),VLOOKUP($A36,West2014[],6,FALSE))</f>
        <v>100.7</v>
      </c>
      <c r="AG36" s="1">
        <f>IFERROR(VLOOKUP($A36,East2014[],7,FALSE),VLOOKUP($A36,West2014[],7,FALSE))</f>
        <v>99.4</v>
      </c>
      <c r="AH36">
        <f>IFERROR(VLOOKUP($A36,East2014[],4,FALSE),VLOOKUP($A36,West2014[],4,FALSE))</f>
        <v>0.53700000000000003</v>
      </c>
      <c r="AI36" s="4">
        <f t="shared" si="12"/>
        <v>0.54785305421310715</v>
      </c>
      <c r="AJ36" s="5">
        <f t="shared" si="13"/>
        <v>-1.0853054213107116E-2</v>
      </c>
      <c r="AK36" s="1">
        <f>IFERROR(VLOOKUP($A36,East2013[],6,FALSE),VLOOKUP($A36,West2013[],6,FALSE))</f>
        <v>93.2</v>
      </c>
      <c r="AL36" s="1">
        <f>IFERROR(VLOOKUP($A36,East2013[],7,FALSE),VLOOKUP($A36,West2013[],7,FALSE))</f>
        <v>95.8</v>
      </c>
      <c r="AM36">
        <f>IFERROR(VLOOKUP($A36,East2013[],4,FALSE),VLOOKUP($A36,West2013[],4,FALSE))</f>
        <v>0.35399999999999998</v>
      </c>
      <c r="AN36" s="4">
        <f t="shared" si="14"/>
        <v>0.40251585398100148</v>
      </c>
      <c r="AO36" s="5">
        <f t="shared" si="15"/>
        <v>-4.85158539810015E-2</v>
      </c>
      <c r="AP36" s="1">
        <f>IFERROR(VLOOKUP($A36,East2012[],6,FALSE),VLOOKUP($A36,West2012[],6,FALSE))</f>
        <v>93.6</v>
      </c>
      <c r="AQ36" s="1">
        <f>IFERROR(VLOOKUP($A36,East2012[],7,FALSE),VLOOKUP($A36,West2012[],7,FALSE))</f>
        <v>98.4</v>
      </c>
      <c r="AR36">
        <f>IFERROR(VLOOKUP($A36,East2012[],4,FALSE),VLOOKUP($A36,West2012[],4,FALSE))</f>
        <v>0.30299999999999999</v>
      </c>
      <c r="AS36" s="4">
        <f t="shared" si="16"/>
        <v>0.33087647075625287</v>
      </c>
      <c r="AT36" s="5">
        <f t="shared" si="17"/>
        <v>-2.787647075625288E-2</v>
      </c>
      <c r="AU36" s="1">
        <f>IFERROR(VLOOKUP($A36,East2011[],6,FALSE),VLOOKUP($A36,West2011[],6,FALSE))</f>
        <v>97.3</v>
      </c>
      <c r="AV36" s="1">
        <f>IFERROR(VLOOKUP($A36,East2011[],7,FALSE),VLOOKUP($A36,West2011[],7,FALSE))</f>
        <v>104.7</v>
      </c>
      <c r="AW36">
        <f>IFERROR(VLOOKUP($A36,East2011[],4,FALSE),VLOOKUP($A36,West2011[],4,FALSE))</f>
        <v>0.28000000000000003</v>
      </c>
      <c r="AX36" s="4">
        <f t="shared" si="18"/>
        <v>0.25588367756664887</v>
      </c>
      <c r="AY36" s="5">
        <f t="shared" si="19"/>
        <v>2.4116322433351156E-2</v>
      </c>
      <c r="AZ36" s="1">
        <f>IFERROR(VLOOKUP($A36,East2010[],6,FALSE),VLOOKUP($A36,West2010[],6,FALSE))</f>
        <v>96.2</v>
      </c>
      <c r="BA36" s="1">
        <f>IFERROR(VLOOKUP($A36,East2010[],7,FALSE),VLOOKUP($A36,West2010[],7,FALSE))</f>
        <v>101</v>
      </c>
      <c r="BB36">
        <f>IFERROR(VLOOKUP($A36,East2010[],4,FALSE),VLOOKUP($A36,West2010[],4,FALSE))</f>
        <v>0.317</v>
      </c>
      <c r="BC36" s="4">
        <f t="shared" si="20"/>
        <v>0.32838663763026343</v>
      </c>
      <c r="BD36" s="5">
        <f t="shared" si="21"/>
        <v>-1.138663763026343E-2</v>
      </c>
      <c r="BE36" s="1">
        <f>IFERROR(VLOOKUP($A36,East2009[],6,FALSE),VLOOKUP($A36,West2009[],6,FALSE))</f>
        <v>96.1</v>
      </c>
      <c r="BF36" s="1">
        <f>IFERROR(VLOOKUP($A36,East2009[],7,FALSE),VLOOKUP($A36,West2009[],7,FALSE))</f>
        <v>103.5</v>
      </c>
      <c r="BG36">
        <f>IFERROR(VLOOKUP($A36,East2009[],4,FALSE),VLOOKUP($A36,West2009[],4,FALSE))</f>
        <v>0.23200000000000001</v>
      </c>
      <c r="BH36" s="4">
        <f t="shared" si="22"/>
        <v>0.25263499201509854</v>
      </c>
      <c r="BI36" s="5">
        <f t="shared" si="23"/>
        <v>-2.0634992015098524E-2</v>
      </c>
      <c r="BJ36" s="1">
        <f>IFERROR(VLOOKUP($A36,East2008[],6,FALSE),VLOOKUP($A36,West2008[],6,FALSE))</f>
        <v>98.8</v>
      </c>
      <c r="BK36" s="1">
        <f>IFERROR(VLOOKUP($A36,East2008[],7,FALSE),VLOOKUP($A36,West2008[],7,FALSE))</f>
        <v>99.2</v>
      </c>
      <c r="BL36">
        <f>IFERROR(VLOOKUP($A36,East2008[],4,FALSE),VLOOKUP($A36,West2008[],4,FALSE))</f>
        <v>0.52400000000000002</v>
      </c>
      <c r="BM36" s="4">
        <f t="shared" si="24"/>
        <v>0.48523943242296391</v>
      </c>
      <c r="BN36" s="5">
        <f t="shared" si="25"/>
        <v>3.8760567577036109E-2</v>
      </c>
      <c r="BO36" s="1">
        <f>IFERROR(VLOOKUP($A36,East2007[],6,FALSE),VLOOKUP($A36,West2007[],6,FALSE))</f>
        <v>104.3</v>
      </c>
      <c r="BP36" s="1">
        <f>IFERROR(VLOOKUP($A36,East2007[],7,FALSE),VLOOKUP($A36,West2007[],7,FALSE))</f>
        <v>104.9</v>
      </c>
      <c r="BQ36">
        <f>IFERROR(VLOOKUP($A36,East2007[],4,FALSE),VLOOKUP($A36,West2007[],4,FALSE))</f>
        <v>0.5</v>
      </c>
      <c r="BR36" s="4">
        <f t="shared" si="26"/>
        <v>0.47929951840832757</v>
      </c>
      <c r="BS36" s="5">
        <f t="shared" si="27"/>
        <v>2.0700481591672426E-2</v>
      </c>
      <c r="BT36" s="1">
        <f>IFERROR(VLOOKUP($A36,East2006[],6,FALSE),VLOOKUP($A36,West2006[],6,FALSE))</f>
        <v>101.7</v>
      </c>
      <c r="BU36" s="1">
        <f>IFERROR(VLOOKUP($A36,East2006[],7,FALSE),VLOOKUP($A36,West2006[],7,FALSE))</f>
        <v>99.8</v>
      </c>
      <c r="BV36">
        <f>IFERROR(VLOOKUP($A36,East2006[],4,FALSE),VLOOKUP($A36,West2006[],4,FALSE))</f>
        <v>0.51200000000000001</v>
      </c>
      <c r="BW36" s="4">
        <f t="shared" si="28"/>
        <v>0.56651209045786999</v>
      </c>
      <c r="BX36" s="5">
        <f t="shared" si="29"/>
        <v>-5.4512090457869977E-2</v>
      </c>
      <c r="BY36" s="1">
        <f>IFERROR(VLOOKUP($A36,East2005[],6,FALSE),VLOOKUP($A36,West2005[],6,FALSE))</f>
        <v>100.5</v>
      </c>
      <c r="BZ36" s="1">
        <f>IFERROR(VLOOKUP($A36,East2005[],7,FALSE),VLOOKUP($A36,West2005[],7,FALSE))</f>
        <v>100.8</v>
      </c>
      <c r="CA36">
        <f>IFERROR(VLOOKUP($A36,East2005[],4,FALSE),VLOOKUP($A36,West2005[],4,FALSE))</f>
        <v>0.54900000000000004</v>
      </c>
      <c r="CB36" s="4">
        <f t="shared" si="30"/>
        <v>0.48940670813526621</v>
      </c>
      <c r="CC36" s="5">
        <f t="shared" si="31"/>
        <v>5.9593291864733833E-2</v>
      </c>
      <c r="CD36" s="1">
        <f>IFERROR(VLOOKUP($A36,East2004[],6,FALSE),VLOOKUP($A36,West2004[],6,FALSE))</f>
        <v>91.8</v>
      </c>
      <c r="CE36" s="1">
        <f>IFERROR(VLOOKUP($A36,East2004[],7,FALSE),VLOOKUP($A36,West2004[],7,FALSE))</f>
        <v>97.4</v>
      </c>
      <c r="CF36">
        <f>IFERROR(VLOOKUP($A36,East2004[],4,FALSE),VLOOKUP($A36,West2004[],4,FALSE))</f>
        <v>0.30499999999999999</v>
      </c>
      <c r="CG36" s="4">
        <f t="shared" si="32"/>
        <v>0.30809317951850879</v>
      </c>
      <c r="CH36" s="5">
        <f t="shared" si="33"/>
        <v>-3.0931795185087929E-3</v>
      </c>
      <c r="CI36" s="1">
        <f>IFERROR(VLOOKUP($A36,East2003[],6,FALSE),VLOOKUP($A36,West2003[],6,FALSE))</f>
        <v>91.5</v>
      </c>
      <c r="CJ36" s="1">
        <f>IFERROR(VLOOKUP($A36,East2003[],7,FALSE),VLOOKUP($A36,West2003[],7,FALSE))</f>
        <v>92.5</v>
      </c>
      <c r="CK36">
        <f>IFERROR(VLOOKUP($A36,East2003[],4,FALSE),VLOOKUP($A36,West2003[],4,FALSE))</f>
        <v>0.45100000000000001</v>
      </c>
      <c r="CL36" s="4">
        <f t="shared" si="34"/>
        <v>0.46227439072554044</v>
      </c>
      <c r="CM36" s="5">
        <f t="shared" si="35"/>
        <v>-1.1274390725540429E-2</v>
      </c>
    </row>
    <row r="37" spans="1:91" x14ac:dyDescent="0.25">
      <c r="C37" s="1">
        <f>AVERAGE(B7:C36)/F5</f>
        <v>6.8359015324331489</v>
      </c>
      <c r="F37" s="149">
        <f>SUM(F7:F36)</f>
        <v>4.1152854207693323E-8</v>
      </c>
      <c r="K37" s="149">
        <f>SUM(K7:K36)</f>
        <v>-8.9425952222593752E-2</v>
      </c>
      <c r="P37" s="4">
        <f>SUM(P7:P36)</f>
        <v>-2.8926452163459432E-2</v>
      </c>
      <c r="U37" s="4">
        <f>SUM(U7:U36)</f>
        <v>4.3675182679046076E-2</v>
      </c>
      <c r="Z37" s="4">
        <f>SUM(Z7:Z36)</f>
        <v>1.9812422993756851E-2</v>
      </c>
      <c r="AE37" s="4">
        <f>SUM(AE7:AE36)</f>
        <v>-1.3053532080281871E-2</v>
      </c>
      <c r="AJ37" s="4">
        <f>SUM(AJ7:AJ36)</f>
        <v>-4.9892187937309429E-2</v>
      </c>
      <c r="AO37" s="4">
        <f>SUM(AO7:AO36)</f>
        <v>2.71931585681216E-2</v>
      </c>
      <c r="AT37" s="4">
        <f>SUM(AT7:AT36)</f>
        <v>-9.9607594180894127E-2</v>
      </c>
      <c r="AY37" s="4">
        <f>SUM(AY7:AY36)</f>
        <v>-5.6598816878115299E-2</v>
      </c>
      <c r="BD37" s="4">
        <f>SUM(BD7:BD36)</f>
        <v>-6.7114817111849578E-2</v>
      </c>
      <c r="BI37" s="4">
        <f>SUM(BI7:BI36)</f>
        <v>-4.1867281727940325E-2</v>
      </c>
      <c r="BN37" s="4">
        <f>SUM(BN7:BN36)</f>
        <v>-1.1044729844903955E-2</v>
      </c>
      <c r="BS37" s="4">
        <f>SUM(BS7:BS36)</f>
        <v>2.6932319584839604E-2</v>
      </c>
      <c r="BX37" s="4">
        <f>SUM(BX7:BX36)</f>
        <v>-3.7849271218738656E-2</v>
      </c>
      <c r="CC37" s="4">
        <f>SUM(CC7:CC36)</f>
        <v>5.4215025816666818E-3</v>
      </c>
      <c r="CH37" s="4">
        <f>SUM(CH7:CH36)</f>
        <v>-9.610670985195191E-3</v>
      </c>
      <c r="CM37" s="4">
        <f>SUM(CM7:CM36)</f>
        <v>-4.2835759106166299E-2</v>
      </c>
    </row>
  </sheetData>
  <mergeCells count="18">
    <mergeCell ref="CI5:CK5"/>
    <mergeCell ref="BE5:BG5"/>
    <mergeCell ref="BJ5:BL5"/>
    <mergeCell ref="BO5:BQ5"/>
    <mergeCell ref="BT5:BV5"/>
    <mergeCell ref="BY5:CA5"/>
    <mergeCell ref="CD5:CF5"/>
    <mergeCell ref="AZ5:BB5"/>
    <mergeCell ref="B5:D5"/>
    <mergeCell ref="G5:I5"/>
    <mergeCell ref="L5:N5"/>
    <mergeCell ref="Q5:S5"/>
    <mergeCell ref="V5:X5"/>
    <mergeCell ref="AA5:AC5"/>
    <mergeCell ref="AF5:AH5"/>
    <mergeCell ref="AK5:AM5"/>
    <mergeCell ref="AP5:AR5"/>
    <mergeCell ref="AU5:AW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5F5A0-75DD-4EB6-821E-3FFA5A7BD2C2}">
  <sheetPr codeName="Sheet2"/>
  <dimension ref="A1:L17"/>
  <sheetViews>
    <sheetView workbookViewId="0">
      <selection activeCell="E9" sqref="E9"/>
    </sheetView>
  </sheetViews>
  <sheetFormatPr defaultRowHeight="15" x14ac:dyDescent="0.25"/>
  <cols>
    <col min="2" max="2" width="19.7109375" bestFit="1" customWidth="1"/>
    <col min="3" max="3" width="5.28515625" bestFit="1" customWidth="1"/>
    <col min="4" max="4" width="4.140625" bestFit="1" customWidth="1"/>
    <col min="5" max="5" width="11" bestFit="1" customWidth="1"/>
    <col min="6" max="6" width="5.85546875" bestFit="1" customWidth="1"/>
    <col min="7" max="7" width="7" bestFit="1" customWidth="1"/>
    <col min="8" max="8" width="8.28515625" bestFit="1" customWidth="1"/>
    <col min="9" max="9" width="27.85546875" bestFit="1" customWidth="1"/>
    <col min="10" max="10" width="12.140625" bestFit="1" customWidth="1"/>
    <col min="12" max="12" width="9.28515625" bestFit="1" customWidth="1"/>
  </cols>
  <sheetData>
    <row r="1" spans="1:12" x14ac:dyDescent="0.25">
      <c r="A1" t="s">
        <v>55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t="s">
        <v>54</v>
      </c>
      <c r="K1" t="s">
        <v>53</v>
      </c>
      <c r="L1" s="6" t="s">
        <v>56</v>
      </c>
    </row>
    <row r="2" spans="1:12" x14ac:dyDescent="0.25">
      <c r="A2">
        <v>1</v>
      </c>
      <c r="B2" s="1" t="s">
        <v>8</v>
      </c>
      <c r="C2" s="1">
        <v>24</v>
      </c>
      <c r="D2" s="1">
        <v>12</v>
      </c>
      <c r="E2" s="1">
        <v>0.66700000000000004</v>
      </c>
      <c r="F2" s="1" t="s">
        <v>9</v>
      </c>
      <c r="G2" s="1">
        <v>114.7</v>
      </c>
      <c r="H2" s="1">
        <v>111.2</v>
      </c>
      <c r="I2" s="1">
        <v>3.21</v>
      </c>
      <c r="J2" s="4">
        <f>VLOOKUP(Eastern_Conference[[#This Row],[Teams]],'Gamma Prediction'!$A$2:$G$31,6,FALSE)</f>
        <v>0.62441404029454339</v>
      </c>
      <c r="K2" s="5">
        <f>VLOOKUP(Eastern_Conference[[#This Row],[Teams]],'Gamma Prediction'!$A$2:$G$31,7,FALSE)</f>
        <v>4.2585959705456644E-2</v>
      </c>
      <c r="L2" s="1">
        <f>RANK(Eastern_Conference[[#This Row],[Γ WIN PCT]],Eastern_Conference[Γ WIN PCT],0)</f>
        <v>3</v>
      </c>
    </row>
    <row r="3" spans="1:12" x14ac:dyDescent="0.25">
      <c r="A3">
        <v>2</v>
      </c>
      <c r="B3" s="1" t="s">
        <v>11</v>
      </c>
      <c r="C3" s="1">
        <v>24</v>
      </c>
      <c r="D3" s="1">
        <v>13</v>
      </c>
      <c r="E3" s="1">
        <v>0.64900000000000002</v>
      </c>
      <c r="F3" s="1" t="s">
        <v>234</v>
      </c>
      <c r="G3" s="1">
        <v>121.1</v>
      </c>
      <c r="H3" s="1">
        <v>116.1</v>
      </c>
      <c r="I3" s="1">
        <v>4.6500000000000004</v>
      </c>
      <c r="J3" s="4">
        <f>VLOOKUP(Eastern_Conference[[#This Row],[Teams]],'Gamma Prediction'!$A$2:$G$31,6,FALSE)</f>
        <v>0.66633008623887702</v>
      </c>
      <c r="K3" s="5">
        <f>VLOOKUP(Eastern_Conference[[#This Row],[Teams]],'Gamma Prediction'!$A$2:$G$31,7,FALSE)</f>
        <v>-1.7330086238876996E-2</v>
      </c>
      <c r="L3" s="1">
        <f>RANK(Eastern_Conference[[#This Row],[Γ WIN PCT]],Eastern_Conference[Γ WIN PCT],0)</f>
        <v>2</v>
      </c>
    </row>
    <row r="4" spans="1:12" x14ac:dyDescent="0.25">
      <c r="A4">
        <v>3</v>
      </c>
      <c r="B4" s="1" t="s">
        <v>10</v>
      </c>
      <c r="C4" s="1">
        <v>22</v>
      </c>
      <c r="D4" s="1">
        <v>14</v>
      </c>
      <c r="E4" s="1">
        <v>0.61099999999999999</v>
      </c>
      <c r="F4" s="1" t="s">
        <v>320</v>
      </c>
      <c r="G4" s="1">
        <v>118.8</v>
      </c>
      <c r="H4" s="1">
        <v>112.5</v>
      </c>
      <c r="I4" s="1">
        <v>6.07</v>
      </c>
      <c r="J4" s="4">
        <f>VLOOKUP(Eastern_Conference[[#This Row],[Teams]],'Gamma Prediction'!$A$2:$G$31,6,FALSE)</f>
        <v>0.70966865533751955</v>
      </c>
      <c r="K4" s="5">
        <f>VLOOKUP(Eastern_Conference[[#This Row],[Teams]],'Gamma Prediction'!$A$2:$G$31,7,FALSE)</f>
        <v>-9.8668655337519562E-2</v>
      </c>
      <c r="L4" s="1">
        <f>RANK(Eastern_Conference[[#This Row],[Γ WIN PCT]],Eastern_Conference[Γ WIN PCT],0)</f>
        <v>1</v>
      </c>
    </row>
    <row r="5" spans="1:12" x14ac:dyDescent="0.25">
      <c r="A5">
        <v>4</v>
      </c>
      <c r="B5" s="1" t="s">
        <v>14</v>
      </c>
      <c r="C5" s="1">
        <v>19</v>
      </c>
      <c r="D5" s="1">
        <v>17</v>
      </c>
      <c r="E5" s="1">
        <v>0.52800000000000002</v>
      </c>
      <c r="F5" s="1" t="s">
        <v>17</v>
      </c>
      <c r="G5" s="1">
        <v>111.7</v>
      </c>
      <c r="H5" s="1">
        <v>110.8</v>
      </c>
      <c r="I5" s="1">
        <v>1.33</v>
      </c>
      <c r="J5" s="4">
        <f>VLOOKUP(Eastern_Conference[[#This Row],[Teams]],'Gamma Prediction'!$A$2:$G$31,6,FALSE)</f>
        <v>0.53312640013331192</v>
      </c>
      <c r="K5" s="5">
        <f>VLOOKUP(Eastern_Conference[[#This Row],[Teams]],'Gamma Prediction'!$A$2:$G$31,7,FALSE)</f>
        <v>-5.1264001333118925E-3</v>
      </c>
      <c r="L5" s="1">
        <f>RANK(Eastern_Conference[[#This Row],[Γ WIN PCT]],Eastern_Conference[Γ WIN PCT],0)</f>
        <v>5</v>
      </c>
    </row>
    <row r="6" spans="1:12" x14ac:dyDescent="0.25">
      <c r="A6">
        <v>5</v>
      </c>
      <c r="B6" s="1" t="s">
        <v>15</v>
      </c>
      <c r="C6" s="1">
        <v>19</v>
      </c>
      <c r="D6" s="1">
        <v>18</v>
      </c>
      <c r="E6" s="1">
        <v>0.51400000000000001</v>
      </c>
      <c r="F6" s="1" t="s">
        <v>19</v>
      </c>
      <c r="G6" s="1">
        <v>104.9</v>
      </c>
      <c r="H6" s="1">
        <v>104.4</v>
      </c>
      <c r="I6" s="1">
        <v>-0.45</v>
      </c>
      <c r="J6" s="4">
        <f>VLOOKUP(Eastern_Conference[[#This Row],[Teams]],'Gamma Prediction'!$A$2:$G$31,6,FALSE)</f>
        <v>0.51958282851140414</v>
      </c>
      <c r="K6" s="5">
        <f>VLOOKUP(Eastern_Conference[[#This Row],[Teams]],'Gamma Prediction'!$A$2:$G$31,7,FALSE)</f>
        <v>-5.5828285114041254E-3</v>
      </c>
      <c r="L6" s="1">
        <f>RANK(Eastern_Conference[[#This Row],[Γ WIN PCT]],Eastern_Conference[Γ WIN PCT],0)</f>
        <v>6</v>
      </c>
    </row>
    <row r="7" spans="1:12" x14ac:dyDescent="0.25">
      <c r="A7">
        <v>6</v>
      </c>
      <c r="B7" s="1" t="s">
        <v>22</v>
      </c>
      <c r="C7" s="1">
        <v>18</v>
      </c>
      <c r="D7" s="1">
        <v>18</v>
      </c>
      <c r="E7" s="1">
        <v>0.5</v>
      </c>
      <c r="F7" s="1" t="s">
        <v>21</v>
      </c>
      <c r="G7" s="1">
        <v>106.8</v>
      </c>
      <c r="H7" s="1">
        <v>108.4</v>
      </c>
      <c r="I7" s="1">
        <v>-1.05</v>
      </c>
      <c r="J7" s="4">
        <f>VLOOKUP(Eastern_Conference[[#This Row],[Teams]],'Gamma Prediction'!$A$2:$G$31,6,FALSE)</f>
        <v>0.43932134056828853</v>
      </c>
      <c r="K7" s="5">
        <f>VLOOKUP(Eastern_Conference[[#This Row],[Teams]],'Gamma Prediction'!$A$2:$G$31,7,FALSE)</f>
        <v>6.0678659431711468E-2</v>
      </c>
      <c r="L7" s="1">
        <f>RANK(Eastern_Conference[[#This Row],[Γ WIN PCT]],Eastern_Conference[Γ WIN PCT],0)</f>
        <v>11</v>
      </c>
    </row>
    <row r="8" spans="1:12" x14ac:dyDescent="0.25">
      <c r="A8">
        <v>7</v>
      </c>
      <c r="B8" s="1" t="s">
        <v>16</v>
      </c>
      <c r="C8" s="1">
        <v>17</v>
      </c>
      <c r="D8" s="1">
        <v>18</v>
      </c>
      <c r="E8" s="1">
        <v>0.48599999999999999</v>
      </c>
      <c r="F8" s="1" t="s">
        <v>319</v>
      </c>
      <c r="G8" s="1">
        <v>112.7</v>
      </c>
      <c r="H8" s="1">
        <v>113.2</v>
      </c>
      <c r="I8" s="1">
        <v>-0.7</v>
      </c>
      <c r="J8" s="4">
        <f>VLOOKUP(Eastern_Conference[[#This Row],[Teams]],'Gamma Prediction'!$A$2:$G$31,6,FALSE)</f>
        <v>0.48185488398163456</v>
      </c>
      <c r="K8" s="5">
        <f>VLOOKUP(Eastern_Conference[[#This Row],[Teams]],'Gamma Prediction'!$A$2:$G$31,7,FALSE)</f>
        <v>4.1451160183654245E-3</v>
      </c>
      <c r="L8" s="1">
        <f>RANK(Eastern_Conference[[#This Row],[Γ WIN PCT]],Eastern_Conference[Γ WIN PCT],0)</f>
        <v>10</v>
      </c>
    </row>
    <row r="9" spans="1:12" x14ac:dyDescent="0.25">
      <c r="A9">
        <v>8</v>
      </c>
      <c r="B9" s="1" t="s">
        <v>18</v>
      </c>
      <c r="C9" s="1">
        <v>17</v>
      </c>
      <c r="D9" s="1">
        <v>19</v>
      </c>
      <c r="E9" s="1">
        <v>0.47199999999999998</v>
      </c>
      <c r="F9" s="1" t="s">
        <v>38</v>
      </c>
      <c r="G9" s="1">
        <v>113</v>
      </c>
      <c r="H9" s="1">
        <v>111.6</v>
      </c>
      <c r="I9" s="1">
        <v>1</v>
      </c>
      <c r="J9" s="4">
        <f>VLOOKUP(Eastern_Conference[[#This Row],[Teams]],'Gamma Prediction'!$A$2:$G$31,6,FALSE)</f>
        <v>0.55094601107712182</v>
      </c>
      <c r="K9" s="5">
        <f>VLOOKUP(Eastern_Conference[[#This Row],[Teams]],'Gamma Prediction'!$A$2:$G$31,7,FALSE)</f>
        <v>-7.8946011077121847E-2</v>
      </c>
      <c r="L9" s="1">
        <f>RANK(Eastern_Conference[[#This Row],[Γ WIN PCT]],Eastern_Conference[Γ WIN PCT],0)</f>
        <v>4</v>
      </c>
    </row>
    <row r="10" spans="1:12" x14ac:dyDescent="0.25">
      <c r="A10">
        <v>9</v>
      </c>
      <c r="B10" s="1" t="s">
        <v>20</v>
      </c>
      <c r="C10" s="1">
        <v>16</v>
      </c>
      <c r="D10" s="1">
        <v>18</v>
      </c>
      <c r="E10" s="1">
        <v>0.47099999999999997</v>
      </c>
      <c r="F10" s="1" t="s">
        <v>38</v>
      </c>
      <c r="G10" s="1">
        <v>115</v>
      </c>
      <c r="H10" s="1">
        <v>115.2</v>
      </c>
      <c r="I10" s="1">
        <v>-0.95</v>
      </c>
      <c r="J10" s="4">
        <f>VLOOKUP(Eastern_Conference[[#This Row],[Teams]],'Gamma Prediction'!$A$2:$G$31,6,FALSE)</f>
        <v>0.4928748926165491</v>
      </c>
      <c r="K10" s="5">
        <f>VLOOKUP(Eastern_Conference[[#This Row],[Teams]],'Gamma Prediction'!$A$2:$G$31,7,FALSE)</f>
        <v>-2.1874892616549124E-2</v>
      </c>
      <c r="L10" s="1">
        <f>RANK(Eastern_Conference[[#This Row],[Γ WIN PCT]],Eastern_Conference[Γ WIN PCT],0)</f>
        <v>9</v>
      </c>
    </row>
    <row r="11" spans="1:12" x14ac:dyDescent="0.25">
      <c r="A11">
        <v>10</v>
      </c>
      <c r="B11" s="1" t="s">
        <v>12</v>
      </c>
      <c r="C11" s="1">
        <v>16</v>
      </c>
      <c r="D11" s="1">
        <v>19</v>
      </c>
      <c r="E11" s="1">
        <v>0.45700000000000002</v>
      </c>
      <c r="F11" s="1" t="s">
        <v>78</v>
      </c>
      <c r="G11" s="1">
        <v>112.8</v>
      </c>
      <c r="H11" s="1">
        <v>112.5</v>
      </c>
      <c r="I11" s="1">
        <v>0.35</v>
      </c>
      <c r="J11" s="4">
        <f>VLOOKUP(Eastern_Conference[[#This Row],[Teams]],'Gamma Prediction'!$A$2:$G$31,6,FALSE)</f>
        <v>0.51091911133120493</v>
      </c>
      <c r="K11" s="5">
        <f>VLOOKUP(Eastern_Conference[[#This Row],[Teams]],'Gamma Prediction'!$A$2:$G$31,7,FALSE)</f>
        <v>-5.3919111331204916E-2</v>
      </c>
      <c r="L11" s="1">
        <f>RANK(Eastern_Conference[[#This Row],[Γ WIN PCT]],Eastern_Conference[Γ WIN PCT],0)</f>
        <v>8</v>
      </c>
    </row>
    <row r="12" spans="1:12" x14ac:dyDescent="0.25">
      <c r="A12">
        <v>11</v>
      </c>
      <c r="B12" s="1" t="s">
        <v>23</v>
      </c>
      <c r="C12" s="1">
        <v>16</v>
      </c>
      <c r="D12" s="1">
        <v>20</v>
      </c>
      <c r="E12" s="1">
        <v>0.44400000000000001</v>
      </c>
      <c r="F12" s="1" t="s">
        <v>25</v>
      </c>
      <c r="G12" s="1">
        <v>112.6</v>
      </c>
      <c r="H12" s="1">
        <v>112.2</v>
      </c>
      <c r="I12" s="1">
        <v>0.51</v>
      </c>
      <c r="J12" s="4">
        <f>VLOOKUP(Eastern_Conference[[#This Row],[Teams]],'Gamma Prediction'!$A$2:$G$31,6,FALSE)</f>
        <v>0.51458938122407183</v>
      </c>
      <c r="K12" s="5">
        <f>VLOOKUP(Eastern_Conference[[#This Row],[Teams]],'Gamma Prediction'!$A$2:$G$31,7,FALSE)</f>
        <v>-7.0589381224071823E-2</v>
      </c>
      <c r="L12" s="1">
        <f>RANK(Eastern_Conference[[#This Row],[Γ WIN PCT]],Eastern_Conference[Γ WIN PCT],0)</f>
        <v>7</v>
      </c>
    </row>
    <row r="13" spans="1:12" x14ac:dyDescent="0.25">
      <c r="A13">
        <v>12</v>
      </c>
      <c r="B13" s="1" t="s">
        <v>28</v>
      </c>
      <c r="C13" s="1">
        <v>14</v>
      </c>
      <c r="D13" s="1">
        <v>21</v>
      </c>
      <c r="E13" s="1">
        <v>0.4</v>
      </c>
      <c r="F13" s="1" t="s">
        <v>321</v>
      </c>
      <c r="G13" s="1">
        <v>114.7</v>
      </c>
      <c r="H13" s="1">
        <v>119.4</v>
      </c>
      <c r="I13" s="1">
        <v>-4.6500000000000004</v>
      </c>
      <c r="J13" s="4">
        <f>VLOOKUP(Eastern_Conference[[#This Row],[Teams]],'Gamma Prediction'!$A$2:$G$31,6,FALSE)</f>
        <v>0.34102380384710623</v>
      </c>
      <c r="K13" s="5">
        <f>VLOOKUP(Eastern_Conference[[#This Row],[Teams]],'Gamma Prediction'!$A$2:$G$31,7,FALSE)</f>
        <v>5.8976196152893789E-2</v>
      </c>
      <c r="L13" s="1">
        <f>RANK(Eastern_Conference[[#This Row],[Γ WIN PCT]],Eastern_Conference[Γ WIN PCT],0)</f>
        <v>13</v>
      </c>
    </row>
    <row r="14" spans="1:12" x14ac:dyDescent="0.25">
      <c r="A14">
        <v>13</v>
      </c>
      <c r="B14" s="1" t="s">
        <v>26</v>
      </c>
      <c r="C14" s="1">
        <v>14</v>
      </c>
      <c r="D14" s="1">
        <v>22</v>
      </c>
      <c r="E14" s="1">
        <v>0.38900000000000001</v>
      </c>
      <c r="F14" s="1" t="s">
        <v>42</v>
      </c>
      <c r="G14" s="1">
        <v>104.6</v>
      </c>
      <c r="H14" s="1">
        <v>112.1</v>
      </c>
      <c r="I14" s="1">
        <v>-6.84</v>
      </c>
      <c r="J14" s="4">
        <f>VLOOKUP(Eastern_Conference[[#This Row],[Teams]],'Gamma Prediction'!$A$2:$G$31,6,FALSE)</f>
        <v>0.24307788167224093</v>
      </c>
      <c r="K14" s="5">
        <f>VLOOKUP(Eastern_Conference[[#This Row],[Teams]],'Gamma Prediction'!$A$2:$G$31,7,FALSE)</f>
        <v>0.14592211832775909</v>
      </c>
      <c r="L14" s="1">
        <f>RANK(Eastern_Conference[[#This Row],[Γ WIN PCT]],Eastern_Conference[Γ WIN PCT],0)</f>
        <v>15</v>
      </c>
    </row>
    <row r="15" spans="1:12" x14ac:dyDescent="0.25">
      <c r="A15">
        <v>14</v>
      </c>
      <c r="B15" s="1" t="s">
        <v>24</v>
      </c>
      <c r="C15" s="1">
        <v>13</v>
      </c>
      <c r="D15" s="1">
        <v>23</v>
      </c>
      <c r="E15" s="1">
        <v>0.36099999999999999</v>
      </c>
      <c r="F15" s="1" t="s">
        <v>45</v>
      </c>
      <c r="G15" s="1">
        <v>105.6</v>
      </c>
      <c r="H15" s="1">
        <v>112.2</v>
      </c>
      <c r="I15" s="1">
        <v>-7.22</v>
      </c>
      <c r="J15" s="4">
        <f>VLOOKUP(Eastern_Conference[[#This Row],[Teams]],'Gamma Prediction'!$A$2:$G$31,6,FALSE)</f>
        <v>0.27003757520772437</v>
      </c>
      <c r="K15" s="5">
        <f>VLOOKUP(Eastern_Conference[[#This Row],[Teams]],'Gamma Prediction'!$A$2:$G$31,7,FALSE)</f>
        <v>9.096242479227562E-2</v>
      </c>
      <c r="L15" s="1">
        <f>RANK(Eastern_Conference[[#This Row],[Γ WIN PCT]],Eastern_Conference[Γ WIN PCT],0)</f>
        <v>14</v>
      </c>
    </row>
    <row r="16" spans="1:12" x14ac:dyDescent="0.25">
      <c r="A16">
        <v>15</v>
      </c>
      <c r="B16" s="1" t="s">
        <v>29</v>
      </c>
      <c r="C16" s="1">
        <v>10</v>
      </c>
      <c r="D16" s="1">
        <v>26</v>
      </c>
      <c r="E16" s="1">
        <v>0.27800000000000002</v>
      </c>
      <c r="F16" s="1" t="s">
        <v>322</v>
      </c>
      <c r="G16" s="1">
        <v>108</v>
      </c>
      <c r="H16" s="1">
        <v>111.9</v>
      </c>
      <c r="I16" s="1">
        <v>-3.15</v>
      </c>
      <c r="J16" s="4">
        <f>VLOOKUP(Eastern_Conference[[#This Row],[Teams]],'Gamma Prediction'!$A$2:$G$31,6,FALSE)</f>
        <v>0.35849780709715673</v>
      </c>
      <c r="K16" s="5">
        <f>VLOOKUP(Eastern_Conference[[#This Row],[Teams]],'Gamma Prediction'!$A$2:$G$31,7,FALSE)</f>
        <v>-8.0497807097156704E-2</v>
      </c>
      <c r="L16" s="1">
        <f>RANK(Eastern_Conference[[#This Row],[Γ WIN PCT]],Eastern_Conference[Γ WIN PCT],0)</f>
        <v>12</v>
      </c>
    </row>
    <row r="17" spans="10:10" x14ac:dyDescent="0.25">
      <c r="J17" s="4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1174-997B-4F3D-B7F6-CC8E7B472319}">
  <sheetPr codeName="Sheet3"/>
  <dimension ref="A1:L16"/>
  <sheetViews>
    <sheetView workbookViewId="0">
      <selection activeCell="Q8" sqref="Q8"/>
    </sheetView>
  </sheetViews>
  <sheetFormatPr defaultRowHeight="15" x14ac:dyDescent="0.25"/>
  <cols>
    <col min="2" max="2" width="24.28515625" bestFit="1" customWidth="1"/>
    <col min="3" max="3" width="5.28515625" bestFit="1" customWidth="1"/>
    <col min="4" max="4" width="4.140625" bestFit="1" customWidth="1"/>
    <col min="5" max="5" width="11" bestFit="1" customWidth="1"/>
    <col min="6" max="6" width="5.85546875" bestFit="1" customWidth="1"/>
    <col min="7" max="7" width="7" bestFit="1" customWidth="1"/>
    <col min="8" max="8" width="8.28515625" bestFit="1" customWidth="1"/>
    <col min="9" max="9" width="27.85546875" bestFit="1" customWidth="1"/>
    <col min="10" max="10" width="12.140625" bestFit="1" customWidth="1"/>
    <col min="12" max="12" width="9.28515625" bestFit="1" customWidth="1"/>
  </cols>
  <sheetData>
    <row r="1" spans="1:12" x14ac:dyDescent="0.25">
      <c r="A1" t="s">
        <v>55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t="s">
        <v>54</v>
      </c>
      <c r="K1" t="s">
        <v>53</v>
      </c>
      <c r="L1" s="6" t="s">
        <v>56</v>
      </c>
    </row>
    <row r="2" spans="1:12" x14ac:dyDescent="0.25">
      <c r="A2">
        <v>1</v>
      </c>
      <c r="B2" s="1" t="s">
        <v>30</v>
      </c>
      <c r="C2" s="1">
        <v>27</v>
      </c>
      <c r="D2" s="1">
        <v>9</v>
      </c>
      <c r="E2" s="1">
        <v>0.75</v>
      </c>
      <c r="F2" s="1" t="s">
        <v>9</v>
      </c>
      <c r="G2" s="1">
        <v>116.6</v>
      </c>
      <c r="H2" s="1">
        <v>107.8</v>
      </c>
      <c r="I2" s="1">
        <v>9.49</v>
      </c>
      <c r="J2" s="4">
        <f>VLOOKUP(Western_Conference[[#This Row],[Teams]],'Gamma Prediction'!$A$2:$G$31,6,FALSE)</f>
        <v>0.78366915778063162</v>
      </c>
      <c r="K2" s="5">
        <f>VLOOKUP(Western_Conference[[#This Row],[Teams]],'Gamma Prediction'!$A$2:$G$31,7,FALSE)</f>
        <v>-3.366915778063162E-2</v>
      </c>
      <c r="L2" s="1">
        <f>RANK(Western_Conference[[#This Row],[Γ WIN PCT]],Western_Conference[Γ WIN PCT],0)</f>
        <v>1</v>
      </c>
    </row>
    <row r="3" spans="1:12" x14ac:dyDescent="0.25">
      <c r="A3">
        <v>2</v>
      </c>
      <c r="B3" s="1" t="s">
        <v>34</v>
      </c>
      <c r="C3" s="1">
        <v>24</v>
      </c>
      <c r="D3" s="1">
        <v>11</v>
      </c>
      <c r="E3" s="1">
        <v>0.68600000000000005</v>
      </c>
      <c r="F3" s="1" t="s">
        <v>33</v>
      </c>
      <c r="G3" s="1">
        <v>113.6</v>
      </c>
      <c r="H3" s="1">
        <v>107.1</v>
      </c>
      <c r="I3" s="1">
        <v>6.51</v>
      </c>
      <c r="J3" s="4">
        <f>VLOOKUP(Western_Conference[[#This Row],[Teams]],'Gamma Prediction'!$A$2:$G$31,6,FALSE)</f>
        <v>0.72441723754756948</v>
      </c>
      <c r="K3" s="5">
        <f>VLOOKUP(Western_Conference[[#This Row],[Teams]],'Gamma Prediction'!$A$2:$G$31,7,FALSE)</f>
        <v>-3.8417237547569427E-2</v>
      </c>
      <c r="L3" s="1">
        <f>RANK(Western_Conference[[#This Row],[Γ WIN PCT]],Western_Conference[Γ WIN PCT],0)</f>
        <v>2</v>
      </c>
    </row>
    <row r="4" spans="1:12" x14ac:dyDescent="0.25">
      <c r="A4">
        <v>3</v>
      </c>
      <c r="B4" s="1" t="s">
        <v>31</v>
      </c>
      <c r="C4" s="1">
        <v>24</v>
      </c>
      <c r="D4" s="1">
        <v>13</v>
      </c>
      <c r="E4" s="1">
        <v>0.64900000000000002</v>
      </c>
      <c r="F4" s="1" t="s">
        <v>77</v>
      </c>
      <c r="G4" s="1">
        <v>111.4</v>
      </c>
      <c r="H4" s="1">
        <v>106.3</v>
      </c>
      <c r="I4" s="1">
        <v>4.47</v>
      </c>
      <c r="J4" s="4">
        <f>VLOOKUP(Western_Conference[[#This Row],[Teams]],'Gamma Prediction'!$A$2:$G$31,6,FALSE)</f>
        <v>0.68323591514862614</v>
      </c>
      <c r="K4" s="5">
        <f>VLOOKUP(Western_Conference[[#This Row],[Teams]],'Gamma Prediction'!$A$2:$G$31,7,FALSE)</f>
        <v>-3.4235915148626117E-2</v>
      </c>
      <c r="L4" s="1">
        <f>RANK(Western_Conference[[#This Row],[Γ WIN PCT]],Western_Conference[Γ WIN PCT],0)</f>
        <v>4</v>
      </c>
    </row>
    <row r="5" spans="1:12" x14ac:dyDescent="0.25">
      <c r="A5">
        <v>4</v>
      </c>
      <c r="B5" s="1" t="s">
        <v>32</v>
      </c>
      <c r="C5" s="1">
        <v>24</v>
      </c>
      <c r="D5" s="1">
        <v>14</v>
      </c>
      <c r="E5" s="1">
        <v>0.63200000000000001</v>
      </c>
      <c r="F5" s="1" t="s">
        <v>13</v>
      </c>
      <c r="G5" s="1">
        <v>114.8</v>
      </c>
      <c r="H5" s="1">
        <v>109.4</v>
      </c>
      <c r="I5" s="1">
        <v>5.14</v>
      </c>
      <c r="J5" s="4">
        <f>VLOOKUP(Western_Conference[[#This Row],[Teams]],'Gamma Prediction'!$A$2:$G$31,6,FALSE)</f>
        <v>0.68789816150180372</v>
      </c>
      <c r="K5" s="5">
        <f>VLOOKUP(Western_Conference[[#This Row],[Teams]],'Gamma Prediction'!$A$2:$G$31,7,FALSE)</f>
        <v>-5.5898161501803711E-2</v>
      </c>
      <c r="L5" s="1">
        <f>RANK(Western_Conference[[#This Row],[Γ WIN PCT]],Western_Conference[Γ WIN PCT],0)</f>
        <v>3</v>
      </c>
    </row>
    <row r="6" spans="1:12" x14ac:dyDescent="0.25">
      <c r="A6">
        <v>5</v>
      </c>
      <c r="B6" s="1" t="s">
        <v>35</v>
      </c>
      <c r="C6" s="1">
        <v>21</v>
      </c>
      <c r="D6" s="1">
        <v>14</v>
      </c>
      <c r="E6" s="1">
        <v>0.6</v>
      </c>
      <c r="F6" s="1" t="s">
        <v>19</v>
      </c>
      <c r="G6" s="1">
        <v>114.5</v>
      </c>
      <c r="H6" s="1">
        <v>114.9</v>
      </c>
      <c r="I6" s="1">
        <v>-1</v>
      </c>
      <c r="J6" s="4">
        <f>VLOOKUP(Western_Conference[[#This Row],[Teams]],'Gamma Prediction'!$A$2:$G$31,6,FALSE)</f>
        <v>0.48570300905485891</v>
      </c>
      <c r="K6" s="5">
        <f>VLOOKUP(Western_Conference[[#This Row],[Teams]],'Gamma Prediction'!$A$2:$G$31,7,FALSE)</f>
        <v>0.11429699094514106</v>
      </c>
      <c r="L6" s="1">
        <f>RANK(Western_Conference[[#This Row],[Γ WIN PCT]],Western_Conference[Γ WIN PCT],0)</f>
        <v>11</v>
      </c>
    </row>
    <row r="7" spans="1:12" x14ac:dyDescent="0.25">
      <c r="A7">
        <v>6</v>
      </c>
      <c r="B7" s="1" t="s">
        <v>37</v>
      </c>
      <c r="C7" s="1">
        <v>21</v>
      </c>
      <c r="D7" s="1">
        <v>15</v>
      </c>
      <c r="E7" s="1">
        <v>0.58299999999999996</v>
      </c>
      <c r="F7" s="1" t="s">
        <v>21</v>
      </c>
      <c r="G7" s="1">
        <v>115.9</v>
      </c>
      <c r="H7" s="1">
        <v>110.6</v>
      </c>
      <c r="I7" s="1">
        <v>5.22</v>
      </c>
      <c r="J7" s="4">
        <f>VLOOKUP(Western_Conference[[#This Row],[Teams]],'Gamma Prediction'!$A$2:$G$31,6,FALSE)</f>
        <v>0.68304282954162754</v>
      </c>
      <c r="K7" s="5">
        <f>VLOOKUP(Western_Conference[[#This Row],[Teams]],'Gamma Prediction'!$A$2:$G$31,7,FALSE)</f>
        <v>-0.10004282954162758</v>
      </c>
      <c r="L7" s="1">
        <f>RANK(Western_Conference[[#This Row],[Γ WIN PCT]],Western_Conference[Γ WIN PCT],0)</f>
        <v>5</v>
      </c>
    </row>
    <row r="8" spans="1:12" x14ac:dyDescent="0.25">
      <c r="A8">
        <v>7</v>
      </c>
      <c r="B8" s="1" t="s">
        <v>36</v>
      </c>
      <c r="C8" s="1">
        <v>18</v>
      </c>
      <c r="D8" s="1">
        <v>15</v>
      </c>
      <c r="E8" s="1">
        <v>0.54500000000000004</v>
      </c>
      <c r="F8" s="1" t="s">
        <v>78</v>
      </c>
      <c r="G8" s="1">
        <v>110.8</v>
      </c>
      <c r="H8" s="1">
        <v>111.1</v>
      </c>
      <c r="I8" s="1">
        <v>-0.86</v>
      </c>
      <c r="J8" s="4">
        <f>VLOOKUP(Western_Conference[[#This Row],[Teams]],'Gamma Prediction'!$A$2:$G$31,6,FALSE)</f>
        <v>0.48891363789731063</v>
      </c>
      <c r="K8" s="5">
        <f>VLOOKUP(Western_Conference[[#This Row],[Teams]],'Gamma Prediction'!$A$2:$G$31,7,FALSE)</f>
        <v>5.6086362102689413E-2</v>
      </c>
      <c r="L8" s="1">
        <f>RANK(Western_Conference[[#This Row],[Γ WIN PCT]],Western_Conference[Γ WIN PCT],0)</f>
        <v>9</v>
      </c>
    </row>
    <row r="9" spans="1:12" x14ac:dyDescent="0.25">
      <c r="A9">
        <v>8</v>
      </c>
      <c r="B9" s="1" t="s">
        <v>41</v>
      </c>
      <c r="C9" s="1">
        <v>19</v>
      </c>
      <c r="D9" s="1">
        <v>16</v>
      </c>
      <c r="E9" s="1">
        <v>0.54300000000000004</v>
      </c>
      <c r="F9" s="1" t="s">
        <v>78</v>
      </c>
      <c r="G9" s="1">
        <v>111.9</v>
      </c>
      <c r="H9" s="1">
        <v>112.1</v>
      </c>
      <c r="I9" s="1">
        <v>0.7</v>
      </c>
      <c r="J9" s="4">
        <f>VLOOKUP(Western_Conference[[#This Row],[Teams]],'Gamma Prediction'!$A$2:$G$31,6,FALSE)</f>
        <v>0.49267770753769835</v>
      </c>
      <c r="K9" s="5">
        <f>VLOOKUP(Western_Conference[[#This Row],[Teams]],'Gamma Prediction'!$A$2:$G$31,7,FALSE)</f>
        <v>5.0322292462301688E-2</v>
      </c>
      <c r="L9" s="1">
        <f>RANK(Western_Conference[[#This Row],[Γ WIN PCT]],Western_Conference[Γ WIN PCT],0)</f>
        <v>8</v>
      </c>
    </row>
    <row r="10" spans="1:12" x14ac:dyDescent="0.25">
      <c r="A10">
        <v>9</v>
      </c>
      <c r="B10" s="1" t="s">
        <v>40</v>
      </c>
      <c r="C10" s="1">
        <v>17</v>
      </c>
      <c r="D10" s="1">
        <v>16</v>
      </c>
      <c r="E10" s="1">
        <v>0.51500000000000001</v>
      </c>
      <c r="F10" s="1" t="s">
        <v>27</v>
      </c>
      <c r="G10" s="1">
        <v>112.1</v>
      </c>
      <c r="H10" s="1">
        <v>110.8</v>
      </c>
      <c r="I10" s="1">
        <v>1.2</v>
      </c>
      <c r="J10" s="4">
        <f>VLOOKUP(Western_Conference[[#This Row],[Teams]],'Gamma Prediction'!$A$2:$G$31,6,FALSE)</f>
        <v>0.54768833203754486</v>
      </c>
      <c r="K10" s="5">
        <f>VLOOKUP(Western_Conference[[#This Row],[Teams]],'Gamma Prediction'!$A$2:$G$31,7,FALSE)</f>
        <v>-3.2688332037544843E-2</v>
      </c>
      <c r="L10" s="1">
        <f>RANK(Western_Conference[[#This Row],[Γ WIN PCT]],Western_Conference[Γ WIN PCT],0)</f>
        <v>6</v>
      </c>
    </row>
    <row r="11" spans="1:12" x14ac:dyDescent="0.25">
      <c r="A11">
        <v>10</v>
      </c>
      <c r="B11" s="1" t="s">
        <v>39</v>
      </c>
      <c r="C11" s="1">
        <v>19</v>
      </c>
      <c r="D11" s="1">
        <v>18</v>
      </c>
      <c r="E11" s="1">
        <v>0.51400000000000001</v>
      </c>
      <c r="F11" s="1" t="s">
        <v>27</v>
      </c>
      <c r="G11" s="1">
        <v>113.4</v>
      </c>
      <c r="H11" s="1">
        <v>112.9</v>
      </c>
      <c r="I11" s="1">
        <v>0.68</v>
      </c>
      <c r="J11" s="4">
        <f>VLOOKUP(Western_Conference[[#This Row],[Teams]],'Gamma Prediction'!$A$2:$G$31,6,FALSE)</f>
        <v>0.51811307133098117</v>
      </c>
      <c r="K11" s="5">
        <f>VLOOKUP(Western_Conference[[#This Row],[Teams]],'Gamma Prediction'!$A$2:$G$31,7,FALSE)</f>
        <v>-4.1130713309811551E-3</v>
      </c>
      <c r="L11" s="1">
        <f>RANK(Western_Conference[[#This Row],[Γ WIN PCT]],Western_Conference[Γ WIN PCT],0)</f>
        <v>7</v>
      </c>
    </row>
    <row r="12" spans="1:12" x14ac:dyDescent="0.25">
      <c r="A12">
        <v>11</v>
      </c>
      <c r="B12" s="1" t="s">
        <v>46</v>
      </c>
      <c r="C12" s="1">
        <v>15</v>
      </c>
      <c r="D12" s="1">
        <v>21</v>
      </c>
      <c r="E12" s="1">
        <v>0.41699999999999998</v>
      </c>
      <c r="F12" s="1" t="s">
        <v>133</v>
      </c>
      <c r="G12" s="1">
        <v>105.9</v>
      </c>
      <c r="H12" s="1">
        <v>111.4</v>
      </c>
      <c r="I12" s="1">
        <v>-4.9800000000000004</v>
      </c>
      <c r="J12" s="4">
        <f>VLOOKUP(Western_Conference[[#This Row],[Teams]],'Gamma Prediction'!$A$2:$G$31,6,FALSE)</f>
        <v>0.30353446165278763</v>
      </c>
      <c r="K12" s="5">
        <f>VLOOKUP(Western_Conference[[#This Row],[Teams]],'Gamma Prediction'!$A$2:$G$31,7,FALSE)</f>
        <v>0.11346553834721235</v>
      </c>
      <c r="L12" s="1">
        <f>RANK(Western_Conference[[#This Row],[Γ WIN PCT]],Western_Conference[Γ WIN PCT],0)</f>
        <v>14</v>
      </c>
    </row>
    <row r="13" spans="1:12" x14ac:dyDescent="0.25">
      <c r="A13">
        <v>12</v>
      </c>
      <c r="B13" s="1" t="s">
        <v>44</v>
      </c>
      <c r="C13" s="1">
        <v>15</v>
      </c>
      <c r="D13" s="1">
        <v>21</v>
      </c>
      <c r="E13" s="1">
        <v>0.41699999999999998</v>
      </c>
      <c r="F13" s="1" t="s">
        <v>133</v>
      </c>
      <c r="G13" s="1">
        <v>115.5</v>
      </c>
      <c r="H13" s="1">
        <v>115.9</v>
      </c>
      <c r="I13" s="1">
        <v>0.09</v>
      </c>
      <c r="J13" s="4">
        <f>VLOOKUP(Western_Conference[[#This Row],[Teams]],'Gamma Prediction'!$A$2:$G$31,6,FALSE)</f>
        <v>0.48582651230473217</v>
      </c>
      <c r="K13" s="5">
        <f>VLOOKUP(Western_Conference[[#This Row],[Teams]],'Gamma Prediction'!$A$2:$G$31,7,FALSE)</f>
        <v>-6.882651230473219E-2</v>
      </c>
      <c r="L13" s="1">
        <f>RANK(Western_Conference[[#This Row],[Γ WIN PCT]],Western_Conference[Γ WIN PCT],0)</f>
        <v>10</v>
      </c>
    </row>
    <row r="14" spans="1:12" x14ac:dyDescent="0.25">
      <c r="A14">
        <v>13</v>
      </c>
      <c r="B14" s="1" t="s">
        <v>43</v>
      </c>
      <c r="C14" s="1">
        <v>14</v>
      </c>
      <c r="D14" s="1">
        <v>22</v>
      </c>
      <c r="E14" s="1">
        <v>0.38900000000000001</v>
      </c>
      <c r="F14" s="1" t="s">
        <v>135</v>
      </c>
      <c r="G14" s="1">
        <v>114.7</v>
      </c>
      <c r="H14" s="1">
        <v>120.4</v>
      </c>
      <c r="I14" s="1">
        <v>-4.68</v>
      </c>
      <c r="J14" s="4">
        <f>VLOOKUP(Western_Conference[[#This Row],[Teams]],'Gamma Prediction'!$A$2:$G$31,6,FALSE)</f>
        <v>0.31097983665812401</v>
      </c>
      <c r="K14" s="5">
        <f>VLOOKUP(Western_Conference[[#This Row],[Teams]],'Gamma Prediction'!$A$2:$G$31,7,FALSE)</f>
        <v>7.8020163341876003E-2</v>
      </c>
      <c r="L14" s="1">
        <f>RANK(Western_Conference[[#This Row],[Γ WIN PCT]],Western_Conference[Γ WIN PCT],0)</f>
        <v>13</v>
      </c>
    </row>
    <row r="15" spans="1:12" x14ac:dyDescent="0.25">
      <c r="A15">
        <v>14</v>
      </c>
      <c r="B15" s="1" t="s">
        <v>47</v>
      </c>
      <c r="C15" s="1">
        <v>11</v>
      </c>
      <c r="D15" s="1">
        <v>23</v>
      </c>
      <c r="E15" s="1">
        <v>0.32400000000000001</v>
      </c>
      <c r="F15" s="1" t="s">
        <v>316</v>
      </c>
      <c r="G15" s="1">
        <v>107.6</v>
      </c>
      <c r="H15" s="1">
        <v>112.8</v>
      </c>
      <c r="I15" s="1">
        <v>-6.07</v>
      </c>
      <c r="J15" s="4">
        <f>VLOOKUP(Western_Conference[[#This Row],[Teams]],'Gamma Prediction'!$A$2:$G$31,6,FALSE)</f>
        <v>0.31558080809193417</v>
      </c>
      <c r="K15" s="5">
        <f>VLOOKUP(Western_Conference[[#This Row],[Teams]],'Gamma Prediction'!$A$2:$G$31,7,FALSE)</f>
        <v>8.4191919080658373E-3</v>
      </c>
      <c r="L15" s="1">
        <f>RANK(Western_Conference[[#This Row],[Γ WIN PCT]],Western_Conference[Γ WIN PCT],0)</f>
        <v>12</v>
      </c>
    </row>
    <row r="16" spans="1:12" x14ac:dyDescent="0.25">
      <c r="A16">
        <v>15</v>
      </c>
      <c r="B16" s="1" t="s">
        <v>48</v>
      </c>
      <c r="C16" s="1">
        <v>7</v>
      </c>
      <c r="D16" s="1">
        <v>29</v>
      </c>
      <c r="E16" s="1">
        <v>0.19400000000000001</v>
      </c>
      <c r="F16" s="1" t="s">
        <v>166</v>
      </c>
      <c r="G16" s="1">
        <v>107.9</v>
      </c>
      <c r="H16" s="1">
        <v>117</v>
      </c>
      <c r="I16" s="1">
        <v>-8.75</v>
      </c>
      <c r="J16" s="4">
        <f>VLOOKUP(Western_Conference[[#This Row],[Teams]],'Gamma Prediction'!$A$2:$G$31,6,FALSE)</f>
        <v>0.20946655018826774</v>
      </c>
      <c r="K16" s="5">
        <f>VLOOKUP(Western_Conference[[#This Row],[Teams]],'Gamma Prediction'!$A$2:$G$31,7,FALSE)</f>
        <v>-1.546655018826773E-2</v>
      </c>
      <c r="L16" s="1">
        <f>RANK(Western_Conference[[#This Row],[Γ WIN PCT]],Western_Conference[Γ WIN PCT],0)</f>
        <v>15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BA8E-FA64-44DA-B8FC-AFE0990E222E}">
  <sheetPr codeName="Sheet16"/>
  <dimension ref="A2:T75"/>
  <sheetViews>
    <sheetView topLeftCell="A56" workbookViewId="0"/>
  </sheetViews>
  <sheetFormatPr defaultRowHeight="15" x14ac:dyDescent="0.25"/>
  <cols>
    <col min="1" max="1" width="22" customWidth="1"/>
    <col min="13" max="13" width="21.42578125" customWidth="1"/>
  </cols>
  <sheetData>
    <row r="2" spans="1:13" x14ac:dyDescent="0.25">
      <c r="A2" t="s">
        <v>264</v>
      </c>
      <c r="B2">
        <v>13</v>
      </c>
      <c r="C2">
        <v>12</v>
      </c>
      <c r="D2">
        <v>11</v>
      </c>
      <c r="E2">
        <v>10</v>
      </c>
      <c r="F2">
        <v>9</v>
      </c>
      <c r="G2">
        <v>8</v>
      </c>
      <c r="H2">
        <v>7</v>
      </c>
      <c r="I2">
        <v>6</v>
      </c>
      <c r="J2">
        <v>5</v>
      </c>
      <c r="K2">
        <v>4</v>
      </c>
      <c r="L2">
        <v>3</v>
      </c>
      <c r="M2" t="s">
        <v>265</v>
      </c>
    </row>
    <row r="3" spans="1:13" x14ac:dyDescent="0.25">
      <c r="A3">
        <v>1</v>
      </c>
      <c r="B3" t="s">
        <v>106</v>
      </c>
      <c r="C3" t="s">
        <v>272</v>
      </c>
      <c r="D3" t="s">
        <v>272</v>
      </c>
      <c r="E3" t="s">
        <v>273</v>
      </c>
      <c r="F3" t="s">
        <v>273</v>
      </c>
      <c r="G3" t="s">
        <v>273</v>
      </c>
      <c r="H3" t="s">
        <v>283</v>
      </c>
      <c r="I3" t="s">
        <v>272</v>
      </c>
      <c r="J3" t="s">
        <v>289</v>
      </c>
      <c r="K3" t="s">
        <v>296</v>
      </c>
      <c r="L3" t="s">
        <v>272</v>
      </c>
      <c r="M3">
        <v>44244424444</v>
      </c>
    </row>
    <row r="4" spans="1:13" x14ac:dyDescent="0.25">
      <c r="A4">
        <v>8</v>
      </c>
      <c r="B4" t="s">
        <v>267</v>
      </c>
      <c r="C4" t="s">
        <v>282</v>
      </c>
      <c r="D4" t="s">
        <v>269</v>
      </c>
      <c r="E4" t="s">
        <v>106</v>
      </c>
      <c r="F4" t="s">
        <v>282</v>
      </c>
      <c r="G4" t="s">
        <v>270</v>
      </c>
      <c r="H4" t="s">
        <v>271</v>
      </c>
      <c r="I4" t="s">
        <v>295</v>
      </c>
      <c r="J4" t="s">
        <v>269</v>
      </c>
      <c r="K4" t="s">
        <v>270</v>
      </c>
      <c r="L4" t="s">
        <v>289</v>
      </c>
      <c r="M4">
        <v>20421042012</v>
      </c>
    </row>
    <row r="5" spans="1:13" x14ac:dyDescent="0.25">
      <c r="A5">
        <v>4</v>
      </c>
      <c r="B5" t="s">
        <v>268</v>
      </c>
      <c r="C5" t="s">
        <v>269</v>
      </c>
      <c r="D5" t="s">
        <v>106</v>
      </c>
      <c r="E5" t="s">
        <v>270</v>
      </c>
      <c r="F5" t="s">
        <v>287</v>
      </c>
      <c r="G5" t="s">
        <v>282</v>
      </c>
      <c r="H5" t="s">
        <v>282</v>
      </c>
      <c r="I5" t="s">
        <v>283</v>
      </c>
      <c r="J5" t="s">
        <v>283</v>
      </c>
      <c r="K5" t="s">
        <v>295</v>
      </c>
      <c r="L5" t="s">
        <v>296</v>
      </c>
      <c r="M5">
        <v>23422444442</v>
      </c>
    </row>
    <row r="6" spans="1:13" x14ac:dyDescent="0.25">
      <c r="A6">
        <v>5</v>
      </c>
      <c r="B6" t="s">
        <v>269</v>
      </c>
      <c r="C6" t="s">
        <v>268</v>
      </c>
      <c r="D6" t="s">
        <v>286</v>
      </c>
      <c r="E6" t="s">
        <v>282</v>
      </c>
      <c r="F6" t="s">
        <v>267</v>
      </c>
      <c r="G6" t="s">
        <v>267</v>
      </c>
      <c r="H6" t="s">
        <v>267</v>
      </c>
      <c r="I6" t="s">
        <v>269</v>
      </c>
      <c r="J6" t="s">
        <v>267</v>
      </c>
      <c r="K6" t="s">
        <v>283</v>
      </c>
      <c r="L6" t="s">
        <v>273</v>
      </c>
      <c r="M6">
        <v>44144230314</v>
      </c>
    </row>
    <row r="7" spans="1:13" x14ac:dyDescent="0.25">
      <c r="A7">
        <v>3</v>
      </c>
      <c r="B7" t="s">
        <v>270</v>
      </c>
      <c r="C7" t="s">
        <v>273</v>
      </c>
      <c r="D7" t="s">
        <v>283</v>
      </c>
      <c r="E7" t="s">
        <v>289</v>
      </c>
      <c r="F7" t="s">
        <v>272</v>
      </c>
      <c r="G7" t="s">
        <v>272</v>
      </c>
      <c r="H7" t="s">
        <v>272</v>
      </c>
      <c r="I7" t="s">
        <v>270</v>
      </c>
      <c r="J7" t="s">
        <v>106</v>
      </c>
      <c r="K7" t="s">
        <v>272</v>
      </c>
      <c r="L7" t="s">
        <v>283</v>
      </c>
      <c r="M7">
        <v>24441441444</v>
      </c>
    </row>
    <row r="8" spans="1:13" x14ac:dyDescent="0.25">
      <c r="A8">
        <v>6</v>
      </c>
      <c r="B8" t="s">
        <v>271</v>
      </c>
      <c r="C8" t="s">
        <v>270</v>
      </c>
      <c r="D8" t="s">
        <v>287</v>
      </c>
      <c r="E8" t="s">
        <v>287</v>
      </c>
      <c r="F8" t="s">
        <v>283</v>
      </c>
      <c r="G8" t="s">
        <v>289</v>
      </c>
      <c r="H8" t="s">
        <v>270</v>
      </c>
      <c r="I8" t="s">
        <v>268</v>
      </c>
      <c r="J8" t="s">
        <v>295</v>
      </c>
      <c r="K8" t="s">
        <v>269</v>
      </c>
      <c r="L8" t="s">
        <v>287</v>
      </c>
      <c r="M8">
        <v>43224114103</v>
      </c>
    </row>
    <row r="9" spans="1:13" x14ac:dyDescent="0.25">
      <c r="A9">
        <v>2</v>
      </c>
      <c r="B9" t="s">
        <v>272</v>
      </c>
      <c r="C9" t="s">
        <v>106</v>
      </c>
      <c r="D9" t="s">
        <v>273</v>
      </c>
      <c r="E9" t="s">
        <v>283</v>
      </c>
      <c r="F9" t="s">
        <v>270</v>
      </c>
      <c r="G9" t="s">
        <v>288</v>
      </c>
      <c r="H9" t="s">
        <v>289</v>
      </c>
      <c r="I9" t="s">
        <v>289</v>
      </c>
      <c r="J9" t="s">
        <v>272</v>
      </c>
      <c r="K9" t="s">
        <v>273</v>
      </c>
      <c r="L9" t="s">
        <v>295</v>
      </c>
      <c r="M9">
        <v>44424444444</v>
      </c>
    </row>
    <row r="10" spans="1:13" x14ac:dyDescent="0.25">
      <c r="A10">
        <v>7</v>
      </c>
      <c r="B10" t="s">
        <v>273</v>
      </c>
      <c r="C10" t="s">
        <v>283</v>
      </c>
      <c r="D10" t="s">
        <v>288</v>
      </c>
      <c r="E10" t="s">
        <v>272</v>
      </c>
      <c r="F10" t="s">
        <v>288</v>
      </c>
      <c r="G10" t="s">
        <v>283</v>
      </c>
      <c r="H10" t="s">
        <v>273</v>
      </c>
      <c r="I10" t="s">
        <v>273</v>
      </c>
      <c r="J10" t="s">
        <v>270</v>
      </c>
      <c r="K10" t="s">
        <v>267</v>
      </c>
      <c r="L10" t="s">
        <v>282</v>
      </c>
      <c r="M10" t="s">
        <v>297</v>
      </c>
    </row>
    <row r="12" spans="1:13" x14ac:dyDescent="0.25">
      <c r="A12" t="s">
        <v>264</v>
      </c>
      <c r="B12">
        <v>13</v>
      </c>
      <c r="C12">
        <v>12</v>
      </c>
      <c r="D12">
        <v>11</v>
      </c>
      <c r="E12">
        <v>10</v>
      </c>
      <c r="F12">
        <v>9</v>
      </c>
      <c r="G12">
        <v>8</v>
      </c>
      <c r="H12">
        <v>7</v>
      </c>
      <c r="I12">
        <v>6</v>
      </c>
      <c r="J12">
        <v>5</v>
      </c>
      <c r="K12">
        <v>4</v>
      </c>
      <c r="L12">
        <v>3</v>
      </c>
      <c r="M12" t="s">
        <v>265</v>
      </c>
    </row>
    <row r="13" spans="1:13" x14ac:dyDescent="0.25">
      <c r="A13">
        <v>18</v>
      </c>
      <c r="B13" t="s">
        <v>106</v>
      </c>
      <c r="C13" t="s">
        <v>272</v>
      </c>
      <c r="D13" t="s">
        <v>269</v>
      </c>
      <c r="E13" t="s">
        <v>273</v>
      </c>
      <c r="F13" t="s">
        <v>273</v>
      </c>
      <c r="G13" t="s">
        <v>273</v>
      </c>
      <c r="H13" t="s">
        <v>271</v>
      </c>
      <c r="I13" t="s">
        <v>272</v>
      </c>
      <c r="J13" t="s">
        <v>289</v>
      </c>
      <c r="K13" t="s">
        <v>296</v>
      </c>
      <c r="L13" t="s">
        <v>272</v>
      </c>
      <c r="M13">
        <v>14344413444</v>
      </c>
    </row>
    <row r="14" spans="1:13" x14ac:dyDescent="0.25">
      <c r="A14">
        <v>45</v>
      </c>
      <c r="B14" t="s">
        <v>269</v>
      </c>
      <c r="C14" t="s">
        <v>268</v>
      </c>
      <c r="D14" t="s">
        <v>106</v>
      </c>
      <c r="E14" t="s">
        <v>282</v>
      </c>
      <c r="F14" t="s">
        <v>267</v>
      </c>
      <c r="G14" t="s">
        <v>282</v>
      </c>
      <c r="H14" t="s">
        <v>282</v>
      </c>
      <c r="I14" t="s">
        <v>283</v>
      </c>
      <c r="J14" t="s">
        <v>283</v>
      </c>
      <c r="K14" t="s">
        <v>295</v>
      </c>
      <c r="L14" t="s">
        <v>273</v>
      </c>
      <c r="M14">
        <v>40403244232</v>
      </c>
    </row>
    <row r="15" spans="1:13" x14ac:dyDescent="0.25">
      <c r="A15">
        <v>36</v>
      </c>
      <c r="B15" t="s">
        <v>271</v>
      </c>
      <c r="C15" t="s">
        <v>273</v>
      </c>
      <c r="D15" t="s">
        <v>283</v>
      </c>
      <c r="E15" t="s">
        <v>289</v>
      </c>
      <c r="F15" t="s">
        <v>283</v>
      </c>
      <c r="G15" t="s">
        <v>272</v>
      </c>
      <c r="H15" t="s">
        <v>272</v>
      </c>
      <c r="I15" t="s">
        <v>268</v>
      </c>
      <c r="J15" t="s">
        <v>106</v>
      </c>
      <c r="K15" t="s">
        <v>272</v>
      </c>
      <c r="L15" t="s">
        <v>283</v>
      </c>
      <c r="M15">
        <v>21441443224</v>
      </c>
    </row>
    <row r="16" spans="1:13" x14ac:dyDescent="0.25">
      <c r="A16">
        <v>27</v>
      </c>
      <c r="B16" t="s">
        <v>272</v>
      </c>
      <c r="C16" t="s">
        <v>106</v>
      </c>
      <c r="D16" t="s">
        <v>273</v>
      </c>
      <c r="E16" t="s">
        <v>272</v>
      </c>
      <c r="F16" t="s">
        <v>270</v>
      </c>
      <c r="G16" t="s">
        <v>288</v>
      </c>
      <c r="H16" t="s">
        <v>289</v>
      </c>
      <c r="I16" t="s">
        <v>289</v>
      </c>
      <c r="J16" t="s">
        <v>272</v>
      </c>
      <c r="K16" t="s">
        <v>273</v>
      </c>
      <c r="L16" t="s">
        <v>295</v>
      </c>
      <c r="M16">
        <v>44004324443</v>
      </c>
    </row>
    <row r="18" spans="1:13" x14ac:dyDescent="0.25">
      <c r="A18" t="s">
        <v>264</v>
      </c>
      <c r="B18">
        <v>13</v>
      </c>
      <c r="C18">
        <v>12</v>
      </c>
      <c r="D18">
        <v>11</v>
      </c>
      <c r="E18">
        <v>10</v>
      </c>
      <c r="F18">
        <v>9</v>
      </c>
      <c r="G18">
        <v>8</v>
      </c>
      <c r="H18">
        <v>7</v>
      </c>
      <c r="I18">
        <v>6</v>
      </c>
      <c r="J18">
        <v>5</v>
      </c>
      <c r="K18">
        <v>4</v>
      </c>
      <c r="L18">
        <v>3</v>
      </c>
      <c r="M18" t="s">
        <v>265</v>
      </c>
    </row>
    <row r="19" spans="1:13" x14ac:dyDescent="0.25">
      <c r="A19">
        <v>1845</v>
      </c>
      <c r="B19" t="s">
        <v>269</v>
      </c>
      <c r="C19" t="s">
        <v>272</v>
      </c>
      <c r="D19" t="s">
        <v>106</v>
      </c>
      <c r="E19" t="s">
        <v>273</v>
      </c>
      <c r="F19" t="s">
        <v>273</v>
      </c>
      <c r="G19" t="s">
        <v>273</v>
      </c>
      <c r="H19" t="s">
        <v>282</v>
      </c>
      <c r="I19" t="s">
        <v>283</v>
      </c>
      <c r="J19" t="s">
        <v>289</v>
      </c>
      <c r="K19" t="s">
        <v>296</v>
      </c>
      <c r="L19" t="s">
        <v>272</v>
      </c>
      <c r="M19" t="s">
        <v>298</v>
      </c>
    </row>
    <row r="20" spans="1:13" x14ac:dyDescent="0.25">
      <c r="A20">
        <v>3627</v>
      </c>
      <c r="B20" t="s">
        <v>272</v>
      </c>
      <c r="C20" t="s">
        <v>106</v>
      </c>
      <c r="D20" t="s">
        <v>283</v>
      </c>
      <c r="E20" t="s">
        <v>289</v>
      </c>
      <c r="F20" t="s">
        <v>270</v>
      </c>
      <c r="G20" t="s">
        <v>272</v>
      </c>
      <c r="H20" t="s">
        <v>272</v>
      </c>
      <c r="I20" t="s">
        <v>289</v>
      </c>
      <c r="J20" t="s">
        <v>272</v>
      </c>
      <c r="K20" t="s">
        <v>273</v>
      </c>
      <c r="L20" t="s">
        <v>283</v>
      </c>
      <c r="M20">
        <v>44422142442</v>
      </c>
    </row>
    <row r="23" spans="1:13" x14ac:dyDescent="0.25">
      <c r="A23" t="s">
        <v>266</v>
      </c>
      <c r="B23">
        <v>13</v>
      </c>
      <c r="C23">
        <v>12</v>
      </c>
      <c r="D23">
        <v>11</v>
      </c>
      <c r="E23">
        <v>10</v>
      </c>
      <c r="F23">
        <v>9</v>
      </c>
      <c r="G23">
        <v>8</v>
      </c>
      <c r="H23">
        <v>7</v>
      </c>
      <c r="I23">
        <v>6</v>
      </c>
      <c r="J23">
        <v>5</v>
      </c>
      <c r="K23">
        <v>4</v>
      </c>
      <c r="L23">
        <v>3</v>
      </c>
      <c r="M23" t="s">
        <v>265</v>
      </c>
    </row>
    <row r="24" spans="1:13" x14ac:dyDescent="0.25">
      <c r="A24">
        <v>1</v>
      </c>
      <c r="B24" t="s">
        <v>274</v>
      </c>
      <c r="C24" t="s">
        <v>277</v>
      </c>
      <c r="D24" t="s">
        <v>277</v>
      </c>
      <c r="E24" t="s">
        <v>290</v>
      </c>
      <c r="F24" t="s">
        <v>290</v>
      </c>
      <c r="G24" t="s">
        <v>281</v>
      </c>
      <c r="H24" t="s">
        <v>292</v>
      </c>
      <c r="I24" t="s">
        <v>292</v>
      </c>
      <c r="J24" t="s">
        <v>274</v>
      </c>
      <c r="K24" t="s">
        <v>278</v>
      </c>
      <c r="L24" t="s">
        <v>292</v>
      </c>
      <c r="M24">
        <v>42444444444</v>
      </c>
    </row>
    <row r="25" spans="1:13" x14ac:dyDescent="0.25">
      <c r="A25">
        <v>8</v>
      </c>
      <c r="B25" t="s">
        <v>275</v>
      </c>
      <c r="C25" t="s">
        <v>284</v>
      </c>
      <c r="D25" t="s">
        <v>278</v>
      </c>
      <c r="E25" t="s">
        <v>277</v>
      </c>
      <c r="F25" t="s">
        <v>292</v>
      </c>
      <c r="G25" t="s">
        <v>279</v>
      </c>
      <c r="H25" t="s">
        <v>285</v>
      </c>
      <c r="I25" t="s">
        <v>275</v>
      </c>
      <c r="J25" t="s">
        <v>276</v>
      </c>
      <c r="K25" t="s">
        <v>281</v>
      </c>
      <c r="L25" t="s">
        <v>285</v>
      </c>
      <c r="M25" t="s">
        <v>299</v>
      </c>
    </row>
    <row r="26" spans="1:13" x14ac:dyDescent="0.25">
      <c r="A26">
        <v>4</v>
      </c>
      <c r="B26" t="s">
        <v>276</v>
      </c>
      <c r="C26" t="s">
        <v>281</v>
      </c>
      <c r="D26" t="s">
        <v>285</v>
      </c>
      <c r="E26" t="s">
        <v>281</v>
      </c>
      <c r="F26" t="s">
        <v>279</v>
      </c>
      <c r="G26" t="s">
        <v>290</v>
      </c>
      <c r="H26" t="s">
        <v>274</v>
      </c>
      <c r="I26" t="s">
        <v>290</v>
      </c>
      <c r="J26" t="s">
        <v>277</v>
      </c>
      <c r="K26" t="s">
        <v>274</v>
      </c>
      <c r="L26" t="s">
        <v>284</v>
      </c>
      <c r="M26">
        <v>34244404244</v>
      </c>
    </row>
    <row r="27" spans="1:13" x14ac:dyDescent="0.25">
      <c r="A27">
        <v>5</v>
      </c>
      <c r="B27" t="s">
        <v>277</v>
      </c>
      <c r="C27" t="s">
        <v>279</v>
      </c>
      <c r="D27" t="s">
        <v>279</v>
      </c>
      <c r="E27" t="s">
        <v>274</v>
      </c>
      <c r="F27" t="s">
        <v>274</v>
      </c>
      <c r="G27" t="s">
        <v>293</v>
      </c>
      <c r="H27" t="s">
        <v>277</v>
      </c>
      <c r="I27" t="s">
        <v>293</v>
      </c>
      <c r="J27" t="s">
        <v>293</v>
      </c>
      <c r="K27" t="s">
        <v>288</v>
      </c>
      <c r="L27" t="s">
        <v>288</v>
      </c>
      <c r="M27">
        <v>42413242432</v>
      </c>
    </row>
    <row r="28" spans="1:13" x14ac:dyDescent="0.25">
      <c r="A28">
        <v>3</v>
      </c>
      <c r="B28" t="s">
        <v>278</v>
      </c>
      <c r="C28" t="s">
        <v>278</v>
      </c>
      <c r="D28" t="s">
        <v>281</v>
      </c>
      <c r="E28" t="s">
        <v>279</v>
      </c>
      <c r="F28" t="s">
        <v>285</v>
      </c>
      <c r="G28" t="s">
        <v>285</v>
      </c>
      <c r="H28" t="s">
        <v>294</v>
      </c>
      <c r="I28" t="s">
        <v>276</v>
      </c>
      <c r="J28" t="s">
        <v>281</v>
      </c>
      <c r="K28" t="s">
        <v>292</v>
      </c>
      <c r="L28" t="s">
        <v>278</v>
      </c>
      <c r="M28">
        <v>44444424342</v>
      </c>
    </row>
    <row r="29" spans="1:13" x14ac:dyDescent="0.25">
      <c r="A29">
        <v>6</v>
      </c>
      <c r="B29" t="s">
        <v>279</v>
      </c>
      <c r="C29" t="s">
        <v>285</v>
      </c>
      <c r="D29" t="s">
        <v>280</v>
      </c>
      <c r="E29" t="s">
        <v>275</v>
      </c>
      <c r="F29" t="s">
        <v>284</v>
      </c>
      <c r="G29" t="s">
        <v>294</v>
      </c>
      <c r="H29" t="s">
        <v>276</v>
      </c>
      <c r="I29" t="s">
        <v>278</v>
      </c>
      <c r="J29" t="s">
        <v>278</v>
      </c>
      <c r="K29" t="s">
        <v>275</v>
      </c>
      <c r="L29" t="s">
        <v>281</v>
      </c>
      <c r="M29">
        <v>21032142414</v>
      </c>
    </row>
    <row r="30" spans="1:13" x14ac:dyDescent="0.25">
      <c r="A30">
        <v>2</v>
      </c>
      <c r="B30" t="s">
        <v>280</v>
      </c>
      <c r="C30" t="s">
        <v>274</v>
      </c>
      <c r="D30" t="s">
        <v>274</v>
      </c>
      <c r="E30" t="s">
        <v>285</v>
      </c>
      <c r="F30" t="s">
        <v>281</v>
      </c>
      <c r="G30" t="s">
        <v>292</v>
      </c>
      <c r="H30" t="s">
        <v>290</v>
      </c>
      <c r="I30" t="s">
        <v>274</v>
      </c>
      <c r="J30" t="s">
        <v>292</v>
      </c>
      <c r="K30" t="s">
        <v>276</v>
      </c>
      <c r="L30" t="s">
        <v>276</v>
      </c>
      <c r="M30">
        <v>44444444444</v>
      </c>
    </row>
    <row r="31" spans="1:13" x14ac:dyDescent="0.25">
      <c r="A31">
        <v>7</v>
      </c>
      <c r="B31" t="s">
        <v>281</v>
      </c>
      <c r="C31" t="s">
        <v>280</v>
      </c>
      <c r="D31" t="s">
        <v>284</v>
      </c>
      <c r="E31" t="s">
        <v>291</v>
      </c>
      <c r="F31" t="s">
        <v>277</v>
      </c>
      <c r="G31" t="s">
        <v>284</v>
      </c>
      <c r="H31" t="s">
        <v>293</v>
      </c>
      <c r="I31" t="s">
        <v>277</v>
      </c>
      <c r="J31" t="s">
        <v>284</v>
      </c>
      <c r="K31" t="s">
        <v>280</v>
      </c>
      <c r="L31" t="s">
        <v>275</v>
      </c>
      <c r="M31">
        <v>21103202102</v>
      </c>
    </row>
    <row r="33" spans="1:20" x14ac:dyDescent="0.25">
      <c r="A33" t="s">
        <v>266</v>
      </c>
      <c r="B33">
        <v>13</v>
      </c>
      <c r="C33">
        <v>12</v>
      </c>
      <c r="D33">
        <v>11</v>
      </c>
      <c r="E33">
        <v>10</v>
      </c>
      <c r="F33">
        <v>9</v>
      </c>
      <c r="G33">
        <v>8</v>
      </c>
      <c r="H33">
        <v>7</v>
      </c>
      <c r="I33">
        <v>6</v>
      </c>
      <c r="J33">
        <v>5</v>
      </c>
      <c r="K33">
        <v>4</v>
      </c>
      <c r="L33">
        <v>3</v>
      </c>
      <c r="M33" t="s">
        <v>265</v>
      </c>
    </row>
    <row r="34" spans="1:20" x14ac:dyDescent="0.25">
      <c r="A34">
        <v>18</v>
      </c>
      <c r="B34" t="s">
        <v>274</v>
      </c>
      <c r="C34" t="s">
        <v>284</v>
      </c>
      <c r="D34" t="s">
        <v>277</v>
      </c>
      <c r="E34" t="s">
        <v>290</v>
      </c>
      <c r="F34" t="s">
        <v>290</v>
      </c>
      <c r="G34" t="s">
        <v>281</v>
      </c>
      <c r="H34" t="s">
        <v>292</v>
      </c>
      <c r="I34" t="s">
        <v>292</v>
      </c>
      <c r="J34" t="s">
        <v>274</v>
      </c>
      <c r="K34" t="s">
        <v>278</v>
      </c>
      <c r="L34" t="s">
        <v>292</v>
      </c>
      <c r="M34">
        <v>43424444444</v>
      </c>
    </row>
    <row r="35" spans="1:20" x14ac:dyDescent="0.25">
      <c r="A35">
        <v>45</v>
      </c>
      <c r="B35" t="s">
        <v>277</v>
      </c>
      <c r="C35" t="s">
        <v>281</v>
      </c>
      <c r="D35" t="s">
        <v>279</v>
      </c>
      <c r="E35" t="s">
        <v>281</v>
      </c>
      <c r="F35" t="s">
        <v>279</v>
      </c>
      <c r="G35" t="s">
        <v>290</v>
      </c>
      <c r="H35" t="s">
        <v>277</v>
      </c>
      <c r="I35" t="s">
        <v>290</v>
      </c>
      <c r="J35" t="s">
        <v>293</v>
      </c>
      <c r="K35" t="s">
        <v>274</v>
      </c>
      <c r="L35" t="s">
        <v>284</v>
      </c>
      <c r="M35">
        <v>14240323022</v>
      </c>
    </row>
    <row r="36" spans="1:20" x14ac:dyDescent="0.25">
      <c r="A36">
        <v>36</v>
      </c>
      <c r="B36" t="s">
        <v>278</v>
      </c>
      <c r="C36" t="s">
        <v>278</v>
      </c>
      <c r="D36" t="s">
        <v>281</v>
      </c>
      <c r="E36" t="s">
        <v>279</v>
      </c>
      <c r="F36" t="s">
        <v>285</v>
      </c>
      <c r="G36" t="s">
        <v>285</v>
      </c>
      <c r="H36" t="s">
        <v>276</v>
      </c>
      <c r="I36" t="s">
        <v>276</v>
      </c>
      <c r="J36" t="s">
        <v>278</v>
      </c>
      <c r="K36" t="s">
        <v>292</v>
      </c>
      <c r="L36" t="s">
        <v>281</v>
      </c>
      <c r="M36">
        <v>42104121240</v>
      </c>
    </row>
    <row r="37" spans="1:20" x14ac:dyDescent="0.25">
      <c r="A37">
        <v>27</v>
      </c>
      <c r="B37" t="s">
        <v>280</v>
      </c>
      <c r="C37" t="s">
        <v>274</v>
      </c>
      <c r="D37" t="s">
        <v>274</v>
      </c>
      <c r="E37" t="s">
        <v>285</v>
      </c>
      <c r="F37" t="s">
        <v>281</v>
      </c>
      <c r="G37" t="s">
        <v>292</v>
      </c>
      <c r="H37" t="s">
        <v>290</v>
      </c>
      <c r="I37" t="s">
        <v>274</v>
      </c>
      <c r="J37" t="s">
        <v>292</v>
      </c>
      <c r="K37" t="s">
        <v>276</v>
      </c>
      <c r="L37" t="s">
        <v>276</v>
      </c>
      <c r="M37">
        <v>24443444434</v>
      </c>
    </row>
    <row r="39" spans="1:20" x14ac:dyDescent="0.25">
      <c r="A39" t="s">
        <v>266</v>
      </c>
      <c r="B39">
        <v>13</v>
      </c>
      <c r="C39">
        <v>12</v>
      </c>
      <c r="D39">
        <v>11</v>
      </c>
      <c r="E39">
        <v>10</v>
      </c>
      <c r="F39">
        <v>9</v>
      </c>
      <c r="G39">
        <v>8</v>
      </c>
      <c r="H39">
        <v>7</v>
      </c>
      <c r="I39">
        <v>6</v>
      </c>
      <c r="J39">
        <v>5</v>
      </c>
      <c r="K39">
        <v>4</v>
      </c>
      <c r="L39">
        <v>3</v>
      </c>
      <c r="M39" t="s">
        <v>265</v>
      </c>
    </row>
    <row r="40" spans="1:20" x14ac:dyDescent="0.25">
      <c r="A40">
        <v>1845</v>
      </c>
      <c r="B40" t="s">
        <v>274</v>
      </c>
      <c r="C40" t="s">
        <v>281</v>
      </c>
      <c r="D40" t="s">
        <v>277</v>
      </c>
      <c r="E40" t="s">
        <v>281</v>
      </c>
      <c r="F40" t="s">
        <v>290</v>
      </c>
      <c r="G40" t="s">
        <v>281</v>
      </c>
      <c r="H40" t="s">
        <v>292</v>
      </c>
      <c r="I40" t="s">
        <v>292</v>
      </c>
      <c r="J40" t="s">
        <v>274</v>
      </c>
      <c r="K40" t="s">
        <v>278</v>
      </c>
      <c r="L40" t="s">
        <v>292</v>
      </c>
      <c r="M40">
        <v>43142422320</v>
      </c>
    </row>
    <row r="41" spans="1:20" x14ac:dyDescent="0.25">
      <c r="A41">
        <v>3627</v>
      </c>
      <c r="B41" t="s">
        <v>278</v>
      </c>
      <c r="C41" t="s">
        <v>274</v>
      </c>
      <c r="D41" t="s">
        <v>274</v>
      </c>
      <c r="E41" t="s">
        <v>285</v>
      </c>
      <c r="F41" t="s">
        <v>285</v>
      </c>
      <c r="G41" t="s">
        <v>292</v>
      </c>
      <c r="H41" t="s">
        <v>290</v>
      </c>
      <c r="I41" t="s">
        <v>274</v>
      </c>
      <c r="J41" t="s">
        <v>292</v>
      </c>
      <c r="K41" t="s">
        <v>292</v>
      </c>
      <c r="L41" t="s">
        <v>276</v>
      </c>
      <c r="M41">
        <v>34424244444</v>
      </c>
    </row>
    <row r="45" spans="1:20" x14ac:dyDescent="0.25">
      <c r="A45" t="s">
        <v>314</v>
      </c>
      <c r="B45">
        <v>2021</v>
      </c>
      <c r="C45">
        <f>B45-1</f>
        <v>2020</v>
      </c>
      <c r="D45">
        <f t="shared" ref="D45:T45" si="0">C45-1</f>
        <v>2019</v>
      </c>
      <c r="E45">
        <f t="shared" si="0"/>
        <v>2018</v>
      </c>
      <c r="F45">
        <f t="shared" si="0"/>
        <v>2017</v>
      </c>
      <c r="G45">
        <f t="shared" si="0"/>
        <v>2016</v>
      </c>
      <c r="H45">
        <f t="shared" si="0"/>
        <v>2015</v>
      </c>
      <c r="I45">
        <f t="shared" si="0"/>
        <v>2014</v>
      </c>
      <c r="J45">
        <f t="shared" si="0"/>
        <v>2013</v>
      </c>
      <c r="K45">
        <f t="shared" si="0"/>
        <v>2012</v>
      </c>
      <c r="L45">
        <f t="shared" si="0"/>
        <v>2011</v>
      </c>
      <c r="M45">
        <f t="shared" si="0"/>
        <v>2010</v>
      </c>
      <c r="N45">
        <f t="shared" si="0"/>
        <v>2009</v>
      </c>
      <c r="O45">
        <f t="shared" si="0"/>
        <v>2008</v>
      </c>
      <c r="P45">
        <f t="shared" si="0"/>
        <v>2007</v>
      </c>
      <c r="Q45">
        <f t="shared" si="0"/>
        <v>2006</v>
      </c>
      <c r="R45">
        <f t="shared" si="0"/>
        <v>2005</v>
      </c>
      <c r="S45">
        <f t="shared" si="0"/>
        <v>2004</v>
      </c>
      <c r="T45">
        <f t="shared" si="0"/>
        <v>2003</v>
      </c>
    </row>
    <row r="46" spans="1:20" x14ac:dyDescent="0.25">
      <c r="A46" t="s">
        <v>150</v>
      </c>
      <c r="B46">
        <v>1</v>
      </c>
      <c r="C46">
        <v>1</v>
      </c>
      <c r="G46">
        <v>2</v>
      </c>
      <c r="H46">
        <v>1</v>
      </c>
      <c r="K46">
        <v>1</v>
      </c>
      <c r="L46">
        <v>1</v>
      </c>
      <c r="M46">
        <v>1</v>
      </c>
    </row>
    <row r="47" spans="1:20" x14ac:dyDescent="0.25">
      <c r="A47" t="s">
        <v>130</v>
      </c>
      <c r="C47">
        <v>2</v>
      </c>
      <c r="D47">
        <v>1</v>
      </c>
      <c r="E47">
        <v>2</v>
      </c>
      <c r="F47">
        <v>1</v>
      </c>
      <c r="G47">
        <v>1</v>
      </c>
      <c r="J47">
        <v>1</v>
      </c>
      <c r="K47">
        <v>2</v>
      </c>
      <c r="L47">
        <v>3</v>
      </c>
      <c r="M47">
        <v>1</v>
      </c>
      <c r="N47">
        <v>3</v>
      </c>
      <c r="O47">
        <v>2</v>
      </c>
      <c r="Q47">
        <v>1</v>
      </c>
      <c r="R47">
        <v>1</v>
      </c>
      <c r="T47">
        <v>2</v>
      </c>
    </row>
    <row r="48" spans="1:20" x14ac:dyDescent="0.25">
      <c r="A48" t="s">
        <v>136</v>
      </c>
      <c r="B48">
        <v>1</v>
      </c>
      <c r="J48">
        <v>1</v>
      </c>
      <c r="P48">
        <v>2</v>
      </c>
      <c r="Q48">
        <v>2</v>
      </c>
      <c r="R48">
        <v>1</v>
      </c>
      <c r="S48">
        <v>1</v>
      </c>
      <c r="T48">
        <v>1</v>
      </c>
    </row>
    <row r="49" spans="1:20" x14ac:dyDescent="0.25">
      <c r="A49" t="s">
        <v>140</v>
      </c>
      <c r="D49">
        <v>1</v>
      </c>
      <c r="E49">
        <v>1</v>
      </c>
      <c r="G49">
        <v>1</v>
      </c>
      <c r="M49">
        <v>1</v>
      </c>
      <c r="N49">
        <v>1</v>
      </c>
      <c r="O49">
        <v>1</v>
      </c>
    </row>
    <row r="50" spans="1:20" x14ac:dyDescent="0.25">
      <c r="A50" t="s">
        <v>144</v>
      </c>
      <c r="B50">
        <v>1</v>
      </c>
      <c r="F50">
        <v>1</v>
      </c>
      <c r="G50">
        <v>2</v>
      </c>
      <c r="H50">
        <v>2</v>
      </c>
      <c r="I50">
        <v>1</v>
      </c>
      <c r="L50">
        <v>1</v>
      </c>
      <c r="P50">
        <v>1</v>
      </c>
    </row>
    <row r="51" spans="1:20" x14ac:dyDescent="0.25">
      <c r="A51" t="s">
        <v>152</v>
      </c>
      <c r="E51">
        <v>1</v>
      </c>
      <c r="F51">
        <v>1</v>
      </c>
      <c r="G51">
        <v>1</v>
      </c>
      <c r="H51">
        <v>2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</row>
    <row r="52" spans="1:20" x14ac:dyDescent="0.25">
      <c r="A52" t="s">
        <v>159</v>
      </c>
      <c r="B52">
        <v>1</v>
      </c>
      <c r="C52">
        <v>1</v>
      </c>
      <c r="I52">
        <v>1</v>
      </c>
      <c r="K52">
        <v>1</v>
      </c>
      <c r="L52">
        <v>1</v>
      </c>
      <c r="M52">
        <v>2</v>
      </c>
      <c r="N52">
        <v>2</v>
      </c>
      <c r="O52">
        <v>1</v>
      </c>
      <c r="P52">
        <v>2</v>
      </c>
      <c r="Q52">
        <v>1</v>
      </c>
      <c r="R52">
        <v>1</v>
      </c>
      <c r="S52">
        <v>1</v>
      </c>
      <c r="T52">
        <v>2</v>
      </c>
    </row>
    <row r="53" spans="1:20" x14ac:dyDescent="0.25">
      <c r="A53" t="s">
        <v>155</v>
      </c>
      <c r="B53">
        <v>1</v>
      </c>
      <c r="C53">
        <v>1</v>
      </c>
      <c r="D53">
        <v>1</v>
      </c>
      <c r="E53">
        <v>1</v>
      </c>
      <c r="F53">
        <v>1</v>
      </c>
      <c r="J53">
        <v>1</v>
      </c>
      <c r="M53">
        <v>2</v>
      </c>
      <c r="N53">
        <v>1</v>
      </c>
      <c r="O53">
        <v>1</v>
      </c>
      <c r="P53">
        <v>1</v>
      </c>
    </row>
    <row r="54" spans="1:20" x14ac:dyDescent="0.25">
      <c r="A54" t="s">
        <v>148</v>
      </c>
      <c r="D54">
        <v>1</v>
      </c>
      <c r="O54">
        <v>1</v>
      </c>
      <c r="P54">
        <v>1</v>
      </c>
      <c r="Q54">
        <v>1</v>
      </c>
      <c r="R54">
        <v>1</v>
      </c>
      <c r="S54">
        <v>2</v>
      </c>
      <c r="T54">
        <v>2</v>
      </c>
    </row>
    <row r="55" spans="1:20" x14ac:dyDescent="0.25">
      <c r="A55" t="s">
        <v>173</v>
      </c>
      <c r="B55">
        <v>1</v>
      </c>
      <c r="D55">
        <v>2</v>
      </c>
      <c r="E55">
        <v>2</v>
      </c>
      <c r="F55">
        <v>2</v>
      </c>
      <c r="G55">
        <v>2</v>
      </c>
      <c r="H55">
        <v>3</v>
      </c>
      <c r="I55">
        <v>1</v>
      </c>
      <c r="J55">
        <v>1</v>
      </c>
      <c r="O55">
        <v>1</v>
      </c>
    </row>
    <row r="56" spans="1:20" x14ac:dyDescent="0.25">
      <c r="A56" t="s">
        <v>156</v>
      </c>
      <c r="C56">
        <v>1</v>
      </c>
      <c r="D56">
        <v>1</v>
      </c>
      <c r="E56">
        <v>2</v>
      </c>
      <c r="F56">
        <v>1</v>
      </c>
      <c r="G56">
        <v>1</v>
      </c>
      <c r="H56">
        <v>1</v>
      </c>
      <c r="I56">
        <v>1</v>
      </c>
      <c r="J56">
        <v>1</v>
      </c>
      <c r="L56">
        <v>1</v>
      </c>
      <c r="P56">
        <v>1</v>
      </c>
      <c r="R56">
        <v>1</v>
      </c>
      <c r="T56">
        <v>1</v>
      </c>
    </row>
    <row r="57" spans="1:20" x14ac:dyDescent="0.25">
      <c r="A57" t="s">
        <v>131</v>
      </c>
      <c r="B57">
        <v>1</v>
      </c>
      <c r="C57">
        <v>1</v>
      </c>
      <c r="E57">
        <v>1</v>
      </c>
      <c r="G57">
        <v>1</v>
      </c>
      <c r="I57">
        <v>1</v>
      </c>
      <c r="J57">
        <v>3</v>
      </c>
      <c r="N57">
        <v>1</v>
      </c>
      <c r="S57">
        <v>1</v>
      </c>
    </row>
    <row r="58" spans="1:20" x14ac:dyDescent="0.25">
      <c r="A58" t="s">
        <v>154</v>
      </c>
      <c r="B58">
        <v>2</v>
      </c>
      <c r="C58">
        <v>1</v>
      </c>
      <c r="F58">
        <v>1</v>
      </c>
      <c r="G58">
        <v>1</v>
      </c>
      <c r="H58">
        <v>2</v>
      </c>
      <c r="I58">
        <v>2</v>
      </c>
      <c r="J58">
        <v>2</v>
      </c>
      <c r="K58">
        <v>2</v>
      </c>
      <c r="L58">
        <v>1</v>
      </c>
      <c r="P58">
        <v>1</v>
      </c>
      <c r="Q58">
        <v>1</v>
      </c>
      <c r="R58">
        <v>1</v>
      </c>
      <c r="S58">
        <v>1</v>
      </c>
    </row>
    <row r="59" spans="1:20" x14ac:dyDescent="0.25">
      <c r="A59" t="s">
        <v>153</v>
      </c>
      <c r="B59">
        <v>2</v>
      </c>
      <c r="C59">
        <v>2</v>
      </c>
      <c r="D59">
        <v>1</v>
      </c>
      <c r="J59">
        <v>1</v>
      </c>
      <c r="K59">
        <v>2</v>
      </c>
      <c r="L59">
        <v>3</v>
      </c>
      <c r="M59">
        <v>2</v>
      </c>
      <c r="N59">
        <v>2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</row>
    <row r="60" spans="1:20" x14ac:dyDescent="0.25">
      <c r="A60" t="s">
        <v>162</v>
      </c>
      <c r="D60">
        <v>1</v>
      </c>
      <c r="F60">
        <v>2</v>
      </c>
      <c r="H60">
        <v>1</v>
      </c>
      <c r="I60">
        <v>1</v>
      </c>
      <c r="J60">
        <v>2</v>
      </c>
      <c r="K60">
        <v>1</v>
      </c>
      <c r="Q60">
        <v>1</v>
      </c>
    </row>
    <row r="61" spans="1:20" x14ac:dyDescent="0.25">
      <c r="A61" t="s">
        <v>132</v>
      </c>
      <c r="B61">
        <v>2</v>
      </c>
      <c r="C61">
        <v>2</v>
      </c>
      <c r="I61">
        <v>1</v>
      </c>
      <c r="J61">
        <v>2</v>
      </c>
      <c r="K61">
        <v>2</v>
      </c>
      <c r="L61">
        <v>2</v>
      </c>
      <c r="M61">
        <v>1</v>
      </c>
      <c r="N61">
        <v>1</v>
      </c>
      <c r="P61">
        <v>1</v>
      </c>
      <c r="Q61">
        <v>1</v>
      </c>
      <c r="R61">
        <v>2</v>
      </c>
      <c r="S61">
        <v>1</v>
      </c>
    </row>
    <row r="62" spans="1:20" x14ac:dyDescent="0.25">
      <c r="A62" t="s">
        <v>128</v>
      </c>
      <c r="B62">
        <v>1</v>
      </c>
      <c r="C62">
        <v>2</v>
      </c>
      <c r="D62">
        <v>1</v>
      </c>
      <c r="E62">
        <v>1</v>
      </c>
      <c r="F62">
        <v>1</v>
      </c>
      <c r="Q62">
        <v>1</v>
      </c>
      <c r="T62">
        <v>1</v>
      </c>
    </row>
    <row r="63" spans="1:20" x14ac:dyDescent="0.25">
      <c r="A63" t="s">
        <v>171</v>
      </c>
      <c r="C63">
        <v>1</v>
      </c>
      <c r="D63">
        <v>1</v>
      </c>
      <c r="E63">
        <v>2</v>
      </c>
      <c r="F63">
        <v>1</v>
      </c>
      <c r="I63">
        <v>1</v>
      </c>
      <c r="K63">
        <v>1</v>
      </c>
      <c r="L63">
        <v>1</v>
      </c>
      <c r="P63">
        <v>1</v>
      </c>
      <c r="Q63">
        <v>1</v>
      </c>
      <c r="R63">
        <v>1</v>
      </c>
      <c r="S63">
        <v>2</v>
      </c>
      <c r="T63">
        <v>1</v>
      </c>
    </row>
    <row r="64" spans="1:20" x14ac:dyDescent="0.25">
      <c r="A64" t="s">
        <v>169</v>
      </c>
      <c r="B64">
        <v>1</v>
      </c>
      <c r="D64">
        <v>1</v>
      </c>
      <c r="E64">
        <v>1</v>
      </c>
      <c r="F64">
        <v>2</v>
      </c>
      <c r="H64">
        <v>1</v>
      </c>
      <c r="I64">
        <v>1</v>
      </c>
      <c r="L64">
        <v>1</v>
      </c>
      <c r="N64">
        <v>1</v>
      </c>
      <c r="O64">
        <v>1</v>
      </c>
      <c r="P64">
        <v>1</v>
      </c>
      <c r="Q64">
        <v>1</v>
      </c>
      <c r="S64">
        <v>1</v>
      </c>
    </row>
    <row r="65" spans="1:20" x14ac:dyDescent="0.25">
      <c r="A65" t="s">
        <v>146</v>
      </c>
      <c r="B65">
        <v>1</v>
      </c>
      <c r="G65">
        <v>1</v>
      </c>
      <c r="I65">
        <v>1</v>
      </c>
      <c r="J65">
        <v>1</v>
      </c>
      <c r="R65">
        <v>1</v>
      </c>
      <c r="S65">
        <v>1</v>
      </c>
    </row>
    <row r="66" spans="1:20" x14ac:dyDescent="0.25">
      <c r="A66" t="s">
        <v>157</v>
      </c>
      <c r="C66">
        <v>1</v>
      </c>
      <c r="D66">
        <v>2</v>
      </c>
      <c r="E66">
        <v>2</v>
      </c>
      <c r="F66">
        <v>1</v>
      </c>
      <c r="G66">
        <v>2</v>
      </c>
      <c r="H66">
        <v>1</v>
      </c>
      <c r="I66">
        <v>1</v>
      </c>
      <c r="J66">
        <v>2</v>
      </c>
      <c r="K66">
        <v>3</v>
      </c>
      <c r="L66">
        <v>2</v>
      </c>
      <c r="M66">
        <v>1</v>
      </c>
      <c r="N66">
        <v>1</v>
      </c>
      <c r="Q66">
        <v>1</v>
      </c>
      <c r="R66">
        <v>1</v>
      </c>
      <c r="T66">
        <v>1</v>
      </c>
    </row>
    <row r="67" spans="1:20" x14ac:dyDescent="0.25">
      <c r="A67" t="s">
        <v>138</v>
      </c>
      <c r="B67">
        <v>1</v>
      </c>
      <c r="C67">
        <v>1</v>
      </c>
      <c r="D67">
        <v>1</v>
      </c>
      <c r="K67">
        <v>2</v>
      </c>
      <c r="L67">
        <v>1</v>
      </c>
      <c r="M67">
        <v>1</v>
      </c>
      <c r="N67">
        <v>2</v>
      </c>
      <c r="O67">
        <v>1</v>
      </c>
      <c r="S67">
        <v>1</v>
      </c>
      <c r="T67">
        <v>1</v>
      </c>
    </row>
    <row r="68" spans="1:20" x14ac:dyDescent="0.25">
      <c r="A68" t="s">
        <v>134</v>
      </c>
      <c r="B68">
        <v>1</v>
      </c>
      <c r="D68">
        <v>2</v>
      </c>
      <c r="E68">
        <v>1</v>
      </c>
      <c r="K68">
        <v>1</v>
      </c>
      <c r="N68">
        <v>1</v>
      </c>
      <c r="O68">
        <v>1</v>
      </c>
      <c r="Q68">
        <v>1</v>
      </c>
      <c r="R68">
        <v>1</v>
      </c>
      <c r="T68">
        <v>1</v>
      </c>
    </row>
    <row r="69" spans="1:20" x14ac:dyDescent="0.25">
      <c r="A69" t="s">
        <v>164</v>
      </c>
      <c r="I69">
        <v>1</v>
      </c>
      <c r="M69">
        <v>1</v>
      </c>
      <c r="O69">
        <v>2</v>
      </c>
      <c r="P69">
        <v>2</v>
      </c>
      <c r="Q69">
        <v>2</v>
      </c>
      <c r="R69">
        <v>3</v>
      </c>
      <c r="S69">
        <v>1</v>
      </c>
      <c r="T69">
        <v>2</v>
      </c>
    </row>
    <row r="70" spans="1:20" x14ac:dyDescent="0.25">
      <c r="A70" t="s">
        <v>160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2</v>
      </c>
      <c r="J70">
        <v>1</v>
      </c>
      <c r="M70">
        <v>1</v>
      </c>
      <c r="N70">
        <v>1</v>
      </c>
    </row>
    <row r="71" spans="1:20" x14ac:dyDescent="0.25">
      <c r="A71" t="s">
        <v>167</v>
      </c>
      <c r="I71">
        <v>1</v>
      </c>
      <c r="S71">
        <v>1</v>
      </c>
    </row>
    <row r="72" spans="1:20" x14ac:dyDescent="0.25">
      <c r="A72" t="s">
        <v>165</v>
      </c>
      <c r="E72">
        <v>1</v>
      </c>
      <c r="F72">
        <v>1</v>
      </c>
      <c r="G72">
        <v>1</v>
      </c>
      <c r="H72">
        <v>3</v>
      </c>
      <c r="I72">
        <v>1</v>
      </c>
      <c r="J72">
        <v>1</v>
      </c>
      <c r="L72">
        <v>2</v>
      </c>
      <c r="M72">
        <v>2</v>
      </c>
      <c r="N72">
        <v>1</v>
      </c>
      <c r="O72">
        <v>2</v>
      </c>
      <c r="P72">
        <v>2</v>
      </c>
      <c r="Q72">
        <v>1</v>
      </c>
      <c r="R72">
        <v>2</v>
      </c>
      <c r="S72">
        <v>2</v>
      </c>
      <c r="T72">
        <v>1</v>
      </c>
    </row>
    <row r="73" spans="1:20" x14ac:dyDescent="0.25">
      <c r="A73" t="s">
        <v>129</v>
      </c>
      <c r="C73">
        <v>1</v>
      </c>
      <c r="D73">
        <v>1</v>
      </c>
      <c r="E73">
        <v>1</v>
      </c>
      <c r="F73">
        <v>1</v>
      </c>
      <c r="G73">
        <v>1</v>
      </c>
      <c r="I73">
        <v>1</v>
      </c>
      <c r="M73">
        <v>1</v>
      </c>
      <c r="O73">
        <v>2</v>
      </c>
      <c r="S73">
        <v>1</v>
      </c>
    </row>
    <row r="74" spans="1:20" x14ac:dyDescent="0.25">
      <c r="A74" t="s">
        <v>158</v>
      </c>
      <c r="C74">
        <v>1</v>
      </c>
      <c r="D74">
        <v>1</v>
      </c>
      <c r="F74">
        <v>1</v>
      </c>
      <c r="G74">
        <v>1</v>
      </c>
      <c r="H74">
        <v>1</v>
      </c>
      <c r="K74">
        <v>2</v>
      </c>
      <c r="M74">
        <v>2</v>
      </c>
      <c r="N74">
        <v>1</v>
      </c>
      <c r="O74">
        <v>2</v>
      </c>
      <c r="P74">
        <v>1</v>
      </c>
      <c r="Q74">
        <v>1</v>
      </c>
      <c r="S74">
        <v>1</v>
      </c>
      <c r="T74">
        <v>2</v>
      </c>
    </row>
    <row r="75" spans="1:20" x14ac:dyDescent="0.25">
      <c r="A75" t="s">
        <v>142</v>
      </c>
      <c r="B75">
        <v>1</v>
      </c>
      <c r="F75">
        <v>1</v>
      </c>
      <c r="G75">
        <v>1</v>
      </c>
      <c r="H75">
        <v>1</v>
      </c>
      <c r="I75">
        <v>1</v>
      </c>
      <c r="P75">
        <v>1</v>
      </c>
      <c r="Q75">
        <v>1</v>
      </c>
      <c r="R7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BE48F-1AE5-41C4-9C9B-3D63F29C7A68}">
  <sheetPr codeName="Sheet11"/>
  <dimension ref="A1:T303"/>
  <sheetViews>
    <sheetView workbookViewId="0">
      <selection activeCell="H283" sqref="H283"/>
    </sheetView>
  </sheetViews>
  <sheetFormatPr defaultRowHeight="15" x14ac:dyDescent="0.25"/>
  <cols>
    <col min="2" max="2" width="21.5703125" customWidth="1"/>
    <col min="3" max="3" width="5.28515625" bestFit="1" customWidth="1"/>
    <col min="4" max="4" width="4.140625" bestFit="1" customWidth="1"/>
    <col min="5" max="5" width="11" bestFit="1" customWidth="1"/>
    <col min="6" max="6" width="5.85546875" bestFit="1" customWidth="1"/>
    <col min="7" max="7" width="7.7109375" bestFit="1" customWidth="1"/>
    <col min="8" max="8" width="8" bestFit="1" customWidth="1"/>
    <col min="9" max="9" width="6.42578125" bestFit="1" customWidth="1"/>
    <col min="12" max="12" width="21.5703125" customWidth="1"/>
    <col min="15" max="15" width="10.85546875" customWidth="1"/>
  </cols>
  <sheetData>
    <row r="1" spans="1:20" ht="15.75" thickBot="1" x14ac:dyDescent="0.3">
      <c r="A1" t="s">
        <v>176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125</v>
      </c>
      <c r="H1" s="1" t="s">
        <v>126</v>
      </c>
      <c r="I1" s="1" t="s">
        <v>127</v>
      </c>
      <c r="J1" t="s">
        <v>179</v>
      </c>
      <c r="K1" t="s">
        <v>178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4</v>
      </c>
      <c r="Q1" s="1" t="s">
        <v>125</v>
      </c>
      <c r="R1" s="1" t="s">
        <v>126</v>
      </c>
      <c r="S1" s="1" t="s">
        <v>127</v>
      </c>
      <c r="T1" s="147" t="s">
        <v>179</v>
      </c>
    </row>
    <row r="2" spans="1:20" x14ac:dyDescent="0.25">
      <c r="B2" s="1" t="s">
        <v>128</v>
      </c>
      <c r="C2" s="1">
        <v>56</v>
      </c>
      <c r="D2" s="1">
        <v>17</v>
      </c>
      <c r="E2" s="1">
        <v>0.76700000000000002</v>
      </c>
      <c r="F2" s="1" t="s">
        <v>9</v>
      </c>
      <c r="G2" s="1">
        <v>118.7</v>
      </c>
      <c r="H2" s="1">
        <v>108.6</v>
      </c>
      <c r="I2" s="1">
        <v>9.41</v>
      </c>
      <c r="J2" s="1">
        <f>East2020[[#This Row],[SRS]]-MIN($I$2:$I$32)</f>
        <v>17.53</v>
      </c>
      <c r="L2" s="1" t="s">
        <v>128</v>
      </c>
      <c r="M2" s="1">
        <v>60</v>
      </c>
      <c r="N2" s="1">
        <v>22</v>
      </c>
      <c r="O2" s="1">
        <v>0.73199999999999998</v>
      </c>
      <c r="P2" s="1" t="s">
        <v>9</v>
      </c>
      <c r="Q2" s="1">
        <v>118.1</v>
      </c>
      <c r="R2" s="1">
        <v>109.3</v>
      </c>
      <c r="S2" s="1">
        <v>8.0399999999999991</v>
      </c>
      <c r="T2" s="146">
        <f t="shared" ref="T2:T16" si="0">S2-MIN($S$2:$S$32)</f>
        <v>17.43</v>
      </c>
    </row>
    <row r="3" spans="1:20" x14ac:dyDescent="0.25">
      <c r="B3" s="1" t="s">
        <v>129</v>
      </c>
      <c r="C3" s="1">
        <v>53</v>
      </c>
      <c r="D3" s="1">
        <v>19</v>
      </c>
      <c r="E3" s="1">
        <v>0.73599999999999999</v>
      </c>
      <c r="F3" s="1" t="s">
        <v>33</v>
      </c>
      <c r="G3" s="1">
        <v>112.8</v>
      </c>
      <c r="H3" s="1">
        <v>106.5</v>
      </c>
      <c r="I3" s="1">
        <v>5.97</v>
      </c>
      <c r="J3" s="1">
        <f>East2020[[#This Row],[SRS]]-MIN($I$2:$I$32)</f>
        <v>14.09</v>
      </c>
      <c r="L3" s="1" t="s">
        <v>129</v>
      </c>
      <c r="M3" s="1">
        <v>58</v>
      </c>
      <c r="N3" s="1">
        <v>24</v>
      </c>
      <c r="O3" s="1">
        <v>0.70699999999999996</v>
      </c>
      <c r="P3" s="1">
        <v>2</v>
      </c>
      <c r="Q3" s="1">
        <v>114.4</v>
      </c>
      <c r="R3" s="1">
        <v>108.4</v>
      </c>
      <c r="S3" s="1">
        <v>5.49</v>
      </c>
      <c r="T3" s="146">
        <f t="shared" si="0"/>
        <v>14.88</v>
      </c>
    </row>
    <row r="4" spans="1:20" x14ac:dyDescent="0.25">
      <c r="B4" s="1" t="s">
        <v>130</v>
      </c>
      <c r="C4" s="1">
        <v>48</v>
      </c>
      <c r="D4" s="1">
        <v>24</v>
      </c>
      <c r="E4" s="1">
        <v>0.66700000000000004</v>
      </c>
      <c r="F4" s="1" t="s">
        <v>78</v>
      </c>
      <c r="G4" s="1">
        <v>113.7</v>
      </c>
      <c r="H4" s="1">
        <v>107.3</v>
      </c>
      <c r="I4" s="1">
        <v>5.83</v>
      </c>
      <c r="J4" s="1">
        <f>East2020[[#This Row],[SRS]]-MIN($I$2:$I$32)</f>
        <v>13.95</v>
      </c>
      <c r="L4" s="1" t="s">
        <v>134</v>
      </c>
      <c r="M4" s="1">
        <v>51</v>
      </c>
      <c r="N4" s="1">
        <v>31</v>
      </c>
      <c r="O4" s="1">
        <v>0.622</v>
      </c>
      <c r="P4" s="1">
        <v>9</v>
      </c>
      <c r="Q4" s="1">
        <v>115.2</v>
      </c>
      <c r="R4" s="1">
        <v>112.5</v>
      </c>
      <c r="S4" s="1">
        <v>2.25</v>
      </c>
      <c r="T4" s="146">
        <f t="shared" si="0"/>
        <v>11.64</v>
      </c>
    </row>
    <row r="5" spans="1:20" x14ac:dyDescent="0.25">
      <c r="B5" s="1" t="s">
        <v>131</v>
      </c>
      <c r="C5" s="1">
        <v>45</v>
      </c>
      <c r="D5" s="1">
        <v>28</v>
      </c>
      <c r="E5" s="1">
        <v>0.61599999999999999</v>
      </c>
      <c r="F5" s="1" t="s">
        <v>45</v>
      </c>
      <c r="G5" s="1">
        <v>109.4</v>
      </c>
      <c r="H5" s="1">
        <v>107.5</v>
      </c>
      <c r="I5" s="1">
        <v>1.63</v>
      </c>
      <c r="J5" s="1">
        <f>East2020[[#This Row],[SRS]]-MIN($I$2:$I$32)</f>
        <v>9.75</v>
      </c>
      <c r="L5" s="1" t="s">
        <v>130</v>
      </c>
      <c r="M5" s="1">
        <v>49</v>
      </c>
      <c r="N5" s="1">
        <v>33</v>
      </c>
      <c r="O5" s="1">
        <v>0.59799999999999998</v>
      </c>
      <c r="P5" s="1">
        <v>11</v>
      </c>
      <c r="Q5" s="1">
        <v>112.4</v>
      </c>
      <c r="R5" s="1">
        <v>108</v>
      </c>
      <c r="S5" s="1">
        <v>3.9</v>
      </c>
      <c r="T5" s="146">
        <f t="shared" si="0"/>
        <v>13.290000000000001</v>
      </c>
    </row>
    <row r="6" spans="1:20" x14ac:dyDescent="0.25">
      <c r="B6" s="1" t="s">
        <v>132</v>
      </c>
      <c r="C6" s="1">
        <v>44</v>
      </c>
      <c r="D6" s="1">
        <v>29</v>
      </c>
      <c r="E6" s="1">
        <v>0.60299999999999998</v>
      </c>
      <c r="F6" s="1" t="s">
        <v>133</v>
      </c>
      <c r="G6" s="1">
        <v>112</v>
      </c>
      <c r="H6" s="1">
        <v>109.1</v>
      </c>
      <c r="I6" s="1">
        <v>2.59</v>
      </c>
      <c r="J6" s="1">
        <f>East2020[[#This Row],[SRS]]-MIN($I$2:$I$32)</f>
        <v>10.709999999999999</v>
      </c>
      <c r="L6" s="1" t="s">
        <v>131</v>
      </c>
      <c r="M6" s="1">
        <v>48</v>
      </c>
      <c r="N6" s="1">
        <v>34</v>
      </c>
      <c r="O6" s="1">
        <v>0.58499999999999996</v>
      </c>
      <c r="P6" s="1">
        <v>12</v>
      </c>
      <c r="Q6" s="1">
        <v>108</v>
      </c>
      <c r="R6" s="1">
        <v>104.7</v>
      </c>
      <c r="S6" s="1">
        <v>2.76</v>
      </c>
      <c r="T6" s="146">
        <f t="shared" si="0"/>
        <v>12.15</v>
      </c>
    </row>
    <row r="7" spans="1:20" x14ac:dyDescent="0.25">
      <c r="B7" s="1" t="s">
        <v>134</v>
      </c>
      <c r="C7" s="1">
        <v>43</v>
      </c>
      <c r="D7" s="1">
        <v>30</v>
      </c>
      <c r="E7" s="1">
        <v>0.58899999999999997</v>
      </c>
      <c r="F7" s="1" t="s">
        <v>135</v>
      </c>
      <c r="G7" s="1">
        <v>110.7</v>
      </c>
      <c r="H7" s="1">
        <v>108.4</v>
      </c>
      <c r="I7" s="1">
        <v>2.25</v>
      </c>
      <c r="J7" s="1">
        <f>East2020[[#This Row],[SRS]]-MIN($I$2:$I$32)</f>
        <v>10.37</v>
      </c>
      <c r="L7" s="1" t="s">
        <v>136</v>
      </c>
      <c r="M7" s="1">
        <v>42</v>
      </c>
      <c r="N7" s="1">
        <v>40</v>
      </c>
      <c r="O7" s="1">
        <v>0.51200000000000001</v>
      </c>
      <c r="P7" s="1">
        <v>18</v>
      </c>
      <c r="Q7" s="1">
        <v>112.2</v>
      </c>
      <c r="R7" s="1">
        <v>112.3</v>
      </c>
      <c r="S7" s="1">
        <v>-0.4</v>
      </c>
      <c r="T7" s="146">
        <f t="shared" si="0"/>
        <v>8.99</v>
      </c>
    </row>
    <row r="8" spans="1:20" x14ac:dyDescent="0.25">
      <c r="B8" s="1" t="s">
        <v>136</v>
      </c>
      <c r="C8" s="1">
        <v>35</v>
      </c>
      <c r="D8" s="1">
        <v>37</v>
      </c>
      <c r="E8" s="1">
        <v>0.48599999999999999</v>
      </c>
      <c r="F8" s="1" t="s">
        <v>137</v>
      </c>
      <c r="G8" s="1">
        <v>111.8</v>
      </c>
      <c r="H8" s="1">
        <v>112.3</v>
      </c>
      <c r="I8" s="1">
        <v>-1.01</v>
      </c>
      <c r="J8" s="1">
        <f>East2020[[#This Row],[SRS]]-MIN($I$2:$I$32)</f>
        <v>7.1099999999999994</v>
      </c>
      <c r="L8" s="1" t="s">
        <v>138</v>
      </c>
      <c r="M8" s="1">
        <v>42</v>
      </c>
      <c r="N8" s="1">
        <v>40</v>
      </c>
      <c r="O8" s="1">
        <v>0.51200000000000001</v>
      </c>
      <c r="P8" s="1">
        <v>18</v>
      </c>
      <c r="Q8" s="1">
        <v>107.3</v>
      </c>
      <c r="R8" s="1">
        <v>106.6</v>
      </c>
      <c r="S8" s="1">
        <v>0.28000000000000003</v>
      </c>
      <c r="T8" s="146">
        <f t="shared" si="0"/>
        <v>9.67</v>
      </c>
    </row>
    <row r="9" spans="1:20" x14ac:dyDescent="0.25">
      <c r="B9" s="1" t="s">
        <v>138</v>
      </c>
      <c r="C9" s="1">
        <v>33</v>
      </c>
      <c r="D9" s="1">
        <v>40</v>
      </c>
      <c r="E9" s="1">
        <v>0.45200000000000001</v>
      </c>
      <c r="F9" s="1" t="s">
        <v>139</v>
      </c>
      <c r="G9" s="1">
        <v>107.3</v>
      </c>
      <c r="H9" s="1">
        <v>108.3</v>
      </c>
      <c r="I9" s="1">
        <v>-0.93</v>
      </c>
      <c r="J9" s="1">
        <f>East2020[[#This Row],[SRS]]-MIN($I$2:$I$32)</f>
        <v>7.1899999999999995</v>
      </c>
      <c r="L9" s="1" t="s">
        <v>148</v>
      </c>
      <c r="M9" s="1">
        <v>41</v>
      </c>
      <c r="N9" s="1">
        <v>41</v>
      </c>
      <c r="O9" s="1">
        <v>0.5</v>
      </c>
      <c r="P9" s="1">
        <v>19</v>
      </c>
      <c r="Q9" s="1">
        <v>107</v>
      </c>
      <c r="R9" s="1">
        <v>107.3</v>
      </c>
      <c r="S9" s="1">
        <v>-0.56000000000000005</v>
      </c>
      <c r="T9" s="146">
        <f t="shared" si="0"/>
        <v>8.83</v>
      </c>
    </row>
    <row r="10" spans="1:20" x14ac:dyDescent="0.25">
      <c r="B10" s="1" t="s">
        <v>140</v>
      </c>
      <c r="C10" s="1">
        <v>23</v>
      </c>
      <c r="D10" s="1">
        <v>42</v>
      </c>
      <c r="E10" s="1">
        <v>0.35399999999999998</v>
      </c>
      <c r="F10" s="1" t="s">
        <v>141</v>
      </c>
      <c r="G10" s="1">
        <v>102.9</v>
      </c>
      <c r="H10" s="1">
        <v>109.6</v>
      </c>
      <c r="I10" s="1">
        <v>-7.03</v>
      </c>
      <c r="J10" s="1">
        <f>East2020[[#This Row],[SRS]]-MIN($I$2:$I$32)</f>
        <v>1.089999999999999</v>
      </c>
      <c r="L10" s="1" t="s">
        <v>140</v>
      </c>
      <c r="M10" s="1">
        <v>39</v>
      </c>
      <c r="N10" s="1">
        <v>43</v>
      </c>
      <c r="O10" s="1">
        <v>0.47599999999999998</v>
      </c>
      <c r="P10" s="1">
        <v>21</v>
      </c>
      <c r="Q10" s="1">
        <v>110.7</v>
      </c>
      <c r="R10" s="1">
        <v>111.8</v>
      </c>
      <c r="S10" s="1">
        <v>-1.32</v>
      </c>
      <c r="T10" s="146">
        <f t="shared" si="0"/>
        <v>8.07</v>
      </c>
    </row>
    <row r="11" spans="1:20" x14ac:dyDescent="0.25">
      <c r="B11" s="1" t="s">
        <v>142</v>
      </c>
      <c r="C11" s="1">
        <v>25</v>
      </c>
      <c r="D11" s="1">
        <v>47</v>
      </c>
      <c r="E11" s="1">
        <v>0.34699999999999998</v>
      </c>
      <c r="F11" s="1" t="s">
        <v>143</v>
      </c>
      <c r="G11" s="1">
        <v>114.4</v>
      </c>
      <c r="H11" s="1">
        <v>119.1</v>
      </c>
      <c r="I11" s="1">
        <v>-5.24</v>
      </c>
      <c r="J11" s="1">
        <f>East2020[[#This Row],[SRS]]-MIN($I$2:$I$32)</f>
        <v>2.879999999999999</v>
      </c>
      <c r="L11" s="1" t="s">
        <v>132</v>
      </c>
      <c r="M11" s="1">
        <v>39</v>
      </c>
      <c r="N11" s="1">
        <v>43</v>
      </c>
      <c r="O11" s="1">
        <v>0.47599999999999998</v>
      </c>
      <c r="P11" s="1">
        <v>21</v>
      </c>
      <c r="Q11" s="1">
        <v>105.7</v>
      </c>
      <c r="R11" s="1">
        <v>105.9</v>
      </c>
      <c r="S11" s="1">
        <v>-0.45</v>
      </c>
      <c r="T11" s="146">
        <f t="shared" si="0"/>
        <v>8.9400000000000013</v>
      </c>
    </row>
    <row r="12" spans="1:20" x14ac:dyDescent="0.25">
      <c r="B12" s="1" t="s">
        <v>144</v>
      </c>
      <c r="C12" s="1">
        <v>22</v>
      </c>
      <c r="D12" s="1">
        <v>43</v>
      </c>
      <c r="E12" s="1">
        <v>0.33800000000000002</v>
      </c>
      <c r="F12" s="1" t="s">
        <v>145</v>
      </c>
      <c r="G12" s="1">
        <v>106.8</v>
      </c>
      <c r="H12" s="1">
        <v>109.9</v>
      </c>
      <c r="I12" s="1">
        <v>-4</v>
      </c>
      <c r="J12" s="1">
        <f>East2020[[#This Row],[SRS]]-MIN($I$2:$I$32)</f>
        <v>4.1199999999999992</v>
      </c>
      <c r="L12" s="1" t="s">
        <v>142</v>
      </c>
      <c r="M12" s="1">
        <v>32</v>
      </c>
      <c r="N12" s="1">
        <v>50</v>
      </c>
      <c r="O12" s="1">
        <v>0.39</v>
      </c>
      <c r="P12" s="1">
        <v>28</v>
      </c>
      <c r="Q12" s="1">
        <v>114</v>
      </c>
      <c r="R12" s="1">
        <v>116.9</v>
      </c>
      <c r="S12" s="1">
        <v>-3.3</v>
      </c>
      <c r="T12" s="146">
        <f t="shared" si="0"/>
        <v>6.0900000000000007</v>
      </c>
    </row>
    <row r="13" spans="1:20" x14ac:dyDescent="0.25">
      <c r="B13" s="1" t="s">
        <v>146</v>
      </c>
      <c r="C13" s="1">
        <v>21</v>
      </c>
      <c r="D13" s="1">
        <v>45</v>
      </c>
      <c r="E13" s="1">
        <v>0.318</v>
      </c>
      <c r="F13" s="1" t="s">
        <v>147</v>
      </c>
      <c r="G13" s="1">
        <v>105.8</v>
      </c>
      <c r="H13" s="1">
        <v>112.3</v>
      </c>
      <c r="I13" s="1">
        <v>-6.72</v>
      </c>
      <c r="J13" s="1">
        <f>East2020[[#This Row],[SRS]]-MIN($I$2:$I$32)</f>
        <v>1.3999999999999995</v>
      </c>
      <c r="L13" s="1" t="s">
        <v>150</v>
      </c>
      <c r="M13" s="1">
        <v>29</v>
      </c>
      <c r="N13" s="1">
        <v>53</v>
      </c>
      <c r="O13" s="1">
        <v>0.35399999999999998</v>
      </c>
      <c r="P13" s="1">
        <v>31</v>
      </c>
      <c r="Q13" s="1">
        <v>113.3</v>
      </c>
      <c r="R13" s="1">
        <v>119.4</v>
      </c>
      <c r="S13" s="1">
        <v>-6.06</v>
      </c>
      <c r="T13" s="146">
        <f t="shared" si="0"/>
        <v>3.330000000000001</v>
      </c>
    </row>
    <row r="14" spans="1:20" x14ac:dyDescent="0.25">
      <c r="B14" s="1" t="s">
        <v>148</v>
      </c>
      <c r="C14" s="1">
        <v>20</v>
      </c>
      <c r="D14" s="1">
        <v>46</v>
      </c>
      <c r="E14" s="1">
        <v>0.30299999999999999</v>
      </c>
      <c r="F14" s="1" t="s">
        <v>149</v>
      </c>
      <c r="G14" s="1">
        <v>107.2</v>
      </c>
      <c r="H14" s="1">
        <v>110.8</v>
      </c>
      <c r="I14" s="1">
        <v>-4.38</v>
      </c>
      <c r="J14" s="1">
        <f>East2020[[#This Row],[SRS]]-MIN($I$2:$I$32)</f>
        <v>3.7399999999999993</v>
      </c>
      <c r="L14" s="1" t="s">
        <v>144</v>
      </c>
      <c r="M14" s="1">
        <v>22</v>
      </c>
      <c r="N14" s="1">
        <v>60</v>
      </c>
      <c r="O14" s="1">
        <v>0.26800000000000002</v>
      </c>
      <c r="P14" s="1">
        <v>38</v>
      </c>
      <c r="Q14" s="1">
        <v>104.9</v>
      </c>
      <c r="R14" s="1">
        <v>113.4</v>
      </c>
      <c r="S14" s="1">
        <v>-8.32</v>
      </c>
      <c r="T14" s="146">
        <f t="shared" si="0"/>
        <v>1.0700000000000003</v>
      </c>
    </row>
    <row r="15" spans="1:20" x14ac:dyDescent="0.25">
      <c r="B15" s="1" t="s">
        <v>150</v>
      </c>
      <c r="C15" s="1">
        <v>20</v>
      </c>
      <c r="D15" s="1">
        <v>47</v>
      </c>
      <c r="E15" s="1">
        <v>0.29899999999999999</v>
      </c>
      <c r="F15" s="1" t="s">
        <v>151</v>
      </c>
      <c r="G15" s="1">
        <v>111.8</v>
      </c>
      <c r="H15" s="1">
        <v>119.7</v>
      </c>
      <c r="I15" s="1">
        <v>-7.71</v>
      </c>
      <c r="J15" s="1">
        <f>East2020[[#This Row],[SRS]]-MIN($I$2:$I$32)</f>
        <v>0.40999999999999925</v>
      </c>
      <c r="L15" s="1" t="s">
        <v>152</v>
      </c>
      <c r="M15" s="1">
        <v>19</v>
      </c>
      <c r="N15" s="1">
        <v>63</v>
      </c>
      <c r="O15" s="1">
        <v>0.23200000000000001</v>
      </c>
      <c r="P15" s="1">
        <v>41</v>
      </c>
      <c r="Q15" s="1">
        <v>104.5</v>
      </c>
      <c r="R15" s="1">
        <v>114.1</v>
      </c>
      <c r="S15" s="1">
        <v>-9.39</v>
      </c>
      <c r="T15" s="146">
        <f t="shared" si="0"/>
        <v>0</v>
      </c>
    </row>
    <row r="16" spans="1:20" x14ac:dyDescent="0.25">
      <c r="B16" s="1" t="s">
        <v>152</v>
      </c>
      <c r="C16" s="1">
        <v>19</v>
      </c>
      <c r="D16" s="1">
        <v>46</v>
      </c>
      <c r="E16" s="1">
        <v>0.29199999999999998</v>
      </c>
      <c r="F16" s="1" t="s">
        <v>151</v>
      </c>
      <c r="G16" s="1">
        <v>106.9</v>
      </c>
      <c r="H16" s="1">
        <v>114.8</v>
      </c>
      <c r="I16" s="1">
        <v>-7.77</v>
      </c>
      <c r="J16" s="1">
        <f>East2020[[#This Row],[SRS]]-MIN($I$2:$I$32)</f>
        <v>0.34999999999999964</v>
      </c>
      <c r="L16" s="1" t="s">
        <v>146</v>
      </c>
      <c r="M16" s="1">
        <v>17</v>
      </c>
      <c r="N16" s="1">
        <v>65</v>
      </c>
      <c r="O16" s="1">
        <v>0.20699999999999999</v>
      </c>
      <c r="P16" s="1">
        <v>43</v>
      </c>
      <c r="Q16" s="1">
        <v>104.6</v>
      </c>
      <c r="R16" s="1">
        <v>113</v>
      </c>
      <c r="S16" s="1">
        <v>-8.93</v>
      </c>
      <c r="T16" s="146">
        <f t="shared" si="0"/>
        <v>0.46000000000000085</v>
      </c>
    </row>
    <row r="17" spans="2:20" x14ac:dyDescent="0.25">
      <c r="B17" s="1" t="s">
        <v>0</v>
      </c>
      <c r="C17" s="1" t="s">
        <v>1</v>
      </c>
      <c r="D17" s="1" t="s">
        <v>2</v>
      </c>
      <c r="E17" s="1" t="s">
        <v>3</v>
      </c>
      <c r="F17" s="1" t="s">
        <v>4</v>
      </c>
      <c r="G17" s="1" t="s">
        <v>125</v>
      </c>
      <c r="H17" s="1" t="s">
        <v>126</v>
      </c>
      <c r="I17" s="1" t="s">
        <v>127</v>
      </c>
      <c r="J17" t="s">
        <v>179</v>
      </c>
      <c r="L17" t="s">
        <v>177</v>
      </c>
      <c r="M17" t="s">
        <v>1</v>
      </c>
      <c r="N17" t="s">
        <v>2</v>
      </c>
      <c r="O17" t="s">
        <v>175</v>
      </c>
      <c r="P17" t="s">
        <v>4</v>
      </c>
      <c r="Q17" t="s">
        <v>125</v>
      </c>
      <c r="R17" t="s">
        <v>126</v>
      </c>
      <c r="S17" t="s">
        <v>127</v>
      </c>
      <c r="T17" t="s">
        <v>179</v>
      </c>
    </row>
    <row r="18" spans="2:20" x14ac:dyDescent="0.25">
      <c r="B18" s="1" t="s">
        <v>153</v>
      </c>
      <c r="C18" s="1">
        <v>52</v>
      </c>
      <c r="D18" s="1">
        <v>19</v>
      </c>
      <c r="E18" s="1">
        <v>0.73199999999999998</v>
      </c>
      <c r="F18" s="1" t="s">
        <v>9</v>
      </c>
      <c r="G18" s="1">
        <v>113.4</v>
      </c>
      <c r="H18" s="1">
        <v>107.6</v>
      </c>
      <c r="I18" s="1">
        <v>6.28</v>
      </c>
      <c r="J18" s="1">
        <f>West2020[[#This Row],[SRS]]-MIN($I$2:$I$32)</f>
        <v>14.399999999999999</v>
      </c>
      <c r="L18" t="s">
        <v>173</v>
      </c>
      <c r="M18">
        <v>57</v>
      </c>
      <c r="N18">
        <v>25</v>
      </c>
      <c r="O18">
        <v>0.69499999999999995</v>
      </c>
      <c r="P18" t="s">
        <v>9</v>
      </c>
      <c r="Q18">
        <v>117.7</v>
      </c>
      <c r="R18">
        <v>111.2</v>
      </c>
      <c r="S18">
        <v>6.42</v>
      </c>
      <c r="T18">
        <f>West2019[[#This Row],[SRS]]-MIN($S$2:$S$32)</f>
        <v>15.81</v>
      </c>
    </row>
    <row r="19" spans="2:20" x14ac:dyDescent="0.25">
      <c r="B19" s="1" t="s">
        <v>154</v>
      </c>
      <c r="C19" s="1">
        <v>49</v>
      </c>
      <c r="D19" s="1">
        <v>23</v>
      </c>
      <c r="E19" s="1">
        <v>0.68100000000000005</v>
      </c>
      <c r="F19" s="1" t="s">
        <v>77</v>
      </c>
      <c r="G19" s="1">
        <v>116.3</v>
      </c>
      <c r="H19" s="1">
        <v>109.9</v>
      </c>
      <c r="I19" s="1">
        <v>6.66</v>
      </c>
      <c r="J19" s="1">
        <f>West2020[[#This Row],[SRS]]-MIN($I$2:$I$32)</f>
        <v>14.78</v>
      </c>
      <c r="L19" t="s">
        <v>155</v>
      </c>
      <c r="M19">
        <v>54</v>
      </c>
      <c r="N19">
        <v>28</v>
      </c>
      <c r="O19">
        <v>0.65900000000000003</v>
      </c>
      <c r="P19">
        <v>3</v>
      </c>
      <c r="Q19">
        <v>110.7</v>
      </c>
      <c r="R19">
        <v>106.7</v>
      </c>
      <c r="S19">
        <v>4.1900000000000004</v>
      </c>
      <c r="T19">
        <f>West2019[[#This Row],[SRS]]-MIN($S$2:$S$32)</f>
        <v>13.580000000000002</v>
      </c>
    </row>
    <row r="20" spans="2:20" x14ac:dyDescent="0.25">
      <c r="B20" s="1" t="s">
        <v>155</v>
      </c>
      <c r="C20" s="1">
        <v>46</v>
      </c>
      <c r="D20" s="1">
        <v>27</v>
      </c>
      <c r="E20" s="1">
        <v>0.63</v>
      </c>
      <c r="F20" s="1" t="s">
        <v>38</v>
      </c>
      <c r="G20" s="1">
        <v>111.3</v>
      </c>
      <c r="H20" s="1">
        <v>109.2</v>
      </c>
      <c r="I20" s="1">
        <v>2.35</v>
      </c>
      <c r="J20" s="1">
        <f>West2020[[#This Row],[SRS]]-MIN($I$2:$I$32)</f>
        <v>10.469999999999999</v>
      </c>
      <c r="L20" t="s">
        <v>160</v>
      </c>
      <c r="M20">
        <v>53</v>
      </c>
      <c r="N20">
        <v>29</v>
      </c>
      <c r="O20">
        <v>0.64600000000000002</v>
      </c>
      <c r="P20">
        <v>4</v>
      </c>
      <c r="Q20">
        <v>114.7</v>
      </c>
      <c r="R20">
        <v>110.5</v>
      </c>
      <c r="S20">
        <v>4.43</v>
      </c>
      <c r="T20">
        <f>West2019[[#This Row],[SRS]]-MIN($S$2:$S$32)</f>
        <v>13.82</v>
      </c>
    </row>
    <row r="21" spans="2:20" x14ac:dyDescent="0.25">
      <c r="B21" s="1" t="s">
        <v>156</v>
      </c>
      <c r="C21" s="1">
        <v>44</v>
      </c>
      <c r="D21" s="1">
        <v>28</v>
      </c>
      <c r="E21" s="1">
        <v>0.61099999999999999</v>
      </c>
      <c r="F21" s="1" t="s">
        <v>27</v>
      </c>
      <c r="G21" s="1">
        <v>117.8</v>
      </c>
      <c r="H21" s="1">
        <v>114.8</v>
      </c>
      <c r="I21" s="1">
        <v>3.13</v>
      </c>
      <c r="J21" s="1">
        <f>West2020[[#This Row],[SRS]]-MIN($I$2:$I$32)</f>
        <v>11.25</v>
      </c>
      <c r="L21" t="s">
        <v>156</v>
      </c>
      <c r="M21">
        <v>53</v>
      </c>
      <c r="N21">
        <v>29</v>
      </c>
      <c r="O21">
        <v>0.64600000000000002</v>
      </c>
      <c r="P21">
        <v>4</v>
      </c>
      <c r="Q21">
        <v>113.9</v>
      </c>
      <c r="R21">
        <v>109.1</v>
      </c>
      <c r="S21">
        <v>4.96</v>
      </c>
      <c r="T21">
        <f>West2019[[#This Row],[SRS]]-MIN($S$2:$S$32)</f>
        <v>14.350000000000001</v>
      </c>
    </row>
    <row r="22" spans="2:20" x14ac:dyDescent="0.25">
      <c r="B22" s="1" t="s">
        <v>157</v>
      </c>
      <c r="C22" s="1">
        <v>44</v>
      </c>
      <c r="D22" s="1">
        <v>28</v>
      </c>
      <c r="E22" s="1">
        <v>0.61099999999999999</v>
      </c>
      <c r="F22" s="1" t="s">
        <v>27</v>
      </c>
      <c r="G22" s="1">
        <v>110.4</v>
      </c>
      <c r="H22" s="1">
        <v>108.4</v>
      </c>
      <c r="I22" s="1">
        <v>2.33</v>
      </c>
      <c r="J22" s="1">
        <f>West2020[[#This Row],[SRS]]-MIN($I$2:$I$32)</f>
        <v>10.45</v>
      </c>
      <c r="L22" t="s">
        <v>158</v>
      </c>
      <c r="M22">
        <v>50</v>
      </c>
      <c r="N22">
        <v>32</v>
      </c>
      <c r="O22">
        <v>0.61</v>
      </c>
      <c r="P22">
        <v>7</v>
      </c>
      <c r="Q22">
        <v>111.7</v>
      </c>
      <c r="R22">
        <v>106.5</v>
      </c>
      <c r="S22">
        <v>5.28</v>
      </c>
      <c r="T22">
        <f>West2019[[#This Row],[SRS]]-MIN($S$2:$S$32)</f>
        <v>14.670000000000002</v>
      </c>
    </row>
    <row r="23" spans="2:20" x14ac:dyDescent="0.25">
      <c r="B23" s="1" t="s">
        <v>158</v>
      </c>
      <c r="C23" s="1">
        <v>44</v>
      </c>
      <c r="D23" s="1">
        <v>28</v>
      </c>
      <c r="E23" s="1">
        <v>0.61099999999999999</v>
      </c>
      <c r="F23" s="1" t="s">
        <v>27</v>
      </c>
      <c r="G23" s="1">
        <v>111.3</v>
      </c>
      <c r="H23" s="1">
        <v>108.8</v>
      </c>
      <c r="I23" s="1">
        <v>2.52</v>
      </c>
      <c r="J23" s="1">
        <f>West2020[[#This Row],[SRS]]-MIN($I$2:$I$32)</f>
        <v>10.639999999999999</v>
      </c>
      <c r="L23" t="s">
        <v>157</v>
      </c>
      <c r="M23">
        <v>49</v>
      </c>
      <c r="N23">
        <v>33</v>
      </c>
      <c r="O23">
        <v>0.59799999999999998</v>
      </c>
      <c r="P23">
        <v>8</v>
      </c>
      <c r="Q23">
        <v>114.5</v>
      </c>
      <c r="R23">
        <v>111.1</v>
      </c>
      <c r="S23">
        <v>3.56</v>
      </c>
      <c r="T23">
        <f>West2019[[#This Row],[SRS]]-MIN($S$2:$S$32)</f>
        <v>12.950000000000001</v>
      </c>
    </row>
    <row r="24" spans="2:20" x14ac:dyDescent="0.25">
      <c r="B24" s="1" t="s">
        <v>159</v>
      </c>
      <c r="C24" s="1">
        <v>43</v>
      </c>
      <c r="D24" s="1">
        <v>32</v>
      </c>
      <c r="E24" s="1">
        <v>0.57299999999999995</v>
      </c>
      <c r="F24" s="1" t="s">
        <v>45</v>
      </c>
      <c r="G24" s="1">
        <v>117</v>
      </c>
      <c r="H24" s="1">
        <v>112.1</v>
      </c>
      <c r="I24" s="1">
        <v>4.87</v>
      </c>
      <c r="J24" s="1">
        <f>West2020[[#This Row],[SRS]]-MIN($I$2:$I$32)</f>
        <v>12.989999999999998</v>
      </c>
      <c r="L24" t="s">
        <v>165</v>
      </c>
      <c r="M24">
        <v>48</v>
      </c>
      <c r="N24">
        <v>34</v>
      </c>
      <c r="O24">
        <v>0.58499999999999996</v>
      </c>
      <c r="P24">
        <v>9</v>
      </c>
      <c r="Q24">
        <v>111.7</v>
      </c>
      <c r="R24">
        <v>110</v>
      </c>
      <c r="S24">
        <v>1.8</v>
      </c>
      <c r="T24">
        <f>West2019[[#This Row],[SRS]]-MIN($S$2:$S$32)</f>
        <v>11.190000000000001</v>
      </c>
    </row>
    <row r="25" spans="2:20" x14ac:dyDescent="0.25">
      <c r="B25" s="1" t="s">
        <v>160</v>
      </c>
      <c r="C25" s="1">
        <v>35</v>
      </c>
      <c r="D25" s="1">
        <v>39</v>
      </c>
      <c r="E25" s="1">
        <v>0.47299999999999998</v>
      </c>
      <c r="F25" s="1" t="s">
        <v>161</v>
      </c>
      <c r="G25" s="1">
        <v>115</v>
      </c>
      <c r="H25" s="1">
        <v>116.1</v>
      </c>
      <c r="I25" s="1">
        <v>-0.61</v>
      </c>
      <c r="J25" s="1">
        <f>West2020[[#This Row],[SRS]]-MIN($I$2:$I$32)</f>
        <v>7.5099999999999989</v>
      </c>
      <c r="L25" t="s">
        <v>154</v>
      </c>
      <c r="M25">
        <v>48</v>
      </c>
      <c r="N25">
        <v>34</v>
      </c>
      <c r="O25">
        <v>0.58499999999999996</v>
      </c>
      <c r="P25">
        <v>9</v>
      </c>
      <c r="Q25">
        <v>115.1</v>
      </c>
      <c r="R25">
        <v>114.3</v>
      </c>
      <c r="S25">
        <v>1.0900000000000001</v>
      </c>
      <c r="T25">
        <f>West2019[[#This Row],[SRS]]-MIN($S$2:$S$32)</f>
        <v>10.48</v>
      </c>
    </row>
    <row r="26" spans="2:20" x14ac:dyDescent="0.25">
      <c r="B26" s="1" t="s">
        <v>162</v>
      </c>
      <c r="C26" s="1">
        <v>34</v>
      </c>
      <c r="D26" s="1">
        <v>39</v>
      </c>
      <c r="E26" s="1">
        <v>0.46600000000000003</v>
      </c>
      <c r="F26" s="1" t="s">
        <v>163</v>
      </c>
      <c r="G26" s="1">
        <v>112.6</v>
      </c>
      <c r="H26" s="1">
        <v>113.7</v>
      </c>
      <c r="I26" s="1">
        <v>-0.91</v>
      </c>
      <c r="J26" s="1">
        <f>West2020[[#This Row],[SRS]]-MIN($I$2:$I$32)</f>
        <v>7.2099999999999991</v>
      </c>
      <c r="L26" t="s">
        <v>167</v>
      </c>
      <c r="M26">
        <v>39</v>
      </c>
      <c r="N26">
        <v>43</v>
      </c>
      <c r="O26">
        <v>0.47599999999999998</v>
      </c>
      <c r="P26">
        <v>18</v>
      </c>
      <c r="Q26">
        <v>114.2</v>
      </c>
      <c r="R26">
        <v>115.3</v>
      </c>
      <c r="S26">
        <v>-0.81</v>
      </c>
      <c r="T26">
        <f>West2019[[#This Row],[SRS]]-MIN($S$2:$S$32)</f>
        <v>8.58</v>
      </c>
    </row>
    <row r="27" spans="2:20" x14ac:dyDescent="0.25">
      <c r="B27" s="1" t="s">
        <v>164</v>
      </c>
      <c r="C27" s="1">
        <v>34</v>
      </c>
      <c r="D27" s="1">
        <v>39</v>
      </c>
      <c r="E27" s="1">
        <v>0.46600000000000003</v>
      </c>
      <c r="F27" s="1" t="s">
        <v>163</v>
      </c>
      <c r="G27" s="1">
        <v>113.6</v>
      </c>
      <c r="H27" s="1">
        <v>113.4</v>
      </c>
      <c r="I27" s="1">
        <v>0.56000000000000005</v>
      </c>
      <c r="J27" s="1">
        <f>West2020[[#This Row],[SRS]]-MIN($I$2:$I$32)</f>
        <v>8.68</v>
      </c>
      <c r="L27" t="s">
        <v>153</v>
      </c>
      <c r="M27">
        <v>37</v>
      </c>
      <c r="N27">
        <v>45</v>
      </c>
      <c r="O27">
        <v>0.45100000000000001</v>
      </c>
      <c r="P27">
        <v>20</v>
      </c>
      <c r="Q27">
        <v>111.8</v>
      </c>
      <c r="R27">
        <v>113.5</v>
      </c>
      <c r="S27">
        <v>-1.33</v>
      </c>
      <c r="T27">
        <f>West2019[[#This Row],[SRS]]-MIN($S$2:$S$32)</f>
        <v>8.06</v>
      </c>
    </row>
    <row r="28" spans="2:20" x14ac:dyDescent="0.25">
      <c r="B28" s="1" t="s">
        <v>165</v>
      </c>
      <c r="C28" s="1">
        <v>32</v>
      </c>
      <c r="D28" s="1">
        <v>39</v>
      </c>
      <c r="E28" s="1">
        <v>0.45100000000000001</v>
      </c>
      <c r="F28" s="1" t="s">
        <v>166</v>
      </c>
      <c r="G28" s="1">
        <v>114.1</v>
      </c>
      <c r="H28" s="1">
        <v>115.2</v>
      </c>
      <c r="I28" s="1">
        <v>-0.65</v>
      </c>
      <c r="J28" s="1">
        <f>West2020[[#This Row],[SRS]]-MIN($I$2:$I$32)</f>
        <v>7.4699999999999989</v>
      </c>
      <c r="L28" t="s">
        <v>171</v>
      </c>
      <c r="M28">
        <v>36</v>
      </c>
      <c r="N28">
        <v>46</v>
      </c>
      <c r="O28">
        <v>0.439</v>
      </c>
      <c r="P28">
        <v>21</v>
      </c>
      <c r="Q28">
        <v>112.5</v>
      </c>
      <c r="R28">
        <v>114</v>
      </c>
      <c r="S28">
        <v>-1.02</v>
      </c>
      <c r="T28">
        <f>West2019[[#This Row],[SRS]]-MIN($S$2:$S$32)</f>
        <v>8.370000000000001</v>
      </c>
    </row>
    <row r="29" spans="2:20" x14ac:dyDescent="0.25">
      <c r="B29" s="1" t="s">
        <v>167</v>
      </c>
      <c r="C29" s="1">
        <v>31</v>
      </c>
      <c r="D29" s="1">
        <v>41</v>
      </c>
      <c r="E29" s="1">
        <v>0.43099999999999999</v>
      </c>
      <c r="F29" s="1" t="s">
        <v>168</v>
      </c>
      <c r="G29" s="1">
        <v>110.1</v>
      </c>
      <c r="H29" s="1">
        <v>112.1</v>
      </c>
      <c r="I29" s="1">
        <v>-1.59</v>
      </c>
      <c r="J29" s="1">
        <f>West2020[[#This Row],[SRS]]-MIN($I$2:$I$32)</f>
        <v>6.5299999999999994</v>
      </c>
      <c r="L29" t="s">
        <v>162</v>
      </c>
      <c r="M29">
        <v>33</v>
      </c>
      <c r="N29">
        <v>49</v>
      </c>
      <c r="O29">
        <v>0.40200000000000002</v>
      </c>
      <c r="P29">
        <v>24</v>
      </c>
      <c r="Q29">
        <v>103.5</v>
      </c>
      <c r="R29">
        <v>106.1</v>
      </c>
      <c r="S29">
        <v>-2.08</v>
      </c>
      <c r="T29">
        <f>West2019[[#This Row],[SRS]]-MIN($S$2:$S$32)</f>
        <v>7.3100000000000005</v>
      </c>
    </row>
    <row r="30" spans="2:20" x14ac:dyDescent="0.25">
      <c r="B30" s="1" t="s">
        <v>169</v>
      </c>
      <c r="C30" s="1">
        <v>30</v>
      </c>
      <c r="D30" s="1">
        <v>42</v>
      </c>
      <c r="E30" s="1">
        <v>0.41699999999999998</v>
      </c>
      <c r="F30" s="1" t="s">
        <v>170</v>
      </c>
      <c r="G30" s="1">
        <v>115.8</v>
      </c>
      <c r="H30" s="1">
        <v>117.1</v>
      </c>
      <c r="I30" s="1">
        <v>-0.55000000000000004</v>
      </c>
      <c r="J30" s="1">
        <f>West2020[[#This Row],[SRS]]-MIN($I$2:$I$32)</f>
        <v>7.5699999999999994</v>
      </c>
      <c r="L30" t="s">
        <v>169</v>
      </c>
      <c r="M30">
        <v>33</v>
      </c>
      <c r="N30">
        <v>49</v>
      </c>
      <c r="O30">
        <v>0.40200000000000002</v>
      </c>
      <c r="P30">
        <v>24</v>
      </c>
      <c r="Q30">
        <v>115.4</v>
      </c>
      <c r="R30">
        <v>116.8</v>
      </c>
      <c r="S30">
        <v>-1.1000000000000001</v>
      </c>
      <c r="T30">
        <f>West2019[[#This Row],[SRS]]-MIN($S$2:$S$32)</f>
        <v>8.2900000000000009</v>
      </c>
    </row>
    <row r="31" spans="2:20" x14ac:dyDescent="0.25">
      <c r="B31" s="1" t="s">
        <v>171</v>
      </c>
      <c r="C31" s="1">
        <v>19</v>
      </c>
      <c r="D31" s="1">
        <v>45</v>
      </c>
      <c r="E31" s="1">
        <v>0.29699999999999999</v>
      </c>
      <c r="F31" s="1" t="s">
        <v>172</v>
      </c>
      <c r="G31" s="1">
        <v>113.3</v>
      </c>
      <c r="H31" s="1">
        <v>117.5</v>
      </c>
      <c r="I31" s="1">
        <v>-4.0199999999999996</v>
      </c>
      <c r="J31" s="1">
        <f>West2020[[#This Row],[SRS]]-MIN($I$2:$I$32)</f>
        <v>4.0999999999999996</v>
      </c>
      <c r="L31" t="s">
        <v>159</v>
      </c>
      <c r="M31">
        <v>33</v>
      </c>
      <c r="N31">
        <v>49</v>
      </c>
      <c r="O31">
        <v>0.40200000000000002</v>
      </c>
      <c r="P31">
        <v>24</v>
      </c>
      <c r="Q31">
        <v>108.9</v>
      </c>
      <c r="R31">
        <v>110.1</v>
      </c>
      <c r="S31">
        <v>-0.87</v>
      </c>
      <c r="T31">
        <f>West2019[[#This Row],[SRS]]-MIN($S$2:$S$32)</f>
        <v>8.5200000000000014</v>
      </c>
    </row>
    <row r="32" spans="2:20" x14ac:dyDescent="0.25">
      <c r="B32" s="1" t="s">
        <v>173</v>
      </c>
      <c r="C32" s="1">
        <v>15</v>
      </c>
      <c r="D32" s="1">
        <v>50</v>
      </c>
      <c r="E32" s="1">
        <v>0.23100000000000001</v>
      </c>
      <c r="F32" s="1" t="s">
        <v>174</v>
      </c>
      <c r="G32" s="1">
        <v>106.3</v>
      </c>
      <c r="H32" s="1">
        <v>115</v>
      </c>
      <c r="I32" s="1">
        <v>-8.1199999999999992</v>
      </c>
      <c r="J32" s="1">
        <f>West2020[[#This Row],[SRS]]-MIN($I$2:$I$32)</f>
        <v>0</v>
      </c>
      <c r="L32" t="s">
        <v>164</v>
      </c>
      <c r="M32">
        <v>19</v>
      </c>
      <c r="N32">
        <v>63</v>
      </c>
      <c r="O32">
        <v>0.23200000000000001</v>
      </c>
      <c r="P32">
        <v>38</v>
      </c>
      <c r="Q32">
        <v>107.5</v>
      </c>
      <c r="R32">
        <v>116.8</v>
      </c>
      <c r="S32">
        <v>-8.6</v>
      </c>
      <c r="T32">
        <f>West2019[[#This Row],[SRS]]-MIN($S$2:$S$32)</f>
        <v>0.79000000000000092</v>
      </c>
    </row>
    <row r="34" spans="1:20" x14ac:dyDescent="0.25">
      <c r="A34" t="s">
        <v>182</v>
      </c>
      <c r="B34" t="s">
        <v>0</v>
      </c>
      <c r="C34" t="s">
        <v>1</v>
      </c>
      <c r="D34" t="s">
        <v>2</v>
      </c>
      <c r="E34" t="s">
        <v>3</v>
      </c>
      <c r="F34" t="s">
        <v>4</v>
      </c>
      <c r="G34" t="s">
        <v>125</v>
      </c>
      <c r="H34" t="s">
        <v>126</v>
      </c>
      <c r="I34" t="s">
        <v>127</v>
      </c>
      <c r="J34" t="s">
        <v>179</v>
      </c>
      <c r="K34" t="s">
        <v>183</v>
      </c>
      <c r="L34" t="s">
        <v>0</v>
      </c>
      <c r="M34" t="s">
        <v>1</v>
      </c>
      <c r="N34" t="s">
        <v>2</v>
      </c>
      <c r="O34" t="s">
        <v>3</v>
      </c>
      <c r="P34" t="s">
        <v>4</v>
      </c>
      <c r="Q34" t="s">
        <v>125</v>
      </c>
      <c r="R34" t="s">
        <v>126</v>
      </c>
      <c r="S34" t="s">
        <v>127</v>
      </c>
      <c r="T34" t="s">
        <v>179</v>
      </c>
    </row>
    <row r="35" spans="1:20" x14ac:dyDescent="0.25">
      <c r="B35" t="s">
        <v>129</v>
      </c>
      <c r="C35">
        <v>59</v>
      </c>
      <c r="D35">
        <v>23</v>
      </c>
      <c r="E35">
        <v>0.72</v>
      </c>
      <c r="F35" t="s">
        <v>9</v>
      </c>
      <c r="G35">
        <v>111.7</v>
      </c>
      <c r="H35">
        <v>103.9</v>
      </c>
      <c r="I35">
        <v>7.29</v>
      </c>
      <c r="J35">
        <f>East2018[[#This Row],[SRS]]-MIN($I$35:$I$66)</f>
        <v>16.09</v>
      </c>
      <c r="L35" t="s">
        <v>130</v>
      </c>
      <c r="M35">
        <v>53</v>
      </c>
      <c r="N35">
        <v>29</v>
      </c>
      <c r="O35">
        <v>0.64600000000000002</v>
      </c>
      <c r="P35" t="s">
        <v>9</v>
      </c>
      <c r="Q35">
        <v>108</v>
      </c>
      <c r="R35">
        <v>105.4</v>
      </c>
      <c r="S35">
        <v>2.25</v>
      </c>
      <c r="T35">
        <f>East2017[[#This Row],[SRS]]-MIN($S$35:$S$66)</f>
        <v>8.99</v>
      </c>
    </row>
    <row r="36" spans="1:20" x14ac:dyDescent="0.25">
      <c r="B36" t="s">
        <v>130</v>
      </c>
      <c r="C36">
        <v>55</v>
      </c>
      <c r="D36">
        <v>27</v>
      </c>
      <c r="E36">
        <v>0.67100000000000004</v>
      </c>
      <c r="F36">
        <v>4</v>
      </c>
      <c r="G36">
        <v>104</v>
      </c>
      <c r="H36">
        <v>100.4</v>
      </c>
      <c r="I36">
        <v>3.23</v>
      </c>
      <c r="J36">
        <f>East2018[[#This Row],[SRS]]-MIN($I$35:$I$66)</f>
        <v>12.030000000000001</v>
      </c>
      <c r="L36" t="s">
        <v>152</v>
      </c>
      <c r="M36">
        <v>51</v>
      </c>
      <c r="N36">
        <v>31</v>
      </c>
      <c r="O36">
        <v>0.622</v>
      </c>
      <c r="P36">
        <v>2</v>
      </c>
      <c r="Q36">
        <v>110.3</v>
      </c>
      <c r="R36">
        <v>107.2</v>
      </c>
      <c r="S36">
        <v>2.87</v>
      </c>
      <c r="T36">
        <f>East2017[[#This Row],[SRS]]-MIN($S$35:$S$66)</f>
        <v>9.61</v>
      </c>
    </row>
    <row r="37" spans="1:20" x14ac:dyDescent="0.25">
      <c r="B37" t="s">
        <v>134</v>
      </c>
      <c r="C37">
        <v>52</v>
      </c>
      <c r="D37">
        <v>30</v>
      </c>
      <c r="E37">
        <v>0.63400000000000001</v>
      </c>
      <c r="F37">
        <v>7</v>
      </c>
      <c r="G37">
        <v>109.8</v>
      </c>
      <c r="H37">
        <v>105.3</v>
      </c>
      <c r="I37">
        <v>4.3</v>
      </c>
      <c r="J37">
        <f>East2018[[#This Row],[SRS]]-MIN($I$35:$I$66)</f>
        <v>13.100000000000001</v>
      </c>
      <c r="L37" t="s">
        <v>129</v>
      </c>
      <c r="M37">
        <v>51</v>
      </c>
      <c r="N37">
        <v>31</v>
      </c>
      <c r="O37">
        <v>0.622</v>
      </c>
      <c r="P37">
        <v>2</v>
      </c>
      <c r="Q37">
        <v>106.9</v>
      </c>
      <c r="R37">
        <v>102.6</v>
      </c>
      <c r="S37">
        <v>3.65</v>
      </c>
      <c r="T37">
        <f>East2017[[#This Row],[SRS]]-MIN($S$35:$S$66)</f>
        <v>10.39</v>
      </c>
    </row>
    <row r="38" spans="1:20" x14ac:dyDescent="0.25">
      <c r="B38" t="s">
        <v>152</v>
      </c>
      <c r="C38">
        <v>50</v>
      </c>
      <c r="D38">
        <v>32</v>
      </c>
      <c r="E38">
        <v>0.61</v>
      </c>
      <c r="F38">
        <v>9</v>
      </c>
      <c r="G38">
        <v>110.9</v>
      </c>
      <c r="H38">
        <v>109.9</v>
      </c>
      <c r="I38">
        <v>0.59</v>
      </c>
      <c r="J38">
        <f>East2018[[#This Row],[SRS]]-MIN($I$35:$I$66)</f>
        <v>9.39</v>
      </c>
      <c r="L38" t="s">
        <v>142</v>
      </c>
      <c r="M38">
        <v>49</v>
      </c>
      <c r="N38">
        <v>33</v>
      </c>
      <c r="O38">
        <v>0.59799999999999998</v>
      </c>
      <c r="P38">
        <v>4</v>
      </c>
      <c r="Q38">
        <v>109.2</v>
      </c>
      <c r="R38">
        <v>107.4</v>
      </c>
      <c r="S38">
        <v>1.36</v>
      </c>
      <c r="T38">
        <f>East2017[[#This Row],[SRS]]-MIN($S$35:$S$66)</f>
        <v>8.1</v>
      </c>
    </row>
    <row r="39" spans="1:20" x14ac:dyDescent="0.25">
      <c r="B39" t="s">
        <v>131</v>
      </c>
      <c r="C39">
        <v>48</v>
      </c>
      <c r="D39">
        <v>34</v>
      </c>
      <c r="E39">
        <v>0.58499999999999996</v>
      </c>
      <c r="F39">
        <v>11</v>
      </c>
      <c r="G39">
        <v>105.6</v>
      </c>
      <c r="H39">
        <v>104.2</v>
      </c>
      <c r="I39">
        <v>1.18</v>
      </c>
      <c r="J39">
        <f>East2018[[#This Row],[SRS]]-MIN($I$35:$I$66)</f>
        <v>9.98</v>
      </c>
      <c r="L39" t="s">
        <v>150</v>
      </c>
      <c r="M39">
        <v>43</v>
      </c>
      <c r="N39">
        <v>39</v>
      </c>
      <c r="O39">
        <v>0.52400000000000002</v>
      </c>
      <c r="P39">
        <v>10</v>
      </c>
      <c r="Q39">
        <v>103.2</v>
      </c>
      <c r="R39">
        <v>104</v>
      </c>
      <c r="S39">
        <v>-1.23</v>
      </c>
      <c r="T39">
        <f>East2017[[#This Row],[SRS]]-MIN($S$35:$S$66)</f>
        <v>5.51</v>
      </c>
    </row>
    <row r="40" spans="1:20" x14ac:dyDescent="0.25">
      <c r="B40" t="s">
        <v>132</v>
      </c>
      <c r="C40">
        <v>44</v>
      </c>
      <c r="D40">
        <v>38</v>
      </c>
      <c r="E40">
        <v>0.53700000000000003</v>
      </c>
      <c r="F40">
        <v>15</v>
      </c>
      <c r="G40">
        <v>103.4</v>
      </c>
      <c r="H40">
        <v>102.9</v>
      </c>
      <c r="I40">
        <v>0.15</v>
      </c>
      <c r="J40">
        <f>East2018[[#This Row],[SRS]]-MIN($I$35:$I$66)</f>
        <v>8.9500000000000011</v>
      </c>
      <c r="L40" t="s">
        <v>128</v>
      </c>
      <c r="M40">
        <v>42</v>
      </c>
      <c r="N40">
        <v>40</v>
      </c>
      <c r="O40">
        <v>0.51200000000000001</v>
      </c>
      <c r="P40">
        <v>11</v>
      </c>
      <c r="Q40">
        <v>103.6</v>
      </c>
      <c r="R40">
        <v>103.8</v>
      </c>
      <c r="S40">
        <v>-0.45</v>
      </c>
      <c r="T40">
        <f>East2017[[#This Row],[SRS]]-MIN($S$35:$S$66)</f>
        <v>6.29</v>
      </c>
    </row>
    <row r="41" spans="1:20" x14ac:dyDescent="0.25">
      <c r="B41" t="s">
        <v>128</v>
      </c>
      <c r="C41">
        <v>44</v>
      </c>
      <c r="D41">
        <v>38</v>
      </c>
      <c r="E41">
        <v>0.53700000000000003</v>
      </c>
      <c r="F41">
        <v>15</v>
      </c>
      <c r="G41">
        <v>106.5</v>
      </c>
      <c r="H41">
        <v>106.8</v>
      </c>
      <c r="I41">
        <v>-0.45</v>
      </c>
      <c r="J41">
        <f>East2018[[#This Row],[SRS]]-MIN($I$35:$I$66)</f>
        <v>8.3500000000000014</v>
      </c>
      <c r="L41" t="s">
        <v>131</v>
      </c>
      <c r="M41">
        <v>42</v>
      </c>
      <c r="N41">
        <v>40</v>
      </c>
      <c r="O41">
        <v>0.51200000000000001</v>
      </c>
      <c r="P41">
        <v>11</v>
      </c>
      <c r="Q41">
        <v>105.1</v>
      </c>
      <c r="R41">
        <v>105.3</v>
      </c>
      <c r="S41">
        <v>-0.64</v>
      </c>
      <c r="T41">
        <f>East2017[[#This Row],[SRS]]-MIN($S$35:$S$66)</f>
        <v>6.1000000000000005</v>
      </c>
    </row>
    <row r="42" spans="1:20" x14ac:dyDescent="0.25">
      <c r="B42" t="s">
        <v>142</v>
      </c>
      <c r="C42">
        <v>43</v>
      </c>
      <c r="D42">
        <v>39</v>
      </c>
      <c r="E42">
        <v>0.52400000000000002</v>
      </c>
      <c r="F42">
        <v>16</v>
      </c>
      <c r="G42">
        <v>106.6</v>
      </c>
      <c r="H42">
        <v>106</v>
      </c>
      <c r="I42">
        <v>0.53</v>
      </c>
      <c r="J42">
        <f>East2018[[#This Row],[SRS]]-MIN($I$35:$I$66)</f>
        <v>9.33</v>
      </c>
      <c r="L42" t="s">
        <v>144</v>
      </c>
      <c r="M42">
        <v>41</v>
      </c>
      <c r="N42">
        <v>41</v>
      </c>
      <c r="O42">
        <v>0.5</v>
      </c>
      <c r="P42">
        <v>12</v>
      </c>
      <c r="Q42">
        <v>102.9</v>
      </c>
      <c r="R42">
        <v>102.4</v>
      </c>
      <c r="S42">
        <v>0.03</v>
      </c>
      <c r="T42">
        <f>East2017[[#This Row],[SRS]]-MIN($S$35:$S$66)</f>
        <v>6.7700000000000005</v>
      </c>
    </row>
    <row r="43" spans="1:20" x14ac:dyDescent="0.25">
      <c r="B43" t="s">
        <v>148</v>
      </c>
      <c r="C43">
        <v>39</v>
      </c>
      <c r="D43">
        <v>43</v>
      </c>
      <c r="E43">
        <v>0.47599999999999998</v>
      </c>
      <c r="F43">
        <v>20</v>
      </c>
      <c r="G43">
        <v>103.8</v>
      </c>
      <c r="H43">
        <v>103.9</v>
      </c>
      <c r="I43">
        <v>-0.26</v>
      </c>
      <c r="J43">
        <f>East2018[[#This Row],[SRS]]-MIN($I$35:$I$66)</f>
        <v>8.5400000000000009</v>
      </c>
      <c r="L43" t="s">
        <v>132</v>
      </c>
      <c r="M43">
        <v>41</v>
      </c>
      <c r="N43">
        <v>41</v>
      </c>
      <c r="O43">
        <v>0.5</v>
      </c>
      <c r="P43">
        <v>12</v>
      </c>
      <c r="Q43">
        <v>103.2</v>
      </c>
      <c r="R43">
        <v>102.1</v>
      </c>
      <c r="S43">
        <v>0.77</v>
      </c>
      <c r="T43">
        <f>East2017[[#This Row],[SRS]]-MIN($S$35:$S$66)</f>
        <v>7.51</v>
      </c>
    </row>
    <row r="44" spans="1:20" x14ac:dyDescent="0.25">
      <c r="B44" t="s">
        <v>140</v>
      </c>
      <c r="C44">
        <v>36</v>
      </c>
      <c r="D44">
        <v>46</v>
      </c>
      <c r="E44">
        <v>0.439</v>
      </c>
      <c r="F44">
        <v>23</v>
      </c>
      <c r="G44">
        <v>108.2</v>
      </c>
      <c r="H44">
        <v>108</v>
      </c>
      <c r="I44">
        <v>7.0000000000000007E-2</v>
      </c>
      <c r="J44">
        <f>East2018[[#This Row],[SRS]]-MIN($I$35:$I$66)</f>
        <v>8.870000000000001</v>
      </c>
      <c r="L44" t="s">
        <v>148</v>
      </c>
      <c r="M44">
        <v>37</v>
      </c>
      <c r="N44">
        <v>45</v>
      </c>
      <c r="O44">
        <v>0.45100000000000001</v>
      </c>
      <c r="P44">
        <v>16</v>
      </c>
      <c r="Q44">
        <v>101.3</v>
      </c>
      <c r="R44">
        <v>102.5</v>
      </c>
      <c r="S44">
        <v>-1.29</v>
      </c>
      <c r="T44">
        <f>East2017[[#This Row],[SRS]]-MIN($S$35:$S$66)</f>
        <v>5.45</v>
      </c>
    </row>
    <row r="45" spans="1:20" x14ac:dyDescent="0.25">
      <c r="B45" t="s">
        <v>146</v>
      </c>
      <c r="C45">
        <v>29</v>
      </c>
      <c r="D45">
        <v>53</v>
      </c>
      <c r="E45">
        <v>0.35399999999999998</v>
      </c>
      <c r="F45">
        <v>30</v>
      </c>
      <c r="G45">
        <v>104.5</v>
      </c>
      <c r="H45">
        <v>108</v>
      </c>
      <c r="I45">
        <v>-3.53</v>
      </c>
      <c r="J45">
        <f>East2018[[#This Row],[SRS]]-MIN($I$35:$I$66)</f>
        <v>5.2700000000000014</v>
      </c>
      <c r="L45" t="s">
        <v>140</v>
      </c>
      <c r="M45">
        <v>36</v>
      </c>
      <c r="N45">
        <v>46</v>
      </c>
      <c r="O45">
        <v>0.439</v>
      </c>
      <c r="P45">
        <v>17</v>
      </c>
      <c r="Q45">
        <v>104.9</v>
      </c>
      <c r="R45">
        <v>104.7</v>
      </c>
      <c r="S45">
        <v>-7.0000000000000007E-2</v>
      </c>
      <c r="T45">
        <f>East2017[[#This Row],[SRS]]-MIN($S$35:$S$66)</f>
        <v>6.67</v>
      </c>
    </row>
    <row r="46" spans="1:20" x14ac:dyDescent="0.25">
      <c r="B46" t="s">
        <v>136</v>
      </c>
      <c r="C46">
        <v>28</v>
      </c>
      <c r="D46">
        <v>54</v>
      </c>
      <c r="E46">
        <v>0.34100000000000003</v>
      </c>
      <c r="F46">
        <v>31</v>
      </c>
      <c r="G46">
        <v>106.6</v>
      </c>
      <c r="H46">
        <v>110.3</v>
      </c>
      <c r="I46">
        <v>-3.67</v>
      </c>
      <c r="J46">
        <f>East2018[[#This Row],[SRS]]-MIN($I$35:$I$66)</f>
        <v>5.1300000000000008</v>
      </c>
      <c r="L46" t="s">
        <v>146</v>
      </c>
      <c r="M46">
        <v>31</v>
      </c>
      <c r="N46">
        <v>51</v>
      </c>
      <c r="O46">
        <v>0.378</v>
      </c>
      <c r="P46">
        <v>22</v>
      </c>
      <c r="Q46">
        <v>104.3</v>
      </c>
      <c r="R46">
        <v>108</v>
      </c>
      <c r="S46">
        <v>-3.87</v>
      </c>
      <c r="T46">
        <f>East2017[[#This Row],[SRS]]-MIN($S$35:$S$66)</f>
        <v>2.87</v>
      </c>
    </row>
    <row r="47" spans="1:20" x14ac:dyDescent="0.25">
      <c r="B47" t="s">
        <v>144</v>
      </c>
      <c r="C47">
        <v>27</v>
      </c>
      <c r="D47">
        <v>55</v>
      </c>
      <c r="E47">
        <v>0.32900000000000001</v>
      </c>
      <c r="F47">
        <v>32</v>
      </c>
      <c r="G47">
        <v>102.9</v>
      </c>
      <c r="H47">
        <v>110</v>
      </c>
      <c r="I47">
        <v>-6.84</v>
      </c>
      <c r="J47">
        <f>East2018[[#This Row],[SRS]]-MIN($I$35:$I$66)</f>
        <v>1.9600000000000009</v>
      </c>
      <c r="L47" t="s">
        <v>138</v>
      </c>
      <c r="M47">
        <v>29</v>
      </c>
      <c r="N47">
        <v>53</v>
      </c>
      <c r="O47">
        <v>0.35399999999999998</v>
      </c>
      <c r="P47">
        <v>24</v>
      </c>
      <c r="Q47">
        <v>101.1</v>
      </c>
      <c r="R47">
        <v>107.6</v>
      </c>
      <c r="S47">
        <v>-6.61</v>
      </c>
      <c r="T47">
        <f>East2017[[#This Row],[SRS]]-MIN($S$35:$S$66)</f>
        <v>0.12999999999999989</v>
      </c>
    </row>
    <row r="48" spans="1:20" x14ac:dyDescent="0.25">
      <c r="B48" t="s">
        <v>138</v>
      </c>
      <c r="C48">
        <v>25</v>
      </c>
      <c r="D48">
        <v>57</v>
      </c>
      <c r="E48">
        <v>0.30499999999999999</v>
      </c>
      <c r="F48">
        <v>34</v>
      </c>
      <c r="G48">
        <v>103.4</v>
      </c>
      <c r="H48">
        <v>108.2</v>
      </c>
      <c r="I48">
        <v>-4.92</v>
      </c>
      <c r="J48">
        <f>East2018[[#This Row],[SRS]]-MIN($I$35:$I$66)</f>
        <v>3.8800000000000008</v>
      </c>
      <c r="L48" t="s">
        <v>134</v>
      </c>
      <c r="M48">
        <v>28</v>
      </c>
      <c r="N48">
        <v>54</v>
      </c>
      <c r="O48">
        <v>0.34100000000000003</v>
      </c>
      <c r="P48">
        <v>25</v>
      </c>
      <c r="Q48">
        <v>102.4</v>
      </c>
      <c r="R48">
        <v>108.1</v>
      </c>
      <c r="S48">
        <v>-5.83</v>
      </c>
      <c r="T48">
        <f>East2017[[#This Row],[SRS]]-MIN($S$35:$S$66)</f>
        <v>0.91000000000000014</v>
      </c>
    </row>
    <row r="49" spans="2:20" x14ac:dyDescent="0.25">
      <c r="B49" t="s">
        <v>150</v>
      </c>
      <c r="C49">
        <v>24</v>
      </c>
      <c r="D49">
        <v>58</v>
      </c>
      <c r="E49">
        <v>0.29299999999999998</v>
      </c>
      <c r="F49">
        <v>35</v>
      </c>
      <c r="G49">
        <v>103.4</v>
      </c>
      <c r="H49">
        <v>108.8</v>
      </c>
      <c r="I49">
        <v>-5.3</v>
      </c>
      <c r="J49">
        <f>East2018[[#This Row],[SRS]]-MIN($I$35:$I$66)</f>
        <v>3.5000000000000009</v>
      </c>
      <c r="L49" t="s">
        <v>136</v>
      </c>
      <c r="M49">
        <v>20</v>
      </c>
      <c r="N49">
        <v>62</v>
      </c>
      <c r="O49">
        <v>0.24399999999999999</v>
      </c>
      <c r="P49">
        <v>33</v>
      </c>
      <c r="Q49">
        <v>105.8</v>
      </c>
      <c r="R49">
        <v>112.5</v>
      </c>
      <c r="S49">
        <v>-6.74</v>
      </c>
      <c r="T49">
        <f>East2017[[#This Row],[SRS]]-MIN($S$35:$S$66)</f>
        <v>0</v>
      </c>
    </row>
    <row r="51" spans="2:20" x14ac:dyDescent="0.25">
      <c r="B51" t="s">
        <v>0</v>
      </c>
      <c r="C51" t="s">
        <v>1</v>
      </c>
      <c r="D51" t="s">
        <v>2</v>
      </c>
      <c r="E51" t="s">
        <v>3</v>
      </c>
      <c r="F51" t="s">
        <v>4</v>
      </c>
      <c r="G51" t="s">
        <v>125</v>
      </c>
      <c r="H51" t="s">
        <v>126</v>
      </c>
      <c r="I51" t="s">
        <v>127</v>
      </c>
      <c r="J51" t="s">
        <v>179</v>
      </c>
      <c r="L51" t="s">
        <v>0</v>
      </c>
      <c r="M51" t="s">
        <v>1</v>
      </c>
      <c r="N51" t="s">
        <v>2</v>
      </c>
      <c r="O51" t="s">
        <v>3</v>
      </c>
      <c r="P51" t="s">
        <v>4</v>
      </c>
      <c r="Q51" t="s">
        <v>125</v>
      </c>
      <c r="R51" t="s">
        <v>126</v>
      </c>
      <c r="S51" t="s">
        <v>127</v>
      </c>
      <c r="T51" t="s">
        <v>179</v>
      </c>
    </row>
    <row r="52" spans="2:20" x14ac:dyDescent="0.25">
      <c r="B52" t="s">
        <v>156</v>
      </c>
      <c r="C52">
        <v>65</v>
      </c>
      <c r="D52">
        <v>17</v>
      </c>
      <c r="E52">
        <v>0.79300000000000004</v>
      </c>
      <c r="F52" t="s">
        <v>9</v>
      </c>
      <c r="G52">
        <v>112.4</v>
      </c>
      <c r="H52">
        <v>103.9</v>
      </c>
      <c r="I52">
        <v>8.2100000000000009</v>
      </c>
      <c r="J52">
        <f>West2018[[#This Row],[SRS]]-MIN($I$35:$I$66)</f>
        <v>17.010000000000002</v>
      </c>
      <c r="L52" t="s">
        <v>173</v>
      </c>
      <c r="M52">
        <v>67</v>
      </c>
      <c r="N52">
        <v>15</v>
      </c>
      <c r="O52">
        <v>0.81699999999999995</v>
      </c>
      <c r="P52" t="s">
        <v>9</v>
      </c>
      <c r="Q52">
        <v>115.9</v>
      </c>
      <c r="R52">
        <v>104.3</v>
      </c>
      <c r="S52">
        <v>11.35</v>
      </c>
      <c r="T52">
        <f>West2017[[#This Row],[SRS]]-MIN($S$35:$S$66)</f>
        <v>18.09</v>
      </c>
    </row>
    <row r="53" spans="2:20" x14ac:dyDescent="0.25">
      <c r="B53" t="s">
        <v>173</v>
      </c>
      <c r="C53">
        <v>58</v>
      </c>
      <c r="D53">
        <v>24</v>
      </c>
      <c r="E53">
        <v>0.70699999999999996</v>
      </c>
      <c r="F53">
        <v>7</v>
      </c>
      <c r="G53">
        <v>113.5</v>
      </c>
      <c r="H53">
        <v>107.5</v>
      </c>
      <c r="I53">
        <v>5.79</v>
      </c>
      <c r="J53">
        <f>West2018[[#This Row],[SRS]]-MIN($I$35:$I$66)</f>
        <v>14.59</v>
      </c>
      <c r="L53" t="s">
        <v>165</v>
      </c>
      <c r="M53">
        <v>61</v>
      </c>
      <c r="N53">
        <v>21</v>
      </c>
      <c r="O53">
        <v>0.74399999999999999</v>
      </c>
      <c r="P53">
        <v>6</v>
      </c>
      <c r="Q53">
        <v>105.3</v>
      </c>
      <c r="R53">
        <v>98.1</v>
      </c>
      <c r="S53">
        <v>7.13</v>
      </c>
      <c r="T53">
        <f>West2017[[#This Row],[SRS]]-MIN($S$35:$S$66)</f>
        <v>13.870000000000001</v>
      </c>
    </row>
    <row r="54" spans="2:20" x14ac:dyDescent="0.25">
      <c r="B54" t="s">
        <v>160</v>
      </c>
      <c r="C54">
        <v>49</v>
      </c>
      <c r="D54">
        <v>33</v>
      </c>
      <c r="E54">
        <v>0.59799999999999998</v>
      </c>
      <c r="F54">
        <v>16</v>
      </c>
      <c r="G54">
        <v>105.6</v>
      </c>
      <c r="H54">
        <v>103</v>
      </c>
      <c r="I54">
        <v>2.6</v>
      </c>
      <c r="J54">
        <f>West2018[[#This Row],[SRS]]-MIN($I$35:$I$66)</f>
        <v>11.4</v>
      </c>
      <c r="L54" t="s">
        <v>156</v>
      </c>
      <c r="M54">
        <v>55</v>
      </c>
      <c r="N54">
        <v>27</v>
      </c>
      <c r="O54">
        <v>0.67100000000000004</v>
      </c>
      <c r="P54">
        <v>12</v>
      </c>
      <c r="Q54">
        <v>115.3</v>
      </c>
      <c r="R54">
        <v>109.6</v>
      </c>
      <c r="S54">
        <v>5.84</v>
      </c>
      <c r="T54">
        <f>West2017[[#This Row],[SRS]]-MIN($S$35:$S$66)</f>
        <v>12.58</v>
      </c>
    </row>
    <row r="55" spans="2:20" x14ac:dyDescent="0.25">
      <c r="B55" t="s">
        <v>157</v>
      </c>
      <c r="C55">
        <v>48</v>
      </c>
      <c r="D55">
        <v>34</v>
      </c>
      <c r="E55">
        <v>0.58499999999999996</v>
      </c>
      <c r="F55">
        <v>17</v>
      </c>
      <c r="G55">
        <v>107.9</v>
      </c>
      <c r="H55">
        <v>104.4</v>
      </c>
      <c r="I55">
        <v>3.42</v>
      </c>
      <c r="J55">
        <f>West2018[[#This Row],[SRS]]-MIN($I$35:$I$66)</f>
        <v>12.22</v>
      </c>
      <c r="L55" t="s">
        <v>154</v>
      </c>
      <c r="M55">
        <v>51</v>
      </c>
      <c r="N55">
        <v>31</v>
      </c>
      <c r="O55">
        <v>0.622</v>
      </c>
      <c r="P55">
        <v>16</v>
      </c>
      <c r="Q55">
        <v>108.7</v>
      </c>
      <c r="R55">
        <v>104.4</v>
      </c>
      <c r="S55">
        <v>4.42</v>
      </c>
      <c r="T55">
        <f>West2017[[#This Row],[SRS]]-MIN($S$35:$S$66)</f>
        <v>11.16</v>
      </c>
    </row>
    <row r="56" spans="2:20" x14ac:dyDescent="0.25">
      <c r="B56" t="s">
        <v>158</v>
      </c>
      <c r="C56">
        <v>48</v>
      </c>
      <c r="D56">
        <v>34</v>
      </c>
      <c r="E56">
        <v>0.58499999999999996</v>
      </c>
      <c r="F56">
        <v>17</v>
      </c>
      <c r="G56">
        <v>104.1</v>
      </c>
      <c r="H56">
        <v>99.8</v>
      </c>
      <c r="I56">
        <v>4.47</v>
      </c>
      <c r="J56">
        <f>West2018[[#This Row],[SRS]]-MIN($I$35:$I$66)</f>
        <v>13.27</v>
      </c>
      <c r="L56" t="s">
        <v>158</v>
      </c>
      <c r="M56">
        <v>51</v>
      </c>
      <c r="N56">
        <v>31</v>
      </c>
      <c r="O56">
        <v>0.622</v>
      </c>
      <c r="P56">
        <v>16</v>
      </c>
      <c r="Q56">
        <v>100.7</v>
      </c>
      <c r="R56">
        <v>96.8</v>
      </c>
      <c r="S56">
        <v>4</v>
      </c>
      <c r="T56">
        <f>West2017[[#This Row],[SRS]]-MIN($S$35:$S$66)</f>
        <v>10.74</v>
      </c>
    </row>
    <row r="57" spans="2:20" x14ac:dyDescent="0.25">
      <c r="B57" t="s">
        <v>169</v>
      </c>
      <c r="C57">
        <v>48</v>
      </c>
      <c r="D57">
        <v>34</v>
      </c>
      <c r="E57">
        <v>0.58499999999999996</v>
      </c>
      <c r="F57">
        <v>17</v>
      </c>
      <c r="G57">
        <v>111.7</v>
      </c>
      <c r="H57">
        <v>110.4</v>
      </c>
      <c r="I57">
        <v>1.48</v>
      </c>
      <c r="J57">
        <f>West2018[[#This Row],[SRS]]-MIN($I$35:$I$66)</f>
        <v>10.280000000000001</v>
      </c>
      <c r="L57" t="s">
        <v>157</v>
      </c>
      <c r="M57">
        <v>47</v>
      </c>
      <c r="N57">
        <v>35</v>
      </c>
      <c r="O57">
        <v>0.57299999999999995</v>
      </c>
      <c r="P57">
        <v>20</v>
      </c>
      <c r="Q57">
        <v>106.6</v>
      </c>
      <c r="R57">
        <v>105.8</v>
      </c>
      <c r="S57">
        <v>1.1399999999999999</v>
      </c>
      <c r="T57">
        <f>West2017[[#This Row],[SRS]]-MIN($S$35:$S$66)</f>
        <v>7.88</v>
      </c>
    </row>
    <row r="58" spans="2:20" x14ac:dyDescent="0.25">
      <c r="B58" t="s">
        <v>165</v>
      </c>
      <c r="C58">
        <v>47</v>
      </c>
      <c r="D58">
        <v>35</v>
      </c>
      <c r="E58">
        <v>0.57299999999999995</v>
      </c>
      <c r="F58">
        <v>18</v>
      </c>
      <c r="G58">
        <v>102.7</v>
      </c>
      <c r="H58">
        <v>99.8</v>
      </c>
      <c r="I58">
        <v>2.89</v>
      </c>
      <c r="J58">
        <f>West2018[[#This Row],[SRS]]-MIN($I$35:$I$66)</f>
        <v>11.690000000000001</v>
      </c>
      <c r="L58" t="s">
        <v>162</v>
      </c>
      <c r="M58">
        <v>43</v>
      </c>
      <c r="N58">
        <v>39</v>
      </c>
      <c r="O58">
        <v>0.52400000000000002</v>
      </c>
      <c r="P58">
        <v>24</v>
      </c>
      <c r="Q58">
        <v>100.5</v>
      </c>
      <c r="R58">
        <v>100</v>
      </c>
      <c r="S58">
        <v>0.96</v>
      </c>
      <c r="T58">
        <f>West2017[[#This Row],[SRS]]-MIN($S$35:$S$66)</f>
        <v>7.7</v>
      </c>
    </row>
    <row r="59" spans="2:20" x14ac:dyDescent="0.25">
      <c r="B59" t="s">
        <v>171</v>
      </c>
      <c r="C59">
        <v>47</v>
      </c>
      <c r="D59">
        <v>35</v>
      </c>
      <c r="E59">
        <v>0.57299999999999995</v>
      </c>
      <c r="F59">
        <v>18</v>
      </c>
      <c r="G59">
        <v>109.5</v>
      </c>
      <c r="H59">
        <v>107.3</v>
      </c>
      <c r="I59">
        <v>2.35</v>
      </c>
      <c r="J59">
        <f>West2018[[#This Row],[SRS]]-MIN($I$35:$I$66)</f>
        <v>11.15</v>
      </c>
      <c r="L59" t="s">
        <v>160</v>
      </c>
      <c r="M59">
        <v>41</v>
      </c>
      <c r="N59">
        <v>41</v>
      </c>
      <c r="O59">
        <v>0.5</v>
      </c>
      <c r="P59">
        <v>26</v>
      </c>
      <c r="Q59">
        <v>107.9</v>
      </c>
      <c r="R59">
        <v>108.5</v>
      </c>
      <c r="S59">
        <v>-0.23</v>
      </c>
      <c r="T59">
        <f>West2017[[#This Row],[SRS]]-MIN($S$35:$S$66)</f>
        <v>6.51</v>
      </c>
    </row>
    <row r="60" spans="2:20" x14ac:dyDescent="0.25">
      <c r="B60" t="s">
        <v>155</v>
      </c>
      <c r="C60">
        <v>46</v>
      </c>
      <c r="D60">
        <v>36</v>
      </c>
      <c r="E60">
        <v>0.56100000000000005</v>
      </c>
      <c r="F60">
        <v>19</v>
      </c>
      <c r="G60">
        <v>110</v>
      </c>
      <c r="H60">
        <v>108.5</v>
      </c>
      <c r="I60">
        <v>1.57</v>
      </c>
      <c r="J60">
        <f>West2018[[#This Row],[SRS]]-MIN($I$35:$I$66)</f>
        <v>10.370000000000001</v>
      </c>
      <c r="L60" t="s">
        <v>155</v>
      </c>
      <c r="M60">
        <v>40</v>
      </c>
      <c r="N60">
        <v>42</v>
      </c>
      <c r="O60">
        <v>0.48799999999999999</v>
      </c>
      <c r="P60">
        <v>27</v>
      </c>
      <c r="Q60">
        <v>111.7</v>
      </c>
      <c r="R60">
        <v>111.2</v>
      </c>
      <c r="S60">
        <v>0.7</v>
      </c>
      <c r="T60">
        <f>West2017[[#This Row],[SRS]]-MIN($S$35:$S$66)</f>
        <v>7.44</v>
      </c>
    </row>
    <row r="61" spans="2:20" x14ac:dyDescent="0.25">
      <c r="B61" t="s">
        <v>154</v>
      </c>
      <c r="C61">
        <v>42</v>
      </c>
      <c r="D61">
        <v>40</v>
      </c>
      <c r="E61">
        <v>0.51200000000000001</v>
      </c>
      <c r="F61">
        <v>23</v>
      </c>
      <c r="G61">
        <v>109</v>
      </c>
      <c r="H61">
        <v>109</v>
      </c>
      <c r="I61">
        <v>0.15</v>
      </c>
      <c r="J61">
        <f>West2018[[#This Row],[SRS]]-MIN($I$35:$I$66)</f>
        <v>8.9500000000000011</v>
      </c>
      <c r="L61" t="s">
        <v>169</v>
      </c>
      <c r="M61">
        <v>34</v>
      </c>
      <c r="N61">
        <v>48</v>
      </c>
      <c r="O61">
        <v>0.41499999999999998</v>
      </c>
      <c r="P61">
        <v>33</v>
      </c>
      <c r="Q61">
        <v>104.3</v>
      </c>
      <c r="R61">
        <v>106.4</v>
      </c>
      <c r="S61">
        <v>-1.69</v>
      </c>
      <c r="T61">
        <f>West2017[[#This Row],[SRS]]-MIN($S$35:$S$66)</f>
        <v>5.0500000000000007</v>
      </c>
    </row>
    <row r="62" spans="2:20" x14ac:dyDescent="0.25">
      <c r="B62" t="s">
        <v>153</v>
      </c>
      <c r="C62">
        <v>35</v>
      </c>
      <c r="D62">
        <v>47</v>
      </c>
      <c r="E62">
        <v>0.42699999999999999</v>
      </c>
      <c r="F62">
        <v>30</v>
      </c>
      <c r="G62">
        <v>108.1</v>
      </c>
      <c r="H62">
        <v>109.6</v>
      </c>
      <c r="I62">
        <v>-1.44</v>
      </c>
      <c r="J62">
        <f>West2018[[#This Row],[SRS]]-MIN($I$35:$I$66)</f>
        <v>7.3600000000000012</v>
      </c>
      <c r="L62" t="s">
        <v>159</v>
      </c>
      <c r="M62">
        <v>33</v>
      </c>
      <c r="N62">
        <v>49</v>
      </c>
      <c r="O62">
        <v>0.40200000000000002</v>
      </c>
      <c r="P62">
        <v>34</v>
      </c>
      <c r="Q62">
        <v>97.9</v>
      </c>
      <c r="R62">
        <v>100.8</v>
      </c>
      <c r="S62">
        <v>-2.5299999999999998</v>
      </c>
      <c r="T62">
        <f>West2017[[#This Row],[SRS]]-MIN($S$35:$S$66)</f>
        <v>4.2100000000000009</v>
      </c>
    </row>
    <row r="63" spans="2:20" x14ac:dyDescent="0.25">
      <c r="B63" t="s">
        <v>167</v>
      </c>
      <c r="C63">
        <v>27</v>
      </c>
      <c r="D63">
        <v>55</v>
      </c>
      <c r="E63">
        <v>0.32900000000000001</v>
      </c>
      <c r="F63">
        <v>38</v>
      </c>
      <c r="G63">
        <v>98.8</v>
      </c>
      <c r="H63">
        <v>105.8</v>
      </c>
      <c r="I63">
        <v>-6.6</v>
      </c>
      <c r="J63">
        <f>West2018[[#This Row],[SRS]]-MIN($I$35:$I$66)</f>
        <v>2.2000000000000011</v>
      </c>
      <c r="L63" t="s">
        <v>167</v>
      </c>
      <c r="M63">
        <v>32</v>
      </c>
      <c r="N63">
        <v>50</v>
      </c>
      <c r="O63">
        <v>0.39</v>
      </c>
      <c r="P63">
        <v>35</v>
      </c>
      <c r="Q63">
        <v>102.8</v>
      </c>
      <c r="R63">
        <v>106.7</v>
      </c>
      <c r="S63">
        <v>-3.29</v>
      </c>
      <c r="T63">
        <f>West2017[[#This Row],[SRS]]-MIN($S$35:$S$66)</f>
        <v>3.45</v>
      </c>
    </row>
    <row r="64" spans="2:20" x14ac:dyDescent="0.25">
      <c r="B64" t="s">
        <v>159</v>
      </c>
      <c r="C64">
        <v>24</v>
      </c>
      <c r="D64">
        <v>58</v>
      </c>
      <c r="E64">
        <v>0.29299999999999998</v>
      </c>
      <c r="F64">
        <v>41</v>
      </c>
      <c r="G64">
        <v>102.3</v>
      </c>
      <c r="H64">
        <v>105.4</v>
      </c>
      <c r="I64">
        <v>-2.7</v>
      </c>
      <c r="J64">
        <f>West2018[[#This Row],[SRS]]-MIN($I$35:$I$66)</f>
        <v>6.1000000000000005</v>
      </c>
      <c r="L64" t="s">
        <v>171</v>
      </c>
      <c r="M64">
        <v>31</v>
      </c>
      <c r="N64">
        <v>51</v>
      </c>
      <c r="O64">
        <v>0.378</v>
      </c>
      <c r="P64">
        <v>36</v>
      </c>
      <c r="Q64">
        <v>105.6</v>
      </c>
      <c r="R64">
        <v>106.7</v>
      </c>
      <c r="S64">
        <v>-0.64</v>
      </c>
      <c r="T64">
        <f>West2017[[#This Row],[SRS]]-MIN($S$35:$S$66)</f>
        <v>6.1000000000000005</v>
      </c>
    </row>
    <row r="65" spans="1:20" x14ac:dyDescent="0.25">
      <c r="B65" t="s">
        <v>162</v>
      </c>
      <c r="C65">
        <v>22</v>
      </c>
      <c r="D65">
        <v>60</v>
      </c>
      <c r="E65">
        <v>0.26800000000000002</v>
      </c>
      <c r="F65">
        <v>43</v>
      </c>
      <c r="G65">
        <v>99.3</v>
      </c>
      <c r="H65">
        <v>105.5</v>
      </c>
      <c r="I65">
        <v>-5.81</v>
      </c>
      <c r="J65">
        <f>West2018[[#This Row],[SRS]]-MIN($I$35:$I$66)</f>
        <v>2.9900000000000011</v>
      </c>
      <c r="L65" t="s">
        <v>153</v>
      </c>
      <c r="M65">
        <v>26</v>
      </c>
      <c r="N65">
        <v>56</v>
      </c>
      <c r="O65">
        <v>0.317</v>
      </c>
      <c r="P65">
        <v>41</v>
      </c>
      <c r="Q65">
        <v>104.6</v>
      </c>
      <c r="R65">
        <v>111.5</v>
      </c>
      <c r="S65">
        <v>-6.29</v>
      </c>
      <c r="T65">
        <f>West2017[[#This Row],[SRS]]-MIN($S$35:$S$66)</f>
        <v>0.45000000000000018</v>
      </c>
    </row>
    <row r="66" spans="1:20" x14ac:dyDescent="0.25">
      <c r="B66" t="s">
        <v>164</v>
      </c>
      <c r="C66">
        <v>21</v>
      </c>
      <c r="D66">
        <v>61</v>
      </c>
      <c r="E66">
        <v>0.25600000000000001</v>
      </c>
      <c r="F66">
        <v>44</v>
      </c>
      <c r="G66">
        <v>103.9</v>
      </c>
      <c r="H66">
        <v>113.3</v>
      </c>
      <c r="I66">
        <v>-8.8000000000000007</v>
      </c>
      <c r="J66">
        <f>West2018[[#This Row],[SRS]]-MIN($I$35:$I$66)</f>
        <v>0</v>
      </c>
      <c r="L66" t="s">
        <v>164</v>
      </c>
      <c r="M66">
        <v>24</v>
      </c>
      <c r="N66">
        <v>58</v>
      </c>
      <c r="O66">
        <v>0.29299999999999998</v>
      </c>
      <c r="P66">
        <v>43</v>
      </c>
      <c r="Q66">
        <v>107.7</v>
      </c>
      <c r="R66">
        <v>113.3</v>
      </c>
      <c r="S66">
        <v>-5.14</v>
      </c>
      <c r="T66">
        <f>West2017[[#This Row],[SRS]]-MIN($S$35:$S$66)</f>
        <v>1.6000000000000005</v>
      </c>
    </row>
    <row r="68" spans="1:20" x14ac:dyDescent="0.25">
      <c r="A68" t="s">
        <v>184</v>
      </c>
      <c r="B68" t="s">
        <v>0</v>
      </c>
      <c r="C68" t="s">
        <v>1</v>
      </c>
      <c r="D68" t="s">
        <v>2</v>
      </c>
      <c r="E68" t="s">
        <v>3</v>
      </c>
      <c r="F68" t="s">
        <v>4</v>
      </c>
      <c r="G68" t="s">
        <v>125</v>
      </c>
      <c r="H68" t="s">
        <v>126</v>
      </c>
      <c r="I68" t="s">
        <v>127</v>
      </c>
      <c r="J68" t="s">
        <v>179</v>
      </c>
      <c r="K68" t="s">
        <v>185</v>
      </c>
      <c r="L68" t="s">
        <v>0</v>
      </c>
      <c r="M68" t="s">
        <v>1</v>
      </c>
      <c r="N68" t="s">
        <v>2</v>
      </c>
      <c r="O68" t="s">
        <v>3</v>
      </c>
      <c r="P68" t="s">
        <v>4</v>
      </c>
      <c r="Q68" t="s">
        <v>125</v>
      </c>
      <c r="R68" t="s">
        <v>126</v>
      </c>
      <c r="S68" t="s">
        <v>127</v>
      </c>
      <c r="T68" t="s">
        <v>179</v>
      </c>
    </row>
    <row r="69" spans="1:20" x14ac:dyDescent="0.25">
      <c r="B69" t="s">
        <v>152</v>
      </c>
      <c r="C69">
        <v>57</v>
      </c>
      <c r="D69">
        <v>25</v>
      </c>
      <c r="E69">
        <v>0.69499999999999995</v>
      </c>
      <c r="F69" t="s">
        <v>9</v>
      </c>
      <c r="G69">
        <v>104.3</v>
      </c>
      <c r="H69">
        <v>98.3</v>
      </c>
      <c r="I69">
        <v>5.45</v>
      </c>
      <c r="J69">
        <f>East2016[[#This Row],[SRS]]-MIN($I$69:$I$100)</f>
        <v>15.370000000000001</v>
      </c>
      <c r="L69" t="s">
        <v>150</v>
      </c>
      <c r="M69">
        <v>60</v>
      </c>
      <c r="N69">
        <v>22</v>
      </c>
      <c r="O69">
        <v>0.73199999999999998</v>
      </c>
      <c r="P69" t="s">
        <v>9</v>
      </c>
      <c r="Q69">
        <v>102.5</v>
      </c>
      <c r="R69">
        <v>97.1</v>
      </c>
      <c r="S69">
        <v>4.75</v>
      </c>
      <c r="T69">
        <f>East2015[[#This Row],[SRS]]-MIN($S$69:$S$100)</f>
        <v>14.25</v>
      </c>
    </row>
    <row r="70" spans="1:20" x14ac:dyDescent="0.25">
      <c r="B70" t="s">
        <v>129</v>
      </c>
      <c r="C70">
        <v>56</v>
      </c>
      <c r="D70">
        <v>26</v>
      </c>
      <c r="E70">
        <v>0.68300000000000005</v>
      </c>
      <c r="F70">
        <v>1</v>
      </c>
      <c r="G70">
        <v>102.7</v>
      </c>
      <c r="H70">
        <v>98.2</v>
      </c>
      <c r="I70">
        <v>4.08</v>
      </c>
      <c r="J70">
        <f>East2016[[#This Row],[SRS]]-MIN($I$69:$I$100)</f>
        <v>14</v>
      </c>
      <c r="L70" t="s">
        <v>152</v>
      </c>
      <c r="M70">
        <v>53</v>
      </c>
      <c r="N70">
        <v>29</v>
      </c>
      <c r="O70">
        <v>0.64600000000000002</v>
      </c>
      <c r="P70" t="s">
        <v>9</v>
      </c>
      <c r="Q70">
        <v>103.1</v>
      </c>
      <c r="R70">
        <v>98.7</v>
      </c>
      <c r="S70">
        <v>4.08</v>
      </c>
      <c r="T70">
        <f>East2015[[#This Row],[SRS]]-MIN($S$69:$S$100)</f>
        <v>13.58</v>
      </c>
    </row>
    <row r="71" spans="1:20" x14ac:dyDescent="0.25">
      <c r="B71" t="s">
        <v>132</v>
      </c>
      <c r="C71">
        <v>48</v>
      </c>
      <c r="D71">
        <v>34</v>
      </c>
      <c r="E71">
        <v>0.58499999999999996</v>
      </c>
      <c r="F71">
        <v>9</v>
      </c>
      <c r="G71">
        <v>100</v>
      </c>
      <c r="H71">
        <v>98.4</v>
      </c>
      <c r="I71">
        <v>1.5</v>
      </c>
      <c r="J71">
        <f>East2016[[#This Row],[SRS]]-MIN($I$69:$I$100)</f>
        <v>11.42</v>
      </c>
      <c r="L71" t="s">
        <v>144</v>
      </c>
      <c r="M71">
        <v>50</v>
      </c>
      <c r="N71">
        <v>32</v>
      </c>
      <c r="O71">
        <v>0.61</v>
      </c>
      <c r="P71">
        <v>3</v>
      </c>
      <c r="Q71">
        <v>100.8</v>
      </c>
      <c r="R71">
        <v>97.8</v>
      </c>
      <c r="S71">
        <v>2.54</v>
      </c>
      <c r="T71">
        <f>East2015[[#This Row],[SRS]]-MIN($S$69:$S$100)</f>
        <v>12.04</v>
      </c>
    </row>
    <row r="72" spans="1:20" x14ac:dyDescent="0.25">
      <c r="B72" t="s">
        <v>150</v>
      </c>
      <c r="C72">
        <v>48</v>
      </c>
      <c r="D72">
        <v>34</v>
      </c>
      <c r="E72">
        <v>0.58499999999999996</v>
      </c>
      <c r="F72">
        <v>9</v>
      </c>
      <c r="G72">
        <v>102.8</v>
      </c>
      <c r="H72">
        <v>99.2</v>
      </c>
      <c r="I72">
        <v>3.49</v>
      </c>
      <c r="J72">
        <f>East2016[[#This Row],[SRS]]-MIN($I$69:$I$100)</f>
        <v>13.41</v>
      </c>
      <c r="L72" t="s">
        <v>129</v>
      </c>
      <c r="M72">
        <v>49</v>
      </c>
      <c r="N72">
        <v>33</v>
      </c>
      <c r="O72">
        <v>0.59799999999999998</v>
      </c>
      <c r="P72" t="s">
        <v>9</v>
      </c>
      <c r="Q72">
        <v>104</v>
      </c>
      <c r="R72">
        <v>100.9</v>
      </c>
      <c r="S72">
        <v>2.4500000000000002</v>
      </c>
      <c r="T72">
        <f>East2015[[#This Row],[SRS]]-MIN($S$69:$S$100)</f>
        <v>11.95</v>
      </c>
    </row>
    <row r="73" spans="1:20" x14ac:dyDescent="0.25">
      <c r="B73" t="s">
        <v>130</v>
      </c>
      <c r="C73">
        <v>48</v>
      </c>
      <c r="D73">
        <v>34</v>
      </c>
      <c r="E73">
        <v>0.58499999999999996</v>
      </c>
      <c r="F73">
        <v>9</v>
      </c>
      <c r="G73">
        <v>105.7</v>
      </c>
      <c r="H73">
        <v>102.5</v>
      </c>
      <c r="I73">
        <v>2.84</v>
      </c>
      <c r="J73">
        <f>East2016[[#This Row],[SRS]]-MIN($I$69:$I$100)</f>
        <v>12.76</v>
      </c>
      <c r="L73" t="s">
        <v>142</v>
      </c>
      <c r="M73">
        <v>46</v>
      </c>
      <c r="N73">
        <v>36</v>
      </c>
      <c r="O73">
        <v>0.56100000000000005</v>
      </c>
      <c r="P73">
        <v>14</v>
      </c>
      <c r="Q73">
        <v>98.5</v>
      </c>
      <c r="R73">
        <v>97.8</v>
      </c>
      <c r="S73">
        <v>0.17</v>
      </c>
      <c r="T73">
        <f>East2015[[#This Row],[SRS]]-MIN($S$69:$S$100)</f>
        <v>9.67</v>
      </c>
    </row>
    <row r="74" spans="1:20" x14ac:dyDescent="0.25">
      <c r="B74" t="s">
        <v>140</v>
      </c>
      <c r="C74">
        <v>48</v>
      </c>
      <c r="D74">
        <v>34</v>
      </c>
      <c r="E74">
        <v>0.58499999999999996</v>
      </c>
      <c r="F74">
        <v>9</v>
      </c>
      <c r="G74">
        <v>103.4</v>
      </c>
      <c r="H74">
        <v>100.7</v>
      </c>
      <c r="I74">
        <v>2.36</v>
      </c>
      <c r="J74">
        <f>East2016[[#This Row],[SRS]]-MIN($I$69:$I$100)</f>
        <v>12.28</v>
      </c>
      <c r="L74" t="s">
        <v>128</v>
      </c>
      <c r="M74">
        <v>41</v>
      </c>
      <c r="N74">
        <v>41</v>
      </c>
      <c r="O74">
        <v>0.5</v>
      </c>
      <c r="P74">
        <v>12</v>
      </c>
      <c r="Q74">
        <v>97.8</v>
      </c>
      <c r="R74">
        <v>97.4</v>
      </c>
      <c r="S74">
        <v>-0.09</v>
      </c>
      <c r="T74">
        <f>East2015[[#This Row],[SRS]]-MIN($S$69:$S$100)</f>
        <v>9.41</v>
      </c>
    </row>
    <row r="75" spans="1:20" x14ac:dyDescent="0.25">
      <c r="B75" t="s">
        <v>131</v>
      </c>
      <c r="C75">
        <v>45</v>
      </c>
      <c r="D75">
        <v>37</v>
      </c>
      <c r="E75">
        <v>0.54900000000000004</v>
      </c>
      <c r="F75">
        <v>12</v>
      </c>
      <c r="G75">
        <v>102.2</v>
      </c>
      <c r="H75">
        <v>100.5</v>
      </c>
      <c r="I75">
        <v>1.62</v>
      </c>
      <c r="J75">
        <f>East2016[[#This Row],[SRS]]-MIN($I$69:$I$100)</f>
        <v>11.54</v>
      </c>
      <c r="L75" t="s">
        <v>130</v>
      </c>
      <c r="M75">
        <v>40</v>
      </c>
      <c r="N75">
        <v>42</v>
      </c>
      <c r="O75">
        <v>0.48799999999999999</v>
      </c>
      <c r="P75">
        <v>9</v>
      </c>
      <c r="Q75">
        <v>101.4</v>
      </c>
      <c r="R75">
        <v>101.2</v>
      </c>
      <c r="S75">
        <v>-0.4</v>
      </c>
      <c r="T75">
        <f>East2015[[#This Row],[SRS]]-MIN($S$69:$S$100)</f>
        <v>9.1</v>
      </c>
    </row>
    <row r="76" spans="1:20" x14ac:dyDescent="0.25">
      <c r="B76" t="s">
        <v>148</v>
      </c>
      <c r="C76">
        <v>44</v>
      </c>
      <c r="D76">
        <v>38</v>
      </c>
      <c r="E76">
        <v>0.53700000000000003</v>
      </c>
      <c r="F76">
        <v>13</v>
      </c>
      <c r="G76">
        <v>102</v>
      </c>
      <c r="H76">
        <v>101.4</v>
      </c>
      <c r="I76">
        <v>0.43</v>
      </c>
      <c r="J76">
        <f>East2016[[#This Row],[SRS]]-MIN($I$69:$I$100)</f>
        <v>10.35</v>
      </c>
      <c r="L76" t="s">
        <v>136</v>
      </c>
      <c r="M76">
        <v>38</v>
      </c>
      <c r="N76">
        <v>44</v>
      </c>
      <c r="O76">
        <v>0.46300000000000002</v>
      </c>
      <c r="P76">
        <v>11</v>
      </c>
      <c r="Q76">
        <v>98</v>
      </c>
      <c r="R76">
        <v>100.9</v>
      </c>
      <c r="S76">
        <v>-3.13</v>
      </c>
      <c r="T76">
        <f>East2015[[#This Row],[SRS]]-MIN($S$69:$S$100)</f>
        <v>6.37</v>
      </c>
    </row>
    <row r="77" spans="1:20" x14ac:dyDescent="0.25">
      <c r="B77" t="s">
        <v>144</v>
      </c>
      <c r="C77">
        <v>42</v>
      </c>
      <c r="D77">
        <v>40</v>
      </c>
      <c r="E77">
        <v>0.51200000000000001</v>
      </c>
      <c r="F77">
        <v>15</v>
      </c>
      <c r="G77">
        <v>101.6</v>
      </c>
      <c r="H77">
        <v>103.1</v>
      </c>
      <c r="I77">
        <v>-1.46</v>
      </c>
      <c r="J77">
        <f>East2016[[#This Row],[SRS]]-MIN($I$69:$I$100)</f>
        <v>8.4600000000000009</v>
      </c>
      <c r="L77" t="s">
        <v>131</v>
      </c>
      <c r="M77">
        <v>38</v>
      </c>
      <c r="N77">
        <v>44</v>
      </c>
      <c r="O77">
        <v>0.46300000000000002</v>
      </c>
      <c r="P77">
        <v>15</v>
      </c>
      <c r="Q77">
        <v>97.3</v>
      </c>
      <c r="R77">
        <v>97</v>
      </c>
      <c r="S77">
        <v>-0.23</v>
      </c>
      <c r="T77">
        <f>East2015[[#This Row],[SRS]]-MIN($S$69:$S$100)</f>
        <v>9.27</v>
      </c>
    </row>
    <row r="78" spans="1:20" x14ac:dyDescent="0.25">
      <c r="B78" t="s">
        <v>142</v>
      </c>
      <c r="C78">
        <v>41</v>
      </c>
      <c r="D78">
        <v>41</v>
      </c>
      <c r="E78">
        <v>0.5</v>
      </c>
      <c r="F78">
        <v>16</v>
      </c>
      <c r="G78">
        <v>104.1</v>
      </c>
      <c r="H78">
        <v>104.6</v>
      </c>
      <c r="I78">
        <v>-0.5</v>
      </c>
      <c r="J78">
        <f>East2016[[#This Row],[SRS]]-MIN($I$69:$I$100)</f>
        <v>9.42</v>
      </c>
      <c r="L78" t="s">
        <v>132</v>
      </c>
      <c r="M78">
        <v>37</v>
      </c>
      <c r="N78">
        <v>45</v>
      </c>
      <c r="O78">
        <v>0.45100000000000001</v>
      </c>
      <c r="P78">
        <v>23</v>
      </c>
      <c r="Q78">
        <v>94.7</v>
      </c>
      <c r="R78">
        <v>97.3</v>
      </c>
      <c r="S78">
        <v>-2.92</v>
      </c>
      <c r="T78">
        <f>East2015[[#This Row],[SRS]]-MIN($S$69:$S$100)</f>
        <v>6.58</v>
      </c>
    </row>
    <row r="79" spans="1:20" x14ac:dyDescent="0.25">
      <c r="B79" t="s">
        <v>138</v>
      </c>
      <c r="C79">
        <v>35</v>
      </c>
      <c r="D79">
        <v>47</v>
      </c>
      <c r="E79">
        <v>0.42699999999999999</v>
      </c>
      <c r="F79">
        <v>22</v>
      </c>
      <c r="G79">
        <v>102.1</v>
      </c>
      <c r="H79">
        <v>103.7</v>
      </c>
      <c r="I79">
        <v>-1.68</v>
      </c>
      <c r="J79">
        <f>East2016[[#This Row],[SRS]]-MIN($I$69:$I$100)</f>
        <v>8.24</v>
      </c>
      <c r="L79" t="s">
        <v>140</v>
      </c>
      <c r="M79">
        <v>33</v>
      </c>
      <c r="N79">
        <v>49</v>
      </c>
      <c r="O79">
        <v>0.40200000000000002</v>
      </c>
      <c r="P79">
        <v>27</v>
      </c>
      <c r="Q79">
        <v>94.2</v>
      </c>
      <c r="R79">
        <v>97.3</v>
      </c>
      <c r="S79">
        <v>-3.44</v>
      </c>
      <c r="T79">
        <f>East2015[[#This Row],[SRS]]-MIN($S$69:$S$100)</f>
        <v>6.0600000000000005</v>
      </c>
    </row>
    <row r="80" spans="1:20" x14ac:dyDescent="0.25">
      <c r="B80" t="s">
        <v>128</v>
      </c>
      <c r="C80">
        <v>33</v>
      </c>
      <c r="D80">
        <v>49</v>
      </c>
      <c r="E80">
        <v>0.40200000000000002</v>
      </c>
      <c r="F80">
        <v>24</v>
      </c>
      <c r="G80">
        <v>99</v>
      </c>
      <c r="H80">
        <v>103.2</v>
      </c>
      <c r="I80">
        <v>-3.98</v>
      </c>
      <c r="J80">
        <f>East2016[[#This Row],[SRS]]-MIN($I$69:$I$100)</f>
        <v>5.9399999999999995</v>
      </c>
      <c r="L80" t="s">
        <v>148</v>
      </c>
      <c r="M80">
        <v>32</v>
      </c>
      <c r="N80">
        <v>50</v>
      </c>
      <c r="O80">
        <v>0.39</v>
      </c>
      <c r="P80">
        <v>21</v>
      </c>
      <c r="Q80">
        <v>98.5</v>
      </c>
      <c r="R80">
        <v>99.5</v>
      </c>
      <c r="S80">
        <v>-1.39</v>
      </c>
      <c r="T80">
        <f>East2015[[#This Row],[SRS]]-MIN($S$69:$S$100)</f>
        <v>8.11</v>
      </c>
    </row>
    <row r="81" spans="2:20" x14ac:dyDescent="0.25">
      <c r="B81" t="s">
        <v>146</v>
      </c>
      <c r="C81">
        <v>32</v>
      </c>
      <c r="D81">
        <v>50</v>
      </c>
      <c r="E81">
        <v>0.39</v>
      </c>
      <c r="F81">
        <v>25</v>
      </c>
      <c r="G81">
        <v>98.4</v>
      </c>
      <c r="H81">
        <v>101.1</v>
      </c>
      <c r="I81">
        <v>-2.74</v>
      </c>
      <c r="J81">
        <f>East2016[[#This Row],[SRS]]-MIN($I$69:$I$100)</f>
        <v>7.18</v>
      </c>
      <c r="L81" t="s">
        <v>138</v>
      </c>
      <c r="M81">
        <v>25</v>
      </c>
      <c r="N81">
        <v>57</v>
      </c>
      <c r="O81">
        <v>0.30499999999999999</v>
      </c>
      <c r="P81">
        <v>35</v>
      </c>
      <c r="Q81">
        <v>95.7</v>
      </c>
      <c r="R81">
        <v>101.4</v>
      </c>
      <c r="S81">
        <v>-5.8</v>
      </c>
      <c r="T81">
        <f>East2015[[#This Row],[SRS]]-MIN($S$69:$S$100)</f>
        <v>3.7</v>
      </c>
    </row>
    <row r="82" spans="2:20" x14ac:dyDescent="0.25">
      <c r="B82" t="s">
        <v>136</v>
      </c>
      <c r="C82">
        <v>21</v>
      </c>
      <c r="D82">
        <v>61</v>
      </c>
      <c r="E82">
        <v>0.25600000000000001</v>
      </c>
      <c r="F82">
        <v>36</v>
      </c>
      <c r="G82">
        <v>98.6</v>
      </c>
      <c r="H82">
        <v>106</v>
      </c>
      <c r="I82">
        <v>-7.12</v>
      </c>
      <c r="J82">
        <f>East2016[[#This Row],[SRS]]-MIN($I$69:$I$100)</f>
        <v>2.8</v>
      </c>
      <c r="L82" t="s">
        <v>134</v>
      </c>
      <c r="M82">
        <v>18</v>
      </c>
      <c r="N82">
        <v>64</v>
      </c>
      <c r="O82">
        <v>0.22</v>
      </c>
      <c r="P82">
        <v>31</v>
      </c>
      <c r="Q82">
        <v>92</v>
      </c>
      <c r="R82">
        <v>101</v>
      </c>
      <c r="S82">
        <v>-9.0399999999999991</v>
      </c>
      <c r="T82">
        <f>East2015[[#This Row],[SRS]]-MIN($S$69:$S$100)</f>
        <v>0.46000000000000085</v>
      </c>
    </row>
    <row r="83" spans="2:20" x14ac:dyDescent="0.25">
      <c r="B83" t="s">
        <v>134</v>
      </c>
      <c r="C83">
        <v>10</v>
      </c>
      <c r="D83">
        <v>72</v>
      </c>
      <c r="E83">
        <v>0.122</v>
      </c>
      <c r="F83">
        <v>47</v>
      </c>
      <c r="G83">
        <v>97.4</v>
      </c>
      <c r="H83">
        <v>107.6</v>
      </c>
      <c r="I83">
        <v>-9.92</v>
      </c>
      <c r="J83">
        <f>East2016[[#This Row],[SRS]]-MIN($I$69:$I$100)</f>
        <v>0</v>
      </c>
      <c r="L83" t="s">
        <v>146</v>
      </c>
      <c r="M83">
        <v>17</v>
      </c>
      <c r="N83">
        <v>65</v>
      </c>
      <c r="O83">
        <v>0.20699999999999999</v>
      </c>
      <c r="P83">
        <v>32</v>
      </c>
      <c r="Q83">
        <v>91.9</v>
      </c>
      <c r="R83">
        <v>101.2</v>
      </c>
      <c r="S83">
        <v>-9.5</v>
      </c>
      <c r="T83">
        <f>East2015[[#This Row],[SRS]]-MIN($S$69:$S$100)</f>
        <v>0</v>
      </c>
    </row>
    <row r="85" spans="2:20" x14ac:dyDescent="0.25">
      <c r="B85" t="s">
        <v>0</v>
      </c>
      <c r="C85" t="s">
        <v>1</v>
      </c>
      <c r="D85" t="s">
        <v>2</v>
      </c>
      <c r="E85" t="s">
        <v>3</v>
      </c>
      <c r="F85" t="s">
        <v>4</v>
      </c>
      <c r="G85" t="s">
        <v>125</v>
      </c>
      <c r="H85" t="s">
        <v>126</v>
      </c>
      <c r="I85" t="s">
        <v>127</v>
      </c>
      <c r="J85" t="s">
        <v>179</v>
      </c>
      <c r="L85" t="s">
        <v>0</v>
      </c>
      <c r="M85" t="s">
        <v>1</v>
      </c>
      <c r="N85" t="s">
        <v>2</v>
      </c>
      <c r="O85" t="s">
        <v>3</v>
      </c>
      <c r="P85" t="s">
        <v>4</v>
      </c>
      <c r="Q85" t="s">
        <v>125</v>
      </c>
      <c r="R85" t="s">
        <v>126</v>
      </c>
      <c r="S85" t="s">
        <v>127</v>
      </c>
      <c r="T85" t="s">
        <v>179</v>
      </c>
    </row>
    <row r="86" spans="2:20" x14ac:dyDescent="0.25">
      <c r="B86" t="s">
        <v>173</v>
      </c>
      <c r="C86">
        <v>73</v>
      </c>
      <c r="D86">
        <v>9</v>
      </c>
      <c r="E86">
        <v>0.89</v>
      </c>
      <c r="F86" t="s">
        <v>9</v>
      </c>
      <c r="G86">
        <v>114.9</v>
      </c>
      <c r="H86">
        <v>104.1</v>
      </c>
      <c r="I86">
        <v>10.38</v>
      </c>
      <c r="J86">
        <f>West2016[[#This Row],[SRS]]-MIN($I$69:$I$100)</f>
        <v>20.3</v>
      </c>
      <c r="L86" t="s">
        <v>173</v>
      </c>
      <c r="M86">
        <v>67</v>
      </c>
      <c r="N86">
        <v>15</v>
      </c>
      <c r="O86">
        <v>0.81699999999999995</v>
      </c>
      <c r="P86" t="s">
        <v>9</v>
      </c>
      <c r="Q86">
        <v>110</v>
      </c>
      <c r="R86">
        <v>99.9</v>
      </c>
      <c r="S86">
        <v>10.01</v>
      </c>
      <c r="T86">
        <f>West2015[[#This Row],[SRS]]-MIN($S$69:$S$100)</f>
        <v>19.509999999999998</v>
      </c>
    </row>
    <row r="87" spans="2:20" x14ac:dyDescent="0.25">
      <c r="B87" t="s">
        <v>165</v>
      </c>
      <c r="C87">
        <v>67</v>
      </c>
      <c r="D87">
        <v>15</v>
      </c>
      <c r="E87">
        <v>0.81699999999999995</v>
      </c>
      <c r="F87">
        <v>6</v>
      </c>
      <c r="G87">
        <v>103.5</v>
      </c>
      <c r="H87">
        <v>92.9</v>
      </c>
      <c r="I87">
        <v>10.28</v>
      </c>
      <c r="J87">
        <f>West2016[[#This Row],[SRS]]-MIN($I$69:$I$100)</f>
        <v>20.2</v>
      </c>
      <c r="L87" t="s">
        <v>154</v>
      </c>
      <c r="M87">
        <v>56</v>
      </c>
      <c r="N87">
        <v>26</v>
      </c>
      <c r="O87">
        <v>0.68300000000000005</v>
      </c>
      <c r="P87">
        <v>11</v>
      </c>
      <c r="Q87">
        <v>106.7</v>
      </c>
      <c r="R87">
        <v>100.1</v>
      </c>
      <c r="S87">
        <v>6.8</v>
      </c>
      <c r="T87">
        <f>West2015[[#This Row],[SRS]]-MIN($S$69:$S$100)</f>
        <v>16.3</v>
      </c>
    </row>
    <row r="88" spans="2:20" x14ac:dyDescent="0.25">
      <c r="B88" t="s">
        <v>157</v>
      </c>
      <c r="C88">
        <v>55</v>
      </c>
      <c r="D88">
        <v>27</v>
      </c>
      <c r="E88">
        <v>0.67100000000000004</v>
      </c>
      <c r="F88">
        <v>18</v>
      </c>
      <c r="G88">
        <v>110.2</v>
      </c>
      <c r="H88">
        <v>102.9</v>
      </c>
      <c r="I88">
        <v>7.09</v>
      </c>
      <c r="J88">
        <f>West2016[[#This Row],[SRS]]-MIN($I$69:$I$100)</f>
        <v>17.009999999999998</v>
      </c>
      <c r="L88" t="s">
        <v>156</v>
      </c>
      <c r="M88">
        <v>56</v>
      </c>
      <c r="N88">
        <v>26</v>
      </c>
      <c r="O88">
        <v>0.68300000000000005</v>
      </c>
      <c r="P88" t="s">
        <v>9</v>
      </c>
      <c r="Q88">
        <v>103.9</v>
      </c>
      <c r="R88">
        <v>100.5</v>
      </c>
      <c r="S88">
        <v>3.82</v>
      </c>
      <c r="T88">
        <f>West2015[[#This Row],[SRS]]-MIN($S$69:$S$100)</f>
        <v>13.32</v>
      </c>
    </row>
    <row r="89" spans="2:20" x14ac:dyDescent="0.25">
      <c r="B89" t="s">
        <v>154</v>
      </c>
      <c r="C89">
        <v>53</v>
      </c>
      <c r="D89">
        <v>29</v>
      </c>
      <c r="E89">
        <v>0.64600000000000002</v>
      </c>
      <c r="F89">
        <v>20</v>
      </c>
      <c r="G89">
        <v>104.5</v>
      </c>
      <c r="H89">
        <v>100.2</v>
      </c>
      <c r="I89">
        <v>4.13</v>
      </c>
      <c r="J89">
        <f>West2016[[#This Row],[SRS]]-MIN($I$69:$I$100)</f>
        <v>14.05</v>
      </c>
      <c r="L89" t="s">
        <v>162</v>
      </c>
      <c r="M89">
        <v>55</v>
      </c>
      <c r="N89">
        <v>27</v>
      </c>
      <c r="O89">
        <v>0.67100000000000004</v>
      </c>
      <c r="P89">
        <v>1</v>
      </c>
      <c r="Q89">
        <v>98.3</v>
      </c>
      <c r="R89">
        <v>95.1</v>
      </c>
      <c r="S89">
        <v>3.62</v>
      </c>
      <c r="T89">
        <f>West2015[[#This Row],[SRS]]-MIN($S$69:$S$100)</f>
        <v>13.120000000000001</v>
      </c>
    </row>
    <row r="90" spans="2:20" x14ac:dyDescent="0.25">
      <c r="B90" t="s">
        <v>160</v>
      </c>
      <c r="C90">
        <v>44</v>
      </c>
      <c r="D90">
        <v>38</v>
      </c>
      <c r="E90">
        <v>0.53700000000000003</v>
      </c>
      <c r="F90">
        <v>29</v>
      </c>
      <c r="G90">
        <v>105.1</v>
      </c>
      <c r="H90">
        <v>104.3</v>
      </c>
      <c r="I90">
        <v>0.98</v>
      </c>
      <c r="J90">
        <f>West2016[[#This Row],[SRS]]-MIN($I$69:$I$100)</f>
        <v>10.9</v>
      </c>
      <c r="L90" t="s">
        <v>165</v>
      </c>
      <c r="M90">
        <v>55</v>
      </c>
      <c r="N90">
        <v>27</v>
      </c>
      <c r="O90">
        <v>0.67100000000000004</v>
      </c>
      <c r="P90">
        <v>1</v>
      </c>
      <c r="Q90">
        <v>103.2</v>
      </c>
      <c r="R90">
        <v>97</v>
      </c>
      <c r="S90">
        <v>6.34</v>
      </c>
      <c r="T90">
        <f>West2015[[#This Row],[SRS]]-MIN($S$69:$S$100)</f>
        <v>15.84</v>
      </c>
    </row>
    <row r="91" spans="2:20" x14ac:dyDescent="0.25">
      <c r="B91" t="s">
        <v>159</v>
      </c>
      <c r="C91">
        <v>42</v>
      </c>
      <c r="D91">
        <v>40</v>
      </c>
      <c r="E91">
        <v>0.51200000000000001</v>
      </c>
      <c r="F91">
        <v>31</v>
      </c>
      <c r="G91">
        <v>102.3</v>
      </c>
      <c r="H91">
        <v>102.6</v>
      </c>
      <c r="I91">
        <v>-0.02</v>
      </c>
      <c r="J91">
        <f>West2016[[#This Row],[SRS]]-MIN($I$69:$I$100)</f>
        <v>9.9</v>
      </c>
      <c r="L91" t="s">
        <v>160</v>
      </c>
      <c r="M91">
        <v>51</v>
      </c>
      <c r="N91">
        <v>31</v>
      </c>
      <c r="O91">
        <v>0.622</v>
      </c>
      <c r="P91" t="s">
        <v>9</v>
      </c>
      <c r="Q91">
        <v>102.8</v>
      </c>
      <c r="R91">
        <v>98.6</v>
      </c>
      <c r="S91">
        <v>4.41</v>
      </c>
      <c r="T91">
        <f>West2015[[#This Row],[SRS]]-MIN($S$69:$S$100)</f>
        <v>13.91</v>
      </c>
    </row>
    <row r="92" spans="2:20" x14ac:dyDescent="0.25">
      <c r="B92" t="s">
        <v>162</v>
      </c>
      <c r="C92">
        <v>42</v>
      </c>
      <c r="D92">
        <v>40</v>
      </c>
      <c r="E92">
        <v>0.51200000000000001</v>
      </c>
      <c r="F92">
        <v>31</v>
      </c>
      <c r="G92">
        <v>99.1</v>
      </c>
      <c r="H92">
        <v>101.3</v>
      </c>
      <c r="I92">
        <v>-2.14</v>
      </c>
      <c r="J92">
        <f>West2016[[#This Row],[SRS]]-MIN($I$69:$I$100)</f>
        <v>7.7799999999999994</v>
      </c>
      <c r="L92" t="s">
        <v>159</v>
      </c>
      <c r="M92">
        <v>50</v>
      </c>
      <c r="N92">
        <v>32</v>
      </c>
      <c r="O92">
        <v>0.61</v>
      </c>
      <c r="P92">
        <v>6</v>
      </c>
      <c r="Q92">
        <v>105.2</v>
      </c>
      <c r="R92">
        <v>102.3</v>
      </c>
      <c r="S92">
        <v>3.36</v>
      </c>
      <c r="T92">
        <f>West2015[[#This Row],[SRS]]-MIN($S$69:$S$100)</f>
        <v>12.86</v>
      </c>
    </row>
    <row r="93" spans="2:20" x14ac:dyDescent="0.25">
      <c r="B93" t="s">
        <v>156</v>
      </c>
      <c r="C93">
        <v>41</v>
      </c>
      <c r="D93">
        <v>41</v>
      </c>
      <c r="E93">
        <v>0.5</v>
      </c>
      <c r="F93">
        <v>32</v>
      </c>
      <c r="G93">
        <v>106.5</v>
      </c>
      <c r="H93">
        <v>106.4</v>
      </c>
      <c r="I93">
        <v>0.34</v>
      </c>
      <c r="J93">
        <f>West2016[[#This Row],[SRS]]-MIN($I$69:$I$100)</f>
        <v>10.26</v>
      </c>
      <c r="L93" t="s">
        <v>157</v>
      </c>
      <c r="M93">
        <v>45</v>
      </c>
      <c r="N93">
        <v>37</v>
      </c>
      <c r="O93">
        <v>0.54900000000000004</v>
      </c>
      <c r="P93">
        <v>6</v>
      </c>
      <c r="Q93">
        <v>104</v>
      </c>
      <c r="R93">
        <v>101.8</v>
      </c>
      <c r="S93">
        <v>2.4700000000000002</v>
      </c>
      <c r="T93">
        <f>West2015[[#This Row],[SRS]]-MIN($S$69:$S$100)</f>
        <v>11.97</v>
      </c>
    </row>
    <row r="94" spans="2:20" x14ac:dyDescent="0.25">
      <c r="B94" t="s">
        <v>158</v>
      </c>
      <c r="C94">
        <v>40</v>
      </c>
      <c r="D94">
        <v>42</v>
      </c>
      <c r="E94">
        <v>0.48799999999999999</v>
      </c>
      <c r="F94">
        <v>33</v>
      </c>
      <c r="G94">
        <v>97.7</v>
      </c>
      <c r="H94">
        <v>95.9</v>
      </c>
      <c r="I94">
        <v>1.84</v>
      </c>
      <c r="J94">
        <f>West2016[[#This Row],[SRS]]-MIN($I$69:$I$100)</f>
        <v>11.76</v>
      </c>
      <c r="L94" t="s">
        <v>169</v>
      </c>
      <c r="M94">
        <v>45</v>
      </c>
      <c r="N94">
        <v>37</v>
      </c>
      <c r="O94">
        <v>0.54900000000000004</v>
      </c>
      <c r="P94">
        <v>11</v>
      </c>
      <c r="Q94">
        <v>99.4</v>
      </c>
      <c r="R94">
        <v>98.6</v>
      </c>
      <c r="S94">
        <v>1.1299999999999999</v>
      </c>
      <c r="T94">
        <f>West2015[[#This Row],[SRS]]-MIN($S$69:$S$100)</f>
        <v>10.629999999999999</v>
      </c>
    </row>
    <row r="95" spans="2:20" x14ac:dyDescent="0.25">
      <c r="B95" t="s">
        <v>167</v>
      </c>
      <c r="C95">
        <v>33</v>
      </c>
      <c r="D95">
        <v>49</v>
      </c>
      <c r="E95">
        <v>0.40200000000000002</v>
      </c>
      <c r="F95">
        <v>40</v>
      </c>
      <c r="G95">
        <v>106.6</v>
      </c>
      <c r="H95">
        <v>109.1</v>
      </c>
      <c r="I95">
        <v>-2.3199999999999998</v>
      </c>
      <c r="J95">
        <f>West2016[[#This Row],[SRS]]-MIN($I$69:$I$100)</f>
        <v>7.6</v>
      </c>
      <c r="L95" t="s">
        <v>164</v>
      </c>
      <c r="M95">
        <v>39</v>
      </c>
      <c r="N95">
        <v>43</v>
      </c>
      <c r="O95">
        <v>0.47599999999999998</v>
      </c>
      <c r="P95">
        <v>28</v>
      </c>
      <c r="Q95">
        <v>102.4</v>
      </c>
      <c r="R95">
        <v>103.3</v>
      </c>
      <c r="S95">
        <v>-0.38</v>
      </c>
      <c r="T95">
        <f>West2015[[#This Row],[SRS]]-MIN($S$69:$S$100)</f>
        <v>9.1199999999999992</v>
      </c>
    </row>
    <row r="96" spans="2:20" x14ac:dyDescent="0.25">
      <c r="B96" t="s">
        <v>155</v>
      </c>
      <c r="C96">
        <v>33</v>
      </c>
      <c r="D96">
        <v>49</v>
      </c>
      <c r="E96">
        <v>0.40200000000000002</v>
      </c>
      <c r="F96">
        <v>40</v>
      </c>
      <c r="G96">
        <v>101.9</v>
      </c>
      <c r="H96">
        <v>105</v>
      </c>
      <c r="I96">
        <v>-2.81</v>
      </c>
      <c r="J96">
        <f>West2016[[#This Row],[SRS]]-MIN($I$69:$I$100)</f>
        <v>7.1099999999999994</v>
      </c>
      <c r="L96" t="s">
        <v>158</v>
      </c>
      <c r="M96">
        <v>38</v>
      </c>
      <c r="N96">
        <v>44</v>
      </c>
      <c r="O96">
        <v>0.46300000000000002</v>
      </c>
      <c r="P96">
        <v>13</v>
      </c>
      <c r="Q96">
        <v>95.1</v>
      </c>
      <c r="R96">
        <v>94.9</v>
      </c>
      <c r="S96">
        <v>0.71</v>
      </c>
      <c r="T96">
        <f>West2015[[#This Row],[SRS]]-MIN($S$69:$S$100)</f>
        <v>10.210000000000001</v>
      </c>
    </row>
    <row r="97" spans="1:20" x14ac:dyDescent="0.25">
      <c r="B97" t="s">
        <v>169</v>
      </c>
      <c r="C97">
        <v>30</v>
      </c>
      <c r="D97">
        <v>52</v>
      </c>
      <c r="E97">
        <v>0.36599999999999999</v>
      </c>
      <c r="F97">
        <v>43</v>
      </c>
      <c r="G97">
        <v>102.7</v>
      </c>
      <c r="H97">
        <v>106.5</v>
      </c>
      <c r="I97">
        <v>-3.56</v>
      </c>
      <c r="J97">
        <f>West2016[[#This Row],[SRS]]-MIN($I$69:$I$100)</f>
        <v>6.3599999999999994</v>
      </c>
      <c r="L97" t="s">
        <v>155</v>
      </c>
      <c r="M97">
        <v>30</v>
      </c>
      <c r="N97">
        <v>52</v>
      </c>
      <c r="O97">
        <v>0.36599999999999999</v>
      </c>
      <c r="P97">
        <v>21</v>
      </c>
      <c r="Q97">
        <v>101.5</v>
      </c>
      <c r="R97">
        <v>105</v>
      </c>
      <c r="S97">
        <v>-3.07</v>
      </c>
      <c r="T97">
        <f>West2015[[#This Row],[SRS]]-MIN($S$69:$S$100)</f>
        <v>6.43</v>
      </c>
    </row>
    <row r="98" spans="1:20" x14ac:dyDescent="0.25">
      <c r="B98" t="s">
        <v>171</v>
      </c>
      <c r="C98">
        <v>29</v>
      </c>
      <c r="D98">
        <v>53</v>
      </c>
      <c r="E98">
        <v>0.35399999999999998</v>
      </c>
      <c r="F98">
        <v>44</v>
      </c>
      <c r="G98">
        <v>102.4</v>
      </c>
      <c r="H98">
        <v>106</v>
      </c>
      <c r="I98">
        <v>-3.38</v>
      </c>
      <c r="J98">
        <f>West2016[[#This Row],[SRS]]-MIN($I$69:$I$100)</f>
        <v>6.54</v>
      </c>
      <c r="L98" t="s">
        <v>167</v>
      </c>
      <c r="M98">
        <v>29</v>
      </c>
      <c r="N98">
        <v>53</v>
      </c>
      <c r="O98">
        <v>0.35399999999999998</v>
      </c>
      <c r="P98">
        <v>38</v>
      </c>
      <c r="Q98">
        <v>101.3</v>
      </c>
      <c r="R98">
        <v>105</v>
      </c>
      <c r="S98">
        <v>-3.07</v>
      </c>
      <c r="T98">
        <f>West2015[[#This Row],[SRS]]-MIN($S$69:$S$100)</f>
        <v>6.43</v>
      </c>
    </row>
    <row r="99" spans="1:20" x14ac:dyDescent="0.25">
      <c r="B99" t="s">
        <v>164</v>
      </c>
      <c r="C99">
        <v>23</v>
      </c>
      <c r="D99">
        <v>59</v>
      </c>
      <c r="E99">
        <v>0.28000000000000003</v>
      </c>
      <c r="F99">
        <v>50</v>
      </c>
      <c r="G99">
        <v>100.9</v>
      </c>
      <c r="H99">
        <v>107.5</v>
      </c>
      <c r="I99">
        <v>-6.32</v>
      </c>
      <c r="J99">
        <f>West2016[[#This Row],[SRS]]-MIN($I$69:$I$100)</f>
        <v>3.5999999999999996</v>
      </c>
      <c r="L99" t="s">
        <v>153</v>
      </c>
      <c r="M99">
        <v>21</v>
      </c>
      <c r="N99">
        <v>61</v>
      </c>
      <c r="O99">
        <v>0.25600000000000001</v>
      </c>
      <c r="P99">
        <v>46</v>
      </c>
      <c r="Q99">
        <v>98.5</v>
      </c>
      <c r="R99">
        <v>105.3</v>
      </c>
      <c r="S99">
        <v>-6.17</v>
      </c>
      <c r="T99">
        <f>West2015[[#This Row],[SRS]]-MIN($S$69:$S$100)</f>
        <v>3.33</v>
      </c>
    </row>
    <row r="100" spans="1:20" x14ac:dyDescent="0.25">
      <c r="B100" t="s">
        <v>153</v>
      </c>
      <c r="C100">
        <v>17</v>
      </c>
      <c r="D100">
        <v>65</v>
      </c>
      <c r="E100">
        <v>0.20699999999999999</v>
      </c>
      <c r="F100">
        <v>56</v>
      </c>
      <c r="G100">
        <v>97.3</v>
      </c>
      <c r="H100">
        <v>106.9</v>
      </c>
      <c r="I100">
        <v>-8.92</v>
      </c>
      <c r="J100">
        <f>West2016[[#This Row],[SRS]]-MIN($I$69:$I$100)</f>
        <v>1</v>
      </c>
      <c r="L100" t="s">
        <v>171</v>
      </c>
      <c r="M100">
        <v>16</v>
      </c>
      <c r="N100">
        <v>66</v>
      </c>
      <c r="O100">
        <v>0.19500000000000001</v>
      </c>
      <c r="P100">
        <v>35</v>
      </c>
      <c r="Q100">
        <v>97.8</v>
      </c>
      <c r="R100">
        <v>106.5</v>
      </c>
      <c r="S100">
        <v>-8</v>
      </c>
      <c r="T100">
        <f>West2015[[#This Row],[SRS]]-MIN($S$69:$S$100)</f>
        <v>1.5</v>
      </c>
    </row>
    <row r="102" spans="1:20" x14ac:dyDescent="0.25">
      <c r="A102" t="s">
        <v>187</v>
      </c>
      <c r="B102" t="s">
        <v>0</v>
      </c>
      <c r="C102" t="s">
        <v>1</v>
      </c>
      <c r="D102" t="s">
        <v>2</v>
      </c>
      <c r="E102" t="s">
        <v>3</v>
      </c>
      <c r="F102" t="s">
        <v>4</v>
      </c>
      <c r="G102" t="s">
        <v>125</v>
      </c>
      <c r="H102" t="s">
        <v>126</v>
      </c>
      <c r="I102" t="s">
        <v>127</v>
      </c>
      <c r="J102" t="s">
        <v>179</v>
      </c>
      <c r="K102" t="s">
        <v>252</v>
      </c>
      <c r="L102" t="s">
        <v>0</v>
      </c>
      <c r="M102" t="s">
        <v>1</v>
      </c>
      <c r="N102" t="s">
        <v>2</v>
      </c>
      <c r="O102" t="s">
        <v>175</v>
      </c>
      <c r="P102" t="s">
        <v>4</v>
      </c>
      <c r="Q102" t="s">
        <v>125</v>
      </c>
      <c r="R102" t="s">
        <v>126</v>
      </c>
      <c r="S102" t="s">
        <v>127</v>
      </c>
      <c r="T102" t="s">
        <v>179</v>
      </c>
    </row>
    <row r="103" spans="1:20" x14ac:dyDescent="0.25">
      <c r="B103" t="s">
        <v>131</v>
      </c>
      <c r="C103">
        <v>56</v>
      </c>
      <c r="D103">
        <v>26</v>
      </c>
      <c r="E103">
        <v>0.68300000000000005</v>
      </c>
      <c r="F103" t="s">
        <v>9</v>
      </c>
      <c r="G103">
        <v>96.7</v>
      </c>
      <c r="H103">
        <v>92.3</v>
      </c>
      <c r="I103">
        <v>3.63</v>
      </c>
      <c r="J103">
        <f>East2014[[#This Row],[SRS]]-MIN($I$103:$I$134)</f>
        <v>14.29</v>
      </c>
      <c r="L103" t="s">
        <v>132</v>
      </c>
      <c r="M103">
        <v>66</v>
      </c>
      <c r="N103">
        <v>16</v>
      </c>
      <c r="O103">
        <v>0.80500000000000005</v>
      </c>
      <c r="P103" t="s">
        <v>9</v>
      </c>
      <c r="Q103">
        <v>102.9</v>
      </c>
      <c r="R103">
        <v>95</v>
      </c>
      <c r="S103">
        <v>7.03</v>
      </c>
      <c r="T103">
        <f>East2013[[#This Row],[SRS]]-MIN($S$103:$S$134)</f>
        <v>16.32</v>
      </c>
    </row>
    <row r="104" spans="1:20" x14ac:dyDescent="0.25">
      <c r="B104" t="s">
        <v>132</v>
      </c>
      <c r="C104">
        <v>54</v>
      </c>
      <c r="D104">
        <v>28</v>
      </c>
      <c r="E104">
        <v>0.65900000000000003</v>
      </c>
      <c r="F104" t="s">
        <v>9</v>
      </c>
      <c r="G104">
        <v>102.2</v>
      </c>
      <c r="H104">
        <v>97.4</v>
      </c>
      <c r="I104">
        <v>4.1500000000000004</v>
      </c>
      <c r="J104">
        <f>East2014[[#This Row],[SRS]]-MIN($I$103:$I$134)</f>
        <v>14.81</v>
      </c>
      <c r="L104" t="s">
        <v>146</v>
      </c>
      <c r="M104">
        <v>54</v>
      </c>
      <c r="N104">
        <v>28</v>
      </c>
      <c r="O104">
        <v>0.65900000000000003</v>
      </c>
      <c r="P104" t="s">
        <v>9</v>
      </c>
      <c r="Q104">
        <v>100</v>
      </c>
      <c r="R104">
        <v>95.7</v>
      </c>
      <c r="S104">
        <v>3.73</v>
      </c>
      <c r="T104">
        <f>East2013[[#This Row],[SRS]]-MIN($S$103:$S$134)</f>
        <v>13.02</v>
      </c>
    </row>
    <row r="105" spans="1:20" x14ac:dyDescent="0.25">
      <c r="B105" t="s">
        <v>129</v>
      </c>
      <c r="C105">
        <v>48</v>
      </c>
      <c r="D105">
        <v>34</v>
      </c>
      <c r="E105">
        <v>0.58499999999999996</v>
      </c>
      <c r="F105" t="s">
        <v>9</v>
      </c>
      <c r="G105">
        <v>101.3</v>
      </c>
      <c r="H105">
        <v>98</v>
      </c>
      <c r="I105">
        <v>2.5499999999999998</v>
      </c>
      <c r="J105">
        <f>East2014[[#This Row],[SRS]]-MIN($I$103:$I$134)</f>
        <v>13.21</v>
      </c>
      <c r="L105" t="s">
        <v>131</v>
      </c>
      <c r="M105">
        <v>49</v>
      </c>
      <c r="N105">
        <v>32</v>
      </c>
      <c r="O105">
        <v>0.60499999999999998</v>
      </c>
      <c r="P105" t="s">
        <v>9</v>
      </c>
      <c r="Q105">
        <v>94.7</v>
      </c>
      <c r="R105">
        <v>90.7</v>
      </c>
      <c r="S105">
        <v>3.34</v>
      </c>
      <c r="T105">
        <f>East2013[[#This Row],[SRS]]-MIN($S$103:$S$134)</f>
        <v>12.629999999999999</v>
      </c>
    </row>
    <row r="106" spans="1:20" x14ac:dyDescent="0.25">
      <c r="B106" t="s">
        <v>144</v>
      </c>
      <c r="C106">
        <v>48</v>
      </c>
      <c r="D106">
        <v>34</v>
      </c>
      <c r="E106">
        <v>0.58499999999999996</v>
      </c>
      <c r="F106">
        <v>8</v>
      </c>
      <c r="G106">
        <v>93.7</v>
      </c>
      <c r="H106">
        <v>91.8</v>
      </c>
      <c r="I106">
        <v>1.2</v>
      </c>
      <c r="J106">
        <f>East2014[[#This Row],[SRS]]-MIN($I$103:$I$134)</f>
        <v>11.86</v>
      </c>
      <c r="L106" t="s">
        <v>136</v>
      </c>
      <c r="M106">
        <v>49</v>
      </c>
      <c r="N106">
        <v>33</v>
      </c>
      <c r="O106">
        <v>0.59799999999999998</v>
      </c>
      <c r="P106">
        <v>5</v>
      </c>
      <c r="Q106">
        <v>96.9</v>
      </c>
      <c r="R106">
        <v>95.1</v>
      </c>
      <c r="S106">
        <v>1.25</v>
      </c>
      <c r="T106">
        <f>East2013[[#This Row],[SRS]]-MIN($S$103:$S$134)</f>
        <v>10.54</v>
      </c>
    </row>
    <row r="107" spans="1:20" x14ac:dyDescent="0.25">
      <c r="B107" t="s">
        <v>136</v>
      </c>
      <c r="C107">
        <v>44</v>
      </c>
      <c r="D107">
        <v>38</v>
      </c>
      <c r="E107">
        <v>0.53700000000000003</v>
      </c>
      <c r="F107">
        <v>4</v>
      </c>
      <c r="G107">
        <v>98.5</v>
      </c>
      <c r="H107">
        <v>99.5</v>
      </c>
      <c r="I107">
        <v>-1.58</v>
      </c>
      <c r="J107">
        <f>East2014[[#This Row],[SRS]]-MIN($I$103:$I$134)</f>
        <v>9.08</v>
      </c>
      <c r="L107" t="s">
        <v>144</v>
      </c>
      <c r="M107">
        <v>45</v>
      </c>
      <c r="N107">
        <v>37</v>
      </c>
      <c r="O107">
        <v>0.54900000000000004</v>
      </c>
      <c r="P107">
        <v>4.5</v>
      </c>
      <c r="Q107">
        <v>93.2</v>
      </c>
      <c r="R107">
        <v>92.9</v>
      </c>
      <c r="S107">
        <v>-0.02</v>
      </c>
      <c r="T107">
        <f>East2013[[#This Row],[SRS]]-MIN($S$103:$S$134)</f>
        <v>9.27</v>
      </c>
    </row>
    <row r="108" spans="1:20" x14ac:dyDescent="0.25">
      <c r="B108" t="s">
        <v>142</v>
      </c>
      <c r="C108">
        <v>44</v>
      </c>
      <c r="D108">
        <v>38</v>
      </c>
      <c r="E108">
        <v>0.53700000000000003</v>
      </c>
      <c r="F108">
        <v>10</v>
      </c>
      <c r="G108">
        <v>100.7</v>
      </c>
      <c r="H108">
        <v>99.4</v>
      </c>
      <c r="I108">
        <v>0.48</v>
      </c>
      <c r="J108">
        <f>East2014[[#This Row],[SRS]]-MIN($I$103:$I$134)</f>
        <v>11.14</v>
      </c>
      <c r="L108" t="s">
        <v>150</v>
      </c>
      <c r="M108">
        <v>44</v>
      </c>
      <c r="N108">
        <v>38</v>
      </c>
      <c r="O108">
        <v>0.53700000000000003</v>
      </c>
      <c r="P108">
        <v>22</v>
      </c>
      <c r="Q108">
        <v>98</v>
      </c>
      <c r="R108">
        <v>97.5</v>
      </c>
      <c r="S108">
        <v>-0.08</v>
      </c>
      <c r="T108">
        <f>East2013[[#This Row],[SRS]]-MIN($S$103:$S$134)</f>
        <v>9.2099999999999991</v>
      </c>
    </row>
    <row r="109" spans="1:20" x14ac:dyDescent="0.25">
      <c r="B109" t="s">
        <v>140</v>
      </c>
      <c r="C109">
        <v>43</v>
      </c>
      <c r="D109">
        <v>39</v>
      </c>
      <c r="E109">
        <v>0.52400000000000002</v>
      </c>
      <c r="F109">
        <v>11</v>
      </c>
      <c r="G109">
        <v>96.9</v>
      </c>
      <c r="H109">
        <v>97.1</v>
      </c>
      <c r="I109">
        <v>-0.89</v>
      </c>
      <c r="J109">
        <f>East2014[[#This Row],[SRS]]-MIN($I$103:$I$134)</f>
        <v>9.77</v>
      </c>
      <c r="L109" t="s">
        <v>130</v>
      </c>
      <c r="M109">
        <v>41</v>
      </c>
      <c r="N109">
        <v>40</v>
      </c>
      <c r="O109">
        <v>0.50600000000000001</v>
      </c>
      <c r="P109">
        <v>12.5</v>
      </c>
      <c r="Q109">
        <v>96.5</v>
      </c>
      <c r="R109">
        <v>96.7</v>
      </c>
      <c r="S109">
        <v>-0.62</v>
      </c>
      <c r="T109">
        <f>East2013[[#This Row],[SRS]]-MIN($S$103:$S$134)</f>
        <v>8.67</v>
      </c>
    </row>
    <row r="110" spans="1:20" x14ac:dyDescent="0.25">
      <c r="B110" t="s">
        <v>150</v>
      </c>
      <c r="C110">
        <v>38</v>
      </c>
      <c r="D110">
        <v>44</v>
      </c>
      <c r="E110">
        <v>0.46300000000000002</v>
      </c>
      <c r="F110">
        <v>16</v>
      </c>
      <c r="G110">
        <v>101</v>
      </c>
      <c r="H110">
        <v>101.5</v>
      </c>
      <c r="I110">
        <v>-0.88</v>
      </c>
      <c r="J110">
        <f>East2014[[#This Row],[SRS]]-MIN($I$103:$I$134)</f>
        <v>9.7799999999999994</v>
      </c>
      <c r="L110" t="s">
        <v>128</v>
      </c>
      <c r="M110">
        <v>38</v>
      </c>
      <c r="N110">
        <v>44</v>
      </c>
      <c r="O110">
        <v>0.46300000000000002</v>
      </c>
      <c r="P110">
        <v>11.5</v>
      </c>
      <c r="Q110">
        <v>98.9</v>
      </c>
      <c r="R110">
        <v>100.4</v>
      </c>
      <c r="S110">
        <v>-1.83</v>
      </c>
      <c r="T110">
        <f>East2013[[#This Row],[SRS]]-MIN($S$103:$S$134)</f>
        <v>7.4599999999999991</v>
      </c>
    </row>
    <row r="111" spans="1:20" x14ac:dyDescent="0.25">
      <c r="B111" t="s">
        <v>146</v>
      </c>
      <c r="C111">
        <v>37</v>
      </c>
      <c r="D111">
        <v>45</v>
      </c>
      <c r="E111">
        <v>0.45100000000000001</v>
      </c>
      <c r="F111">
        <v>11</v>
      </c>
      <c r="G111">
        <v>98.6</v>
      </c>
      <c r="H111">
        <v>99.4</v>
      </c>
      <c r="I111">
        <v>-1.4</v>
      </c>
      <c r="J111">
        <f>East2014[[#This Row],[SRS]]-MIN($I$103:$I$134)</f>
        <v>9.26</v>
      </c>
      <c r="L111" t="s">
        <v>134</v>
      </c>
      <c r="M111">
        <v>34</v>
      </c>
      <c r="N111">
        <v>48</v>
      </c>
      <c r="O111">
        <v>0.41499999999999998</v>
      </c>
      <c r="P111">
        <v>20</v>
      </c>
      <c r="Q111">
        <v>93.2</v>
      </c>
      <c r="R111">
        <v>96.5</v>
      </c>
      <c r="S111">
        <v>-3.51</v>
      </c>
      <c r="T111">
        <f>East2013[[#This Row],[SRS]]-MIN($S$103:$S$134)</f>
        <v>5.7799999999999994</v>
      </c>
    </row>
    <row r="112" spans="1:20" x14ac:dyDescent="0.25">
      <c r="B112" t="s">
        <v>152</v>
      </c>
      <c r="C112">
        <v>33</v>
      </c>
      <c r="D112">
        <v>49</v>
      </c>
      <c r="E112">
        <v>0.40200000000000002</v>
      </c>
      <c r="F112">
        <v>23</v>
      </c>
      <c r="G112">
        <v>98.2</v>
      </c>
      <c r="H112">
        <v>101.5</v>
      </c>
      <c r="I112">
        <v>-3.86</v>
      </c>
      <c r="J112">
        <f>East2014[[#This Row],[SRS]]-MIN($I$103:$I$134)</f>
        <v>6.8000000000000007</v>
      </c>
      <c r="L112" t="s">
        <v>129</v>
      </c>
      <c r="M112">
        <v>34</v>
      </c>
      <c r="N112">
        <v>48</v>
      </c>
      <c r="O112">
        <v>0.41499999999999998</v>
      </c>
      <c r="P112">
        <v>20</v>
      </c>
      <c r="Q112">
        <v>97.2</v>
      </c>
      <c r="R112">
        <v>98.7</v>
      </c>
      <c r="S112">
        <v>-1.96</v>
      </c>
      <c r="T112">
        <f>East2013[[#This Row],[SRS]]-MIN($S$103:$S$134)</f>
        <v>7.3299999999999992</v>
      </c>
    </row>
    <row r="113" spans="2:20" x14ac:dyDescent="0.25">
      <c r="B113" t="s">
        <v>148</v>
      </c>
      <c r="C113">
        <v>29</v>
      </c>
      <c r="D113">
        <v>53</v>
      </c>
      <c r="E113">
        <v>0.35399999999999998</v>
      </c>
      <c r="F113">
        <v>27</v>
      </c>
      <c r="G113">
        <v>101</v>
      </c>
      <c r="H113">
        <v>104.7</v>
      </c>
      <c r="I113">
        <v>-4.13</v>
      </c>
      <c r="J113">
        <f>East2014[[#This Row],[SRS]]-MIN($I$103:$I$134)</f>
        <v>6.53</v>
      </c>
      <c r="L113" t="s">
        <v>148</v>
      </c>
      <c r="M113">
        <v>29</v>
      </c>
      <c r="N113">
        <v>53</v>
      </c>
      <c r="O113">
        <v>0.35399999999999998</v>
      </c>
      <c r="P113">
        <v>20.5</v>
      </c>
      <c r="Q113">
        <v>94.9</v>
      </c>
      <c r="R113">
        <v>98.8</v>
      </c>
      <c r="S113">
        <v>-4.33</v>
      </c>
      <c r="T113">
        <f>East2013[[#This Row],[SRS]]-MIN($S$103:$S$134)</f>
        <v>4.9599999999999991</v>
      </c>
    </row>
    <row r="114" spans="2:20" x14ac:dyDescent="0.25">
      <c r="B114" t="s">
        <v>130</v>
      </c>
      <c r="C114">
        <v>25</v>
      </c>
      <c r="D114">
        <v>57</v>
      </c>
      <c r="E114">
        <v>0.30499999999999999</v>
      </c>
      <c r="F114">
        <v>23</v>
      </c>
      <c r="G114">
        <v>96.2</v>
      </c>
      <c r="H114">
        <v>100.7</v>
      </c>
      <c r="I114">
        <v>-4.97</v>
      </c>
      <c r="J114">
        <f>East2014[[#This Row],[SRS]]-MIN($I$103:$I$134)</f>
        <v>5.69</v>
      </c>
      <c r="L114" t="s">
        <v>142</v>
      </c>
      <c r="M114">
        <v>29</v>
      </c>
      <c r="N114">
        <v>53</v>
      </c>
      <c r="O114">
        <v>0.35399999999999998</v>
      </c>
      <c r="P114">
        <v>37</v>
      </c>
      <c r="Q114">
        <v>93.2</v>
      </c>
      <c r="R114">
        <v>95.8</v>
      </c>
      <c r="S114">
        <v>-2.78</v>
      </c>
      <c r="T114">
        <f>East2013[[#This Row],[SRS]]-MIN($S$103:$S$134)</f>
        <v>6.51</v>
      </c>
    </row>
    <row r="115" spans="2:20" x14ac:dyDescent="0.25">
      <c r="B115" t="s">
        <v>138</v>
      </c>
      <c r="C115">
        <v>23</v>
      </c>
      <c r="D115">
        <v>59</v>
      </c>
      <c r="E115">
        <v>0.28000000000000003</v>
      </c>
      <c r="F115">
        <v>31</v>
      </c>
      <c r="G115">
        <v>96.5</v>
      </c>
      <c r="H115">
        <v>102</v>
      </c>
      <c r="I115">
        <v>-5.88</v>
      </c>
      <c r="J115">
        <f>East2014[[#This Row],[SRS]]-MIN($I$103:$I$134)</f>
        <v>4.78</v>
      </c>
      <c r="L115" t="s">
        <v>152</v>
      </c>
      <c r="M115">
        <v>24</v>
      </c>
      <c r="N115">
        <v>58</v>
      </c>
      <c r="O115">
        <v>0.29299999999999998</v>
      </c>
      <c r="P115">
        <v>25.5</v>
      </c>
      <c r="Q115">
        <v>96.5</v>
      </c>
      <c r="R115">
        <v>101.2</v>
      </c>
      <c r="S115">
        <v>-4.87</v>
      </c>
      <c r="T115">
        <f>East2013[[#This Row],[SRS]]-MIN($S$103:$S$134)</f>
        <v>4.419999999999999</v>
      </c>
    </row>
    <row r="116" spans="2:20" x14ac:dyDescent="0.25">
      <c r="B116" t="s">
        <v>134</v>
      </c>
      <c r="C116">
        <v>19</v>
      </c>
      <c r="D116">
        <v>63</v>
      </c>
      <c r="E116">
        <v>0.23200000000000001</v>
      </c>
      <c r="F116">
        <v>29</v>
      </c>
      <c r="G116">
        <v>99.5</v>
      </c>
      <c r="H116">
        <v>109.9</v>
      </c>
      <c r="I116">
        <v>-10.66</v>
      </c>
      <c r="J116">
        <f>East2014[[#This Row],[SRS]]-MIN($I$103:$I$134)</f>
        <v>0</v>
      </c>
      <c r="L116" t="s">
        <v>140</v>
      </c>
      <c r="M116">
        <v>21</v>
      </c>
      <c r="N116">
        <v>61</v>
      </c>
      <c r="O116">
        <v>0.25600000000000001</v>
      </c>
      <c r="P116">
        <v>45</v>
      </c>
      <c r="Q116">
        <v>93.4</v>
      </c>
      <c r="R116">
        <v>102.7</v>
      </c>
      <c r="S116">
        <v>-9.2899999999999991</v>
      </c>
      <c r="T116">
        <f>East2013[[#This Row],[SRS]]-MIN($S$103:$S$134)</f>
        <v>0</v>
      </c>
    </row>
    <row r="117" spans="2:20" x14ac:dyDescent="0.25">
      <c r="B117" t="s">
        <v>128</v>
      </c>
      <c r="C117">
        <v>15</v>
      </c>
      <c r="D117">
        <v>67</v>
      </c>
      <c r="E117">
        <v>0.183</v>
      </c>
      <c r="F117">
        <v>41</v>
      </c>
      <c r="G117">
        <v>95.5</v>
      </c>
      <c r="H117">
        <v>103.7</v>
      </c>
      <c r="I117">
        <v>-8.41</v>
      </c>
      <c r="J117">
        <f>East2014[[#This Row],[SRS]]-MIN($I$103:$I$134)</f>
        <v>2.25</v>
      </c>
      <c r="L117" t="s">
        <v>138</v>
      </c>
      <c r="M117">
        <v>20</v>
      </c>
      <c r="N117">
        <v>62</v>
      </c>
      <c r="O117">
        <v>0.24399999999999999</v>
      </c>
      <c r="P117">
        <v>46</v>
      </c>
      <c r="Q117">
        <v>94.1</v>
      </c>
      <c r="R117">
        <v>101.1</v>
      </c>
      <c r="S117">
        <v>-7.12</v>
      </c>
      <c r="T117">
        <f>East2013[[#This Row],[SRS]]-MIN($S$103:$S$134)</f>
        <v>2.169999999999999</v>
      </c>
    </row>
    <row r="119" spans="2:20" x14ac:dyDescent="0.25">
      <c r="B119" t="s">
        <v>0</v>
      </c>
      <c r="C119" t="s">
        <v>1</v>
      </c>
      <c r="D119" t="s">
        <v>2</v>
      </c>
      <c r="E119" t="s">
        <v>3</v>
      </c>
      <c r="F119" t="s">
        <v>4</v>
      </c>
      <c r="G119" t="s">
        <v>125</v>
      </c>
      <c r="H119" t="s">
        <v>126</v>
      </c>
      <c r="I119" t="s">
        <v>127</v>
      </c>
      <c r="J119" t="s">
        <v>179</v>
      </c>
      <c r="L119" t="s">
        <v>0</v>
      </c>
      <c r="M119" t="s">
        <v>1</v>
      </c>
      <c r="N119" t="s">
        <v>2</v>
      </c>
      <c r="O119" t="s">
        <v>175</v>
      </c>
      <c r="P119" t="s">
        <v>4</v>
      </c>
      <c r="Q119" t="s">
        <v>125</v>
      </c>
      <c r="R119" t="s">
        <v>126</v>
      </c>
      <c r="S119" t="s">
        <v>127</v>
      </c>
      <c r="T119" t="s">
        <v>179</v>
      </c>
    </row>
    <row r="120" spans="2:20" x14ac:dyDescent="0.25">
      <c r="B120" t="s">
        <v>165</v>
      </c>
      <c r="C120">
        <v>62</v>
      </c>
      <c r="D120">
        <v>20</v>
      </c>
      <c r="E120">
        <v>0.75600000000000001</v>
      </c>
      <c r="F120" t="s">
        <v>9</v>
      </c>
      <c r="G120">
        <v>105.4</v>
      </c>
      <c r="H120">
        <v>97.6</v>
      </c>
      <c r="I120">
        <v>8</v>
      </c>
      <c r="J120">
        <f>West2014[[#This Row],[SRS]]-MIN($I$103:$I$134)</f>
        <v>18.66</v>
      </c>
      <c r="L120" t="s">
        <v>157</v>
      </c>
      <c r="M120">
        <v>60</v>
      </c>
      <c r="N120">
        <v>22</v>
      </c>
      <c r="O120">
        <v>0.73199999999999998</v>
      </c>
      <c r="P120" t="s">
        <v>9</v>
      </c>
      <c r="Q120">
        <v>105.7</v>
      </c>
      <c r="R120">
        <v>96.5</v>
      </c>
      <c r="S120">
        <v>9.15</v>
      </c>
      <c r="T120">
        <f>West2013[[#This Row],[SRS]]-MIN($S$103:$S$134)</f>
        <v>18.439999999999998</v>
      </c>
    </row>
    <row r="121" spans="2:20" x14ac:dyDescent="0.25">
      <c r="B121" t="s">
        <v>157</v>
      </c>
      <c r="C121">
        <v>59</v>
      </c>
      <c r="D121">
        <v>23</v>
      </c>
      <c r="E121">
        <v>0.72</v>
      </c>
      <c r="F121" t="s">
        <v>9</v>
      </c>
      <c r="G121">
        <v>106.2</v>
      </c>
      <c r="H121">
        <v>99.8</v>
      </c>
      <c r="I121">
        <v>6.66</v>
      </c>
      <c r="J121">
        <f>West2014[[#This Row],[SRS]]-MIN($I$103:$I$134)</f>
        <v>17.32</v>
      </c>
      <c r="L121" t="s">
        <v>165</v>
      </c>
      <c r="M121">
        <v>58</v>
      </c>
      <c r="N121">
        <v>24</v>
      </c>
      <c r="O121">
        <v>0.70699999999999996</v>
      </c>
      <c r="P121" t="s">
        <v>9</v>
      </c>
      <c r="Q121">
        <v>103</v>
      </c>
      <c r="R121">
        <v>96.6</v>
      </c>
      <c r="S121">
        <v>6.67</v>
      </c>
      <c r="T121">
        <f>West2013[[#This Row],[SRS]]-MIN($S$103:$S$134)</f>
        <v>15.959999999999999</v>
      </c>
    </row>
    <row r="122" spans="2:20" x14ac:dyDescent="0.25">
      <c r="B122" t="s">
        <v>154</v>
      </c>
      <c r="C122">
        <v>57</v>
      </c>
      <c r="D122">
        <v>25</v>
      </c>
      <c r="E122">
        <v>0.69499999999999995</v>
      </c>
      <c r="F122" t="s">
        <v>9</v>
      </c>
      <c r="G122">
        <v>107.9</v>
      </c>
      <c r="H122">
        <v>101</v>
      </c>
      <c r="I122">
        <v>7.27</v>
      </c>
      <c r="J122">
        <f>West2014[[#This Row],[SRS]]-MIN($I$103:$I$134)</f>
        <v>17.93</v>
      </c>
      <c r="L122" t="s">
        <v>155</v>
      </c>
      <c r="M122">
        <v>57</v>
      </c>
      <c r="N122">
        <v>25</v>
      </c>
      <c r="O122">
        <v>0.69499999999999995</v>
      </c>
      <c r="P122">
        <v>3</v>
      </c>
      <c r="Q122">
        <v>106.1</v>
      </c>
      <c r="R122">
        <v>101.1</v>
      </c>
      <c r="S122">
        <v>5.37</v>
      </c>
      <c r="T122">
        <f>West2013[[#This Row],[SRS]]-MIN($S$103:$S$134)</f>
        <v>14.66</v>
      </c>
    </row>
    <row r="123" spans="2:20" x14ac:dyDescent="0.25">
      <c r="B123" t="s">
        <v>160</v>
      </c>
      <c r="C123">
        <v>54</v>
      </c>
      <c r="D123">
        <v>28</v>
      </c>
      <c r="E123">
        <v>0.65900000000000003</v>
      </c>
      <c r="F123">
        <v>5</v>
      </c>
      <c r="G123">
        <v>106.7</v>
      </c>
      <c r="H123">
        <v>102.8</v>
      </c>
      <c r="I123">
        <v>4.4400000000000004</v>
      </c>
      <c r="J123">
        <f>West2014[[#This Row],[SRS]]-MIN($I$103:$I$134)</f>
        <v>15.100000000000001</v>
      </c>
      <c r="L123" t="s">
        <v>154</v>
      </c>
      <c r="M123">
        <v>56</v>
      </c>
      <c r="N123">
        <v>26</v>
      </c>
      <c r="O123">
        <v>0.68300000000000005</v>
      </c>
      <c r="P123" t="s">
        <v>9</v>
      </c>
      <c r="Q123">
        <v>101.1</v>
      </c>
      <c r="R123">
        <v>94.6</v>
      </c>
      <c r="S123">
        <v>6.43</v>
      </c>
      <c r="T123">
        <f>West2013[[#This Row],[SRS]]-MIN($S$103:$S$134)</f>
        <v>15.719999999999999</v>
      </c>
    </row>
    <row r="124" spans="2:20" x14ac:dyDescent="0.25">
      <c r="B124" t="s">
        <v>156</v>
      </c>
      <c r="C124">
        <v>54</v>
      </c>
      <c r="D124">
        <v>28</v>
      </c>
      <c r="E124">
        <v>0.65900000000000003</v>
      </c>
      <c r="F124">
        <v>8</v>
      </c>
      <c r="G124">
        <v>107.7</v>
      </c>
      <c r="H124">
        <v>103.1</v>
      </c>
      <c r="I124">
        <v>5.0599999999999996</v>
      </c>
      <c r="J124">
        <f>West2014[[#This Row],[SRS]]-MIN($I$103:$I$134)</f>
        <v>15.719999999999999</v>
      </c>
      <c r="L124" t="s">
        <v>162</v>
      </c>
      <c r="M124">
        <v>56</v>
      </c>
      <c r="N124">
        <v>26</v>
      </c>
      <c r="O124">
        <v>0.68300000000000005</v>
      </c>
      <c r="P124">
        <v>2</v>
      </c>
      <c r="Q124">
        <v>93.4</v>
      </c>
      <c r="R124">
        <v>89.3</v>
      </c>
      <c r="S124">
        <v>4.32</v>
      </c>
      <c r="T124">
        <f>West2013[[#This Row],[SRS]]-MIN($S$103:$S$134)</f>
        <v>13.61</v>
      </c>
    </row>
    <row r="125" spans="2:20" x14ac:dyDescent="0.25">
      <c r="B125" t="s">
        <v>173</v>
      </c>
      <c r="C125">
        <v>51</v>
      </c>
      <c r="D125">
        <v>31</v>
      </c>
      <c r="E125">
        <v>0.622</v>
      </c>
      <c r="F125">
        <v>6</v>
      </c>
      <c r="G125">
        <v>104.3</v>
      </c>
      <c r="H125">
        <v>99.5</v>
      </c>
      <c r="I125">
        <v>5.15</v>
      </c>
      <c r="J125">
        <f>West2014[[#This Row],[SRS]]-MIN($I$103:$I$134)</f>
        <v>15.81</v>
      </c>
      <c r="L125" t="s">
        <v>173</v>
      </c>
      <c r="M125">
        <v>47</v>
      </c>
      <c r="N125">
        <v>35</v>
      </c>
      <c r="O125">
        <v>0.57299999999999995</v>
      </c>
      <c r="P125">
        <v>9</v>
      </c>
      <c r="Q125">
        <v>101.2</v>
      </c>
      <c r="R125">
        <v>100.3</v>
      </c>
      <c r="S125">
        <v>1.32</v>
      </c>
      <c r="T125">
        <f>West2013[[#This Row],[SRS]]-MIN($S$103:$S$134)</f>
        <v>10.61</v>
      </c>
    </row>
    <row r="126" spans="2:20" x14ac:dyDescent="0.25">
      <c r="B126" t="s">
        <v>162</v>
      </c>
      <c r="C126">
        <v>50</v>
      </c>
      <c r="D126">
        <v>32</v>
      </c>
      <c r="E126">
        <v>0.61</v>
      </c>
      <c r="F126">
        <v>12</v>
      </c>
      <c r="G126">
        <v>96.1</v>
      </c>
      <c r="H126">
        <v>94.6</v>
      </c>
      <c r="I126">
        <v>2.1800000000000002</v>
      </c>
      <c r="J126">
        <f>West2014[[#This Row],[SRS]]-MIN($I$103:$I$134)</f>
        <v>12.84</v>
      </c>
      <c r="L126" t="s">
        <v>153</v>
      </c>
      <c r="M126">
        <v>45</v>
      </c>
      <c r="N126">
        <v>37</v>
      </c>
      <c r="O126">
        <v>0.54900000000000004</v>
      </c>
      <c r="P126">
        <v>11</v>
      </c>
      <c r="Q126">
        <v>102.2</v>
      </c>
      <c r="R126">
        <v>101</v>
      </c>
      <c r="S126">
        <v>1.48</v>
      </c>
      <c r="T126">
        <f>West2013[[#This Row],[SRS]]-MIN($S$103:$S$134)</f>
        <v>10.77</v>
      </c>
    </row>
    <row r="127" spans="2:20" x14ac:dyDescent="0.25">
      <c r="B127" t="s">
        <v>159</v>
      </c>
      <c r="C127">
        <v>49</v>
      </c>
      <c r="D127">
        <v>33</v>
      </c>
      <c r="E127">
        <v>0.59799999999999998</v>
      </c>
      <c r="F127">
        <v>13</v>
      </c>
      <c r="G127">
        <v>104.8</v>
      </c>
      <c r="H127">
        <v>102.4</v>
      </c>
      <c r="I127">
        <v>2.91</v>
      </c>
      <c r="J127">
        <f>West2014[[#This Row],[SRS]]-MIN($I$103:$I$134)</f>
        <v>13.57</v>
      </c>
      <c r="L127" t="s">
        <v>156</v>
      </c>
      <c r="M127">
        <v>45</v>
      </c>
      <c r="N127">
        <v>37</v>
      </c>
      <c r="O127">
        <v>0.54900000000000004</v>
      </c>
      <c r="P127">
        <v>13</v>
      </c>
      <c r="Q127">
        <v>106</v>
      </c>
      <c r="R127">
        <v>102.5</v>
      </c>
      <c r="S127">
        <v>3.69</v>
      </c>
      <c r="T127">
        <f>West2013[[#This Row],[SRS]]-MIN($S$103:$S$134)</f>
        <v>12.979999999999999</v>
      </c>
    </row>
    <row r="128" spans="2:20" x14ac:dyDescent="0.25">
      <c r="B128" t="s">
        <v>164</v>
      </c>
      <c r="C128">
        <v>48</v>
      </c>
      <c r="D128">
        <v>34</v>
      </c>
      <c r="E128">
        <v>0.58499999999999996</v>
      </c>
      <c r="F128">
        <v>9</v>
      </c>
      <c r="G128">
        <v>105.2</v>
      </c>
      <c r="H128">
        <v>102.6</v>
      </c>
      <c r="I128">
        <v>3.02</v>
      </c>
      <c r="J128">
        <f>West2014[[#This Row],[SRS]]-MIN($I$103:$I$134)</f>
        <v>13.68</v>
      </c>
      <c r="L128" t="s">
        <v>158</v>
      </c>
      <c r="M128">
        <v>43</v>
      </c>
      <c r="N128">
        <v>39</v>
      </c>
      <c r="O128">
        <v>0.52400000000000002</v>
      </c>
      <c r="P128">
        <v>17</v>
      </c>
      <c r="Q128">
        <v>98</v>
      </c>
      <c r="R128">
        <v>98.1</v>
      </c>
      <c r="S128">
        <v>0.3</v>
      </c>
      <c r="T128">
        <f>West2013[[#This Row],[SRS]]-MIN($S$103:$S$134)</f>
        <v>9.59</v>
      </c>
    </row>
    <row r="129" spans="1:20" x14ac:dyDescent="0.25">
      <c r="B129" t="s">
        <v>171</v>
      </c>
      <c r="C129">
        <v>40</v>
      </c>
      <c r="D129">
        <v>42</v>
      </c>
      <c r="E129">
        <v>0.48799999999999999</v>
      </c>
      <c r="F129">
        <v>19</v>
      </c>
      <c r="G129">
        <v>106.9</v>
      </c>
      <c r="H129">
        <v>104.3</v>
      </c>
      <c r="I129">
        <v>3.1</v>
      </c>
      <c r="J129">
        <f>West2014[[#This Row],[SRS]]-MIN($I$103:$I$134)</f>
        <v>13.76</v>
      </c>
      <c r="L129" t="s">
        <v>159</v>
      </c>
      <c r="M129">
        <v>41</v>
      </c>
      <c r="N129">
        <v>41</v>
      </c>
      <c r="O129">
        <v>0.5</v>
      </c>
      <c r="P129">
        <v>17</v>
      </c>
      <c r="Q129">
        <v>101.1</v>
      </c>
      <c r="R129">
        <v>101.7</v>
      </c>
      <c r="S129">
        <v>-0.24</v>
      </c>
      <c r="T129">
        <f>West2013[[#This Row],[SRS]]-MIN($S$103:$S$134)</f>
        <v>9.0499999999999989</v>
      </c>
    </row>
    <row r="130" spans="1:20" x14ac:dyDescent="0.25">
      <c r="B130" t="s">
        <v>155</v>
      </c>
      <c r="C130">
        <v>36</v>
      </c>
      <c r="D130">
        <v>46</v>
      </c>
      <c r="E130">
        <v>0.439</v>
      </c>
      <c r="F130">
        <v>23</v>
      </c>
      <c r="G130">
        <v>104.4</v>
      </c>
      <c r="H130">
        <v>106.5</v>
      </c>
      <c r="I130">
        <v>-1.4</v>
      </c>
      <c r="J130">
        <f>West2014[[#This Row],[SRS]]-MIN($I$103:$I$134)</f>
        <v>9.26</v>
      </c>
      <c r="L130" t="s">
        <v>160</v>
      </c>
      <c r="M130">
        <v>33</v>
      </c>
      <c r="N130">
        <v>49</v>
      </c>
      <c r="O130">
        <v>0.40200000000000002</v>
      </c>
      <c r="P130">
        <v>27</v>
      </c>
      <c r="Q130">
        <v>97.5</v>
      </c>
      <c r="R130">
        <v>100.7</v>
      </c>
      <c r="S130">
        <v>-2.5299999999999998</v>
      </c>
      <c r="T130">
        <f>West2013[[#This Row],[SRS]]-MIN($S$103:$S$134)</f>
        <v>6.76</v>
      </c>
    </row>
    <row r="131" spans="1:20" x14ac:dyDescent="0.25">
      <c r="B131" t="s">
        <v>169</v>
      </c>
      <c r="C131">
        <v>34</v>
      </c>
      <c r="D131">
        <v>48</v>
      </c>
      <c r="E131">
        <v>0.41499999999999998</v>
      </c>
      <c r="F131">
        <v>28</v>
      </c>
      <c r="G131">
        <v>99.7</v>
      </c>
      <c r="H131">
        <v>102.4</v>
      </c>
      <c r="I131">
        <v>-1.98</v>
      </c>
      <c r="J131">
        <f>West2014[[#This Row],[SRS]]-MIN($I$103:$I$134)</f>
        <v>8.68</v>
      </c>
      <c r="L131" t="s">
        <v>171</v>
      </c>
      <c r="M131">
        <v>31</v>
      </c>
      <c r="N131">
        <v>51</v>
      </c>
      <c r="O131">
        <v>0.378</v>
      </c>
      <c r="P131">
        <v>29</v>
      </c>
      <c r="Q131">
        <v>95.7</v>
      </c>
      <c r="R131">
        <v>98.1</v>
      </c>
      <c r="S131">
        <v>-1.83</v>
      </c>
      <c r="T131">
        <f>West2013[[#This Row],[SRS]]-MIN($S$103:$S$134)</f>
        <v>7.4599999999999991</v>
      </c>
    </row>
    <row r="132" spans="1:20" x14ac:dyDescent="0.25">
      <c r="B132" t="s">
        <v>167</v>
      </c>
      <c r="C132">
        <v>28</v>
      </c>
      <c r="D132">
        <v>54</v>
      </c>
      <c r="E132">
        <v>0.34100000000000003</v>
      </c>
      <c r="F132">
        <v>29</v>
      </c>
      <c r="G132">
        <v>100.5</v>
      </c>
      <c r="H132">
        <v>103.4</v>
      </c>
      <c r="I132">
        <v>-2.08</v>
      </c>
      <c r="J132">
        <f>West2014[[#This Row],[SRS]]-MIN($I$103:$I$134)</f>
        <v>8.58</v>
      </c>
      <c r="L132" t="s">
        <v>167</v>
      </c>
      <c r="M132">
        <v>28</v>
      </c>
      <c r="N132">
        <v>54</v>
      </c>
      <c r="O132">
        <v>0.34100000000000003</v>
      </c>
      <c r="P132">
        <v>28</v>
      </c>
      <c r="Q132">
        <v>100.2</v>
      </c>
      <c r="R132">
        <v>105.1</v>
      </c>
      <c r="S132">
        <v>-4.26</v>
      </c>
      <c r="T132">
        <f>West2013[[#This Row],[SRS]]-MIN($S$103:$S$134)</f>
        <v>5.0299999999999994</v>
      </c>
    </row>
    <row r="133" spans="1:20" x14ac:dyDescent="0.25">
      <c r="B133" t="s">
        <v>153</v>
      </c>
      <c r="C133">
        <v>27</v>
      </c>
      <c r="D133">
        <v>55</v>
      </c>
      <c r="E133">
        <v>0.32900000000000001</v>
      </c>
      <c r="F133">
        <v>30</v>
      </c>
      <c r="G133">
        <v>103</v>
      </c>
      <c r="H133">
        <v>109.2</v>
      </c>
      <c r="I133">
        <v>-5.33</v>
      </c>
      <c r="J133">
        <f>West2014[[#This Row],[SRS]]-MIN($I$103:$I$134)</f>
        <v>5.33</v>
      </c>
      <c r="L133" t="s">
        <v>169</v>
      </c>
      <c r="M133">
        <v>27</v>
      </c>
      <c r="N133">
        <v>55</v>
      </c>
      <c r="O133">
        <v>0.32900000000000001</v>
      </c>
      <c r="P133">
        <v>31</v>
      </c>
      <c r="Q133">
        <v>94.1</v>
      </c>
      <c r="R133">
        <v>97.9</v>
      </c>
      <c r="S133">
        <v>-3.12</v>
      </c>
      <c r="T133">
        <f>West2013[[#This Row],[SRS]]-MIN($S$103:$S$134)</f>
        <v>6.169999999999999</v>
      </c>
    </row>
    <row r="134" spans="1:20" x14ac:dyDescent="0.25">
      <c r="B134" t="s">
        <v>158</v>
      </c>
      <c r="C134">
        <v>25</v>
      </c>
      <c r="D134">
        <v>57</v>
      </c>
      <c r="E134">
        <v>0.30499999999999999</v>
      </c>
      <c r="F134">
        <v>34</v>
      </c>
      <c r="G134">
        <v>95</v>
      </c>
      <c r="H134">
        <v>102.2</v>
      </c>
      <c r="I134">
        <v>-6.27</v>
      </c>
      <c r="J134">
        <f>West2014[[#This Row],[SRS]]-MIN($I$103:$I$134)</f>
        <v>4.3900000000000006</v>
      </c>
      <c r="L134" t="s">
        <v>164</v>
      </c>
      <c r="M134">
        <v>25</v>
      </c>
      <c r="N134">
        <v>57</v>
      </c>
      <c r="O134">
        <v>0.30499999999999999</v>
      </c>
      <c r="P134">
        <v>31</v>
      </c>
      <c r="Q134">
        <v>95.2</v>
      </c>
      <c r="R134">
        <v>101.6</v>
      </c>
      <c r="S134">
        <v>-5.75</v>
      </c>
      <c r="T134">
        <f>West2013[[#This Row],[SRS]]-MIN($S$103:$S$134)</f>
        <v>3.5399999999999991</v>
      </c>
    </row>
    <row r="136" spans="1:20" x14ac:dyDescent="0.25">
      <c r="A136" t="s">
        <v>253</v>
      </c>
      <c r="B136" t="s">
        <v>0</v>
      </c>
      <c r="C136" t="s">
        <v>1</v>
      </c>
      <c r="D136" t="s">
        <v>2</v>
      </c>
      <c r="E136" t="s">
        <v>175</v>
      </c>
      <c r="F136" t="s">
        <v>4</v>
      </c>
      <c r="G136" t="s">
        <v>125</v>
      </c>
      <c r="H136" t="s">
        <v>126</v>
      </c>
      <c r="I136" t="s">
        <v>127</v>
      </c>
      <c r="J136" t="s">
        <v>179</v>
      </c>
      <c r="K136" t="s">
        <v>254</v>
      </c>
      <c r="L136" t="s">
        <v>0</v>
      </c>
      <c r="M136" t="s">
        <v>1</v>
      </c>
      <c r="N136" t="s">
        <v>2</v>
      </c>
      <c r="O136" t="s">
        <v>175</v>
      </c>
      <c r="P136" t="s">
        <v>4</v>
      </c>
      <c r="Q136" t="s">
        <v>125</v>
      </c>
      <c r="R136" t="s">
        <v>126</v>
      </c>
      <c r="S136" t="s">
        <v>127</v>
      </c>
      <c r="T136" t="s">
        <v>179</v>
      </c>
    </row>
    <row r="137" spans="1:20" x14ac:dyDescent="0.25">
      <c r="B137" t="s">
        <v>144</v>
      </c>
      <c r="C137">
        <v>50</v>
      </c>
      <c r="D137">
        <v>16</v>
      </c>
      <c r="E137">
        <v>0.75800000000000001</v>
      </c>
      <c r="F137" t="s">
        <v>9</v>
      </c>
      <c r="G137">
        <v>96.3</v>
      </c>
      <c r="H137">
        <v>88.2</v>
      </c>
      <c r="I137">
        <v>7.43</v>
      </c>
      <c r="J137">
        <f>East2012[[#This Row],[SRS]]-MIN($I$137:$I$168)</f>
        <v>21.39</v>
      </c>
      <c r="L137" t="s">
        <v>144</v>
      </c>
      <c r="M137">
        <v>62</v>
      </c>
      <c r="N137">
        <v>20</v>
      </c>
      <c r="O137">
        <v>0.75600000000000001</v>
      </c>
      <c r="P137" t="s">
        <v>9</v>
      </c>
      <c r="Q137">
        <v>98.6</v>
      </c>
      <c r="R137">
        <v>91.3</v>
      </c>
      <c r="S137">
        <v>6.53</v>
      </c>
      <c r="T137">
        <f>East2011[[#This Row],[SRS]]-MIN($S$137:$S$168)</f>
        <v>15.41</v>
      </c>
    </row>
    <row r="138" spans="1:20" x14ac:dyDescent="0.25">
      <c r="B138" t="s">
        <v>132</v>
      </c>
      <c r="C138">
        <v>46</v>
      </c>
      <c r="D138">
        <v>20</v>
      </c>
      <c r="E138">
        <v>0.69699999999999995</v>
      </c>
      <c r="F138" t="s">
        <v>9</v>
      </c>
      <c r="G138">
        <v>98.5</v>
      </c>
      <c r="H138">
        <v>92.5</v>
      </c>
      <c r="I138">
        <v>5.72</v>
      </c>
      <c r="J138">
        <f>East2012[[#This Row],[SRS]]-MIN($I$137:$I$168)</f>
        <v>19.68</v>
      </c>
      <c r="L138" t="s">
        <v>132</v>
      </c>
      <c r="M138">
        <v>58</v>
      </c>
      <c r="N138">
        <v>24</v>
      </c>
      <c r="O138">
        <v>0.70699999999999996</v>
      </c>
      <c r="P138" t="s">
        <v>9</v>
      </c>
      <c r="Q138">
        <v>102.1</v>
      </c>
      <c r="R138">
        <v>94.6</v>
      </c>
      <c r="S138">
        <v>6.76</v>
      </c>
      <c r="T138">
        <f>East2011[[#This Row],[SRS]]-MIN($S$137:$S$168)</f>
        <v>15.64</v>
      </c>
    </row>
    <row r="139" spans="1:20" x14ac:dyDescent="0.25">
      <c r="B139" t="s">
        <v>131</v>
      </c>
      <c r="C139">
        <v>42</v>
      </c>
      <c r="D139">
        <v>24</v>
      </c>
      <c r="E139">
        <v>0.63600000000000001</v>
      </c>
      <c r="F139">
        <v>8</v>
      </c>
      <c r="G139">
        <v>97.7</v>
      </c>
      <c r="H139">
        <v>94.4</v>
      </c>
      <c r="I139">
        <v>2.6</v>
      </c>
      <c r="J139">
        <f>East2012[[#This Row],[SRS]]-MIN($I$137:$I$168)</f>
        <v>16.560000000000002</v>
      </c>
      <c r="L139" t="s">
        <v>130</v>
      </c>
      <c r="M139">
        <v>56</v>
      </c>
      <c r="N139">
        <v>26</v>
      </c>
      <c r="O139">
        <v>0.68300000000000005</v>
      </c>
      <c r="P139" t="s">
        <v>9</v>
      </c>
      <c r="Q139">
        <v>96.5</v>
      </c>
      <c r="R139">
        <v>91.1</v>
      </c>
      <c r="S139">
        <v>4.83</v>
      </c>
      <c r="T139">
        <f>East2011[[#This Row],[SRS]]-MIN($S$137:$S$168)</f>
        <v>13.71</v>
      </c>
    </row>
    <row r="140" spans="1:20" x14ac:dyDescent="0.25">
      <c r="B140" t="s">
        <v>150</v>
      </c>
      <c r="C140">
        <v>40</v>
      </c>
      <c r="D140">
        <v>26</v>
      </c>
      <c r="E140">
        <v>0.60599999999999998</v>
      </c>
      <c r="F140">
        <v>6</v>
      </c>
      <c r="G140">
        <v>96.6</v>
      </c>
      <c r="H140">
        <v>93.2</v>
      </c>
      <c r="I140">
        <v>2.67</v>
      </c>
      <c r="J140">
        <f>East2012[[#This Row],[SRS]]-MIN($I$137:$I$168)</f>
        <v>16.630000000000003</v>
      </c>
      <c r="L140" t="s">
        <v>138</v>
      </c>
      <c r="M140">
        <v>52</v>
      </c>
      <c r="N140">
        <v>30</v>
      </c>
      <c r="O140">
        <v>0.63400000000000001</v>
      </c>
      <c r="P140">
        <v>6</v>
      </c>
      <c r="Q140">
        <v>99.2</v>
      </c>
      <c r="R140">
        <v>93.7</v>
      </c>
      <c r="S140">
        <v>4.92</v>
      </c>
      <c r="T140">
        <f>East2011[[#This Row],[SRS]]-MIN($S$137:$S$168)</f>
        <v>13.8</v>
      </c>
    </row>
    <row r="141" spans="1:20" x14ac:dyDescent="0.25">
      <c r="B141" t="s">
        <v>130</v>
      </c>
      <c r="C141">
        <v>39</v>
      </c>
      <c r="D141">
        <v>27</v>
      </c>
      <c r="E141">
        <v>0.59099999999999997</v>
      </c>
      <c r="F141" t="s">
        <v>9</v>
      </c>
      <c r="G141">
        <v>91.8</v>
      </c>
      <c r="H141">
        <v>89.3</v>
      </c>
      <c r="I141">
        <v>2.2599999999999998</v>
      </c>
      <c r="J141">
        <f>East2012[[#This Row],[SRS]]-MIN($I$137:$I$168)</f>
        <v>16.22</v>
      </c>
      <c r="L141" t="s">
        <v>150</v>
      </c>
      <c r="M141">
        <v>44</v>
      </c>
      <c r="N141">
        <v>38</v>
      </c>
      <c r="O141">
        <v>0.53700000000000003</v>
      </c>
      <c r="P141">
        <v>14</v>
      </c>
      <c r="Q141">
        <v>95</v>
      </c>
      <c r="R141">
        <v>95.8</v>
      </c>
      <c r="S141">
        <v>-1.1000000000000001</v>
      </c>
      <c r="T141">
        <f>East2011[[#This Row],[SRS]]-MIN($S$137:$S$168)</f>
        <v>7.7800000000000011</v>
      </c>
    </row>
    <row r="142" spans="1:20" x14ac:dyDescent="0.25">
      <c r="B142" t="s">
        <v>138</v>
      </c>
      <c r="C142">
        <v>37</v>
      </c>
      <c r="D142">
        <v>29</v>
      </c>
      <c r="E142">
        <v>0.56100000000000005</v>
      </c>
      <c r="F142">
        <v>9</v>
      </c>
      <c r="G142">
        <v>94.2</v>
      </c>
      <c r="H142">
        <v>93.4</v>
      </c>
      <c r="I142">
        <v>0.46</v>
      </c>
      <c r="J142">
        <f>East2012[[#This Row],[SRS]]-MIN($I$137:$I$168)</f>
        <v>14.420000000000002</v>
      </c>
      <c r="L142" t="s">
        <v>146</v>
      </c>
      <c r="M142">
        <v>42</v>
      </c>
      <c r="N142">
        <v>40</v>
      </c>
      <c r="O142">
        <v>0.51200000000000001</v>
      </c>
      <c r="P142">
        <v>14</v>
      </c>
      <c r="Q142">
        <v>106.5</v>
      </c>
      <c r="R142">
        <v>105.7</v>
      </c>
      <c r="S142">
        <v>0.48</v>
      </c>
      <c r="T142">
        <f>East2011[[#This Row],[SRS]]-MIN($S$137:$S$168)</f>
        <v>9.3600000000000012</v>
      </c>
    </row>
    <row r="143" spans="1:20" x14ac:dyDescent="0.25">
      <c r="B143" t="s">
        <v>146</v>
      </c>
      <c r="C143">
        <v>36</v>
      </c>
      <c r="D143">
        <v>30</v>
      </c>
      <c r="E143">
        <v>0.54500000000000004</v>
      </c>
      <c r="F143">
        <v>3</v>
      </c>
      <c r="G143">
        <v>97.8</v>
      </c>
      <c r="H143">
        <v>94.7</v>
      </c>
      <c r="I143">
        <v>2.39</v>
      </c>
      <c r="J143">
        <f>East2012[[#This Row],[SRS]]-MIN($I$137:$I$168)</f>
        <v>16.350000000000001</v>
      </c>
      <c r="L143" t="s">
        <v>134</v>
      </c>
      <c r="M143">
        <v>41</v>
      </c>
      <c r="N143">
        <v>41</v>
      </c>
      <c r="O143">
        <v>0.5</v>
      </c>
      <c r="P143">
        <v>15</v>
      </c>
      <c r="Q143">
        <v>99</v>
      </c>
      <c r="R143">
        <v>97.5</v>
      </c>
      <c r="S143">
        <v>1.01</v>
      </c>
      <c r="T143">
        <f>East2011[[#This Row],[SRS]]-MIN($S$137:$S$168)</f>
        <v>9.89</v>
      </c>
    </row>
    <row r="144" spans="1:20" x14ac:dyDescent="0.25">
      <c r="B144" t="s">
        <v>134</v>
      </c>
      <c r="C144">
        <v>35</v>
      </c>
      <c r="D144">
        <v>31</v>
      </c>
      <c r="E144">
        <v>0.53</v>
      </c>
      <c r="F144">
        <v>4</v>
      </c>
      <c r="G144">
        <v>93.6</v>
      </c>
      <c r="H144">
        <v>89.4</v>
      </c>
      <c r="I144">
        <v>3.59</v>
      </c>
      <c r="J144">
        <f>East2012[[#This Row],[SRS]]-MIN($I$137:$I$168)</f>
        <v>17.55</v>
      </c>
      <c r="L144" t="s">
        <v>131</v>
      </c>
      <c r="M144">
        <v>37</v>
      </c>
      <c r="N144">
        <v>45</v>
      </c>
      <c r="O144">
        <v>0.45100000000000001</v>
      </c>
      <c r="P144">
        <v>25</v>
      </c>
      <c r="Q144">
        <v>99.8</v>
      </c>
      <c r="R144">
        <v>100.9</v>
      </c>
      <c r="S144">
        <v>-1.38</v>
      </c>
      <c r="T144">
        <f>East2011[[#This Row],[SRS]]-MIN($S$137:$S$168)</f>
        <v>7.5000000000000009</v>
      </c>
    </row>
    <row r="145" spans="2:20" x14ac:dyDescent="0.25">
      <c r="B145" t="s">
        <v>128</v>
      </c>
      <c r="C145">
        <v>31</v>
      </c>
      <c r="D145">
        <v>35</v>
      </c>
      <c r="E145">
        <v>0.47</v>
      </c>
      <c r="F145">
        <v>19</v>
      </c>
      <c r="G145">
        <v>99</v>
      </c>
      <c r="H145">
        <v>98.7</v>
      </c>
      <c r="I145">
        <v>-0.23</v>
      </c>
      <c r="J145">
        <f>East2012[[#This Row],[SRS]]-MIN($I$137:$I$168)</f>
        <v>13.73</v>
      </c>
      <c r="L145" t="s">
        <v>128</v>
      </c>
      <c r="M145">
        <v>35</v>
      </c>
      <c r="N145">
        <v>47</v>
      </c>
      <c r="O145">
        <v>0.42699999999999999</v>
      </c>
      <c r="P145">
        <v>27</v>
      </c>
      <c r="Q145">
        <v>91.9</v>
      </c>
      <c r="R145">
        <v>92.7</v>
      </c>
      <c r="S145">
        <v>-1.02</v>
      </c>
      <c r="T145">
        <f>East2011[[#This Row],[SRS]]-MIN($S$137:$S$168)</f>
        <v>7.8600000000000012</v>
      </c>
    </row>
    <row r="146" spans="2:20" x14ac:dyDescent="0.25">
      <c r="B146" t="s">
        <v>148</v>
      </c>
      <c r="C146">
        <v>25</v>
      </c>
      <c r="D146">
        <v>41</v>
      </c>
      <c r="E146">
        <v>0.379</v>
      </c>
      <c r="F146">
        <v>25</v>
      </c>
      <c r="G146">
        <v>90.9</v>
      </c>
      <c r="H146">
        <v>95.7</v>
      </c>
      <c r="I146">
        <v>-5.19</v>
      </c>
      <c r="J146">
        <f>East2012[[#This Row],[SRS]]-MIN($I$137:$I$168)</f>
        <v>8.77</v>
      </c>
      <c r="L146" t="s">
        <v>140</v>
      </c>
      <c r="M146">
        <v>34</v>
      </c>
      <c r="N146">
        <v>48</v>
      </c>
      <c r="O146">
        <v>0.41499999999999998</v>
      </c>
      <c r="P146">
        <v>24</v>
      </c>
      <c r="Q146">
        <v>93.3</v>
      </c>
      <c r="R146">
        <v>97.3</v>
      </c>
      <c r="S146">
        <v>-4.08</v>
      </c>
      <c r="T146">
        <f>East2011[[#This Row],[SRS]]-MIN($S$137:$S$168)</f>
        <v>4.8000000000000007</v>
      </c>
    </row>
    <row r="147" spans="2:20" x14ac:dyDescent="0.25">
      <c r="B147" t="s">
        <v>129</v>
      </c>
      <c r="C147">
        <v>23</v>
      </c>
      <c r="D147">
        <v>43</v>
      </c>
      <c r="E147">
        <v>0.34799999999999998</v>
      </c>
      <c r="F147">
        <v>16</v>
      </c>
      <c r="G147">
        <v>90.7</v>
      </c>
      <c r="H147">
        <v>94</v>
      </c>
      <c r="I147">
        <v>-3.67</v>
      </c>
      <c r="J147">
        <f>East2012[[#This Row],[SRS]]-MIN($I$137:$I$168)</f>
        <v>10.290000000000001</v>
      </c>
      <c r="L147" t="s">
        <v>148</v>
      </c>
      <c r="M147">
        <v>30</v>
      </c>
      <c r="N147">
        <v>52</v>
      </c>
      <c r="O147">
        <v>0.36599999999999999</v>
      </c>
      <c r="P147">
        <v>32</v>
      </c>
      <c r="Q147">
        <v>97</v>
      </c>
      <c r="R147">
        <v>100.6</v>
      </c>
      <c r="S147">
        <v>-3.78</v>
      </c>
      <c r="T147">
        <f>East2011[[#This Row],[SRS]]-MIN($S$137:$S$168)</f>
        <v>5.1000000000000014</v>
      </c>
    </row>
    <row r="148" spans="2:20" x14ac:dyDescent="0.25">
      <c r="B148" t="s">
        <v>136</v>
      </c>
      <c r="C148">
        <v>22</v>
      </c>
      <c r="D148">
        <v>44</v>
      </c>
      <c r="E148">
        <v>0.33300000000000002</v>
      </c>
      <c r="F148">
        <v>17</v>
      </c>
      <c r="G148">
        <v>93.1</v>
      </c>
      <c r="H148">
        <v>99.1</v>
      </c>
      <c r="I148">
        <v>-6.37</v>
      </c>
      <c r="J148">
        <f>East2012[[#This Row],[SRS]]-MIN($I$137:$I$168)</f>
        <v>7.5900000000000007</v>
      </c>
      <c r="L148" t="s">
        <v>136</v>
      </c>
      <c r="M148">
        <v>24</v>
      </c>
      <c r="N148">
        <v>58</v>
      </c>
      <c r="O148">
        <v>0.29299999999999998</v>
      </c>
      <c r="P148">
        <v>32</v>
      </c>
      <c r="Q148">
        <v>94.2</v>
      </c>
      <c r="R148">
        <v>100.4</v>
      </c>
      <c r="S148">
        <v>-6.28</v>
      </c>
      <c r="T148">
        <f>East2011[[#This Row],[SRS]]-MIN($S$137:$S$168)</f>
        <v>2.6000000000000005</v>
      </c>
    </row>
    <row r="149" spans="2:20" x14ac:dyDescent="0.25">
      <c r="B149" t="s">
        <v>152</v>
      </c>
      <c r="C149">
        <v>21</v>
      </c>
      <c r="D149">
        <v>45</v>
      </c>
      <c r="E149">
        <v>0.318</v>
      </c>
      <c r="F149">
        <v>29</v>
      </c>
      <c r="G149">
        <v>93</v>
      </c>
      <c r="H149">
        <v>100.2</v>
      </c>
      <c r="I149">
        <v>-7.34</v>
      </c>
      <c r="J149">
        <f>East2012[[#This Row],[SRS]]-MIN($I$137:$I$168)</f>
        <v>6.620000000000001</v>
      </c>
      <c r="L149" t="s">
        <v>142</v>
      </c>
      <c r="M149">
        <v>23</v>
      </c>
      <c r="N149">
        <v>59</v>
      </c>
      <c r="O149">
        <v>0.28000000000000003</v>
      </c>
      <c r="P149">
        <v>35</v>
      </c>
      <c r="Q149">
        <v>97.3</v>
      </c>
      <c r="R149">
        <v>104.7</v>
      </c>
      <c r="S149">
        <v>-7.3</v>
      </c>
      <c r="T149">
        <f>East2011[[#This Row],[SRS]]-MIN($S$137:$S$168)</f>
        <v>1.580000000000001</v>
      </c>
    </row>
    <row r="150" spans="2:20" x14ac:dyDescent="0.25">
      <c r="B150" t="s">
        <v>142</v>
      </c>
      <c r="C150">
        <v>20</v>
      </c>
      <c r="D150">
        <v>46</v>
      </c>
      <c r="E150">
        <v>0.30299999999999999</v>
      </c>
      <c r="F150">
        <v>26</v>
      </c>
      <c r="G150">
        <v>93.6</v>
      </c>
      <c r="H150">
        <v>98.4</v>
      </c>
      <c r="I150">
        <v>-5.14</v>
      </c>
      <c r="J150">
        <f>East2012[[#This Row],[SRS]]-MIN($I$137:$I$168)</f>
        <v>8.82</v>
      </c>
      <c r="L150" t="s">
        <v>129</v>
      </c>
      <c r="M150">
        <v>22</v>
      </c>
      <c r="N150">
        <v>60</v>
      </c>
      <c r="O150">
        <v>0.26800000000000002</v>
      </c>
      <c r="P150">
        <v>34</v>
      </c>
      <c r="Q150">
        <v>99.1</v>
      </c>
      <c r="R150">
        <v>105.4</v>
      </c>
      <c r="S150">
        <v>-6.28</v>
      </c>
      <c r="T150">
        <f>East2011[[#This Row],[SRS]]-MIN($S$137:$S$168)</f>
        <v>2.6000000000000005</v>
      </c>
    </row>
    <row r="151" spans="2:20" x14ac:dyDescent="0.25">
      <c r="B151" t="s">
        <v>140</v>
      </c>
      <c r="C151">
        <v>7</v>
      </c>
      <c r="D151">
        <v>59</v>
      </c>
      <c r="E151">
        <v>0.106</v>
      </c>
      <c r="F151">
        <v>39</v>
      </c>
      <c r="G151">
        <v>87</v>
      </c>
      <c r="H151">
        <v>100.9</v>
      </c>
      <c r="I151">
        <v>-13.96</v>
      </c>
      <c r="J151">
        <f>East2012[[#This Row],[SRS]]-MIN($I$137:$I$168)</f>
        <v>0</v>
      </c>
      <c r="L151" t="s">
        <v>152</v>
      </c>
      <c r="M151">
        <v>19</v>
      </c>
      <c r="N151">
        <v>63</v>
      </c>
      <c r="O151">
        <v>0.23200000000000001</v>
      </c>
      <c r="P151">
        <v>43</v>
      </c>
      <c r="Q151">
        <v>95.5</v>
      </c>
      <c r="R151">
        <v>104.5</v>
      </c>
      <c r="S151">
        <v>-8.8800000000000008</v>
      </c>
      <c r="T151">
        <f>East2011[[#This Row],[SRS]]-MIN($S$137:$S$168)</f>
        <v>0</v>
      </c>
    </row>
    <row r="153" spans="2:20" x14ac:dyDescent="0.25">
      <c r="B153" t="s">
        <v>177</v>
      </c>
      <c r="C153" t="s">
        <v>1</v>
      </c>
      <c r="D153" t="s">
        <v>2</v>
      </c>
      <c r="E153" t="s">
        <v>175</v>
      </c>
      <c r="F153" t="s">
        <v>4</v>
      </c>
      <c r="G153" t="s">
        <v>125</v>
      </c>
      <c r="H153" t="s">
        <v>126</v>
      </c>
      <c r="I153" t="s">
        <v>127</v>
      </c>
      <c r="J153" t="s">
        <v>179</v>
      </c>
      <c r="L153" t="s">
        <v>0</v>
      </c>
      <c r="M153" t="s">
        <v>1</v>
      </c>
      <c r="N153" t="s">
        <v>2</v>
      </c>
      <c r="O153" t="s">
        <v>175</v>
      </c>
      <c r="P153" t="s">
        <v>4</v>
      </c>
      <c r="Q153" t="s">
        <v>125</v>
      </c>
      <c r="R153" t="s">
        <v>126</v>
      </c>
      <c r="S153" t="s">
        <v>127</v>
      </c>
      <c r="T153" t="s">
        <v>179</v>
      </c>
    </row>
    <row r="154" spans="2:20" x14ac:dyDescent="0.25">
      <c r="B154" t="s">
        <v>165</v>
      </c>
      <c r="C154">
        <v>50</v>
      </c>
      <c r="D154">
        <v>16</v>
      </c>
      <c r="E154">
        <v>0.75800000000000001</v>
      </c>
      <c r="F154" t="s">
        <v>9</v>
      </c>
      <c r="G154">
        <v>103.7</v>
      </c>
      <c r="H154">
        <v>96.5</v>
      </c>
      <c r="I154">
        <v>7.28</v>
      </c>
      <c r="J154">
        <f>West2012[[#This Row],[SRS]]-MIN($I$137:$I$168)</f>
        <v>21.240000000000002</v>
      </c>
      <c r="L154" t="s">
        <v>165</v>
      </c>
      <c r="M154">
        <v>61</v>
      </c>
      <c r="N154">
        <v>21</v>
      </c>
      <c r="O154">
        <v>0.74399999999999999</v>
      </c>
      <c r="P154" t="s">
        <v>9</v>
      </c>
      <c r="Q154">
        <v>103.7</v>
      </c>
      <c r="R154">
        <v>98</v>
      </c>
      <c r="S154">
        <v>5.86</v>
      </c>
      <c r="T154">
        <f>West2011[[#This Row],[SRS]]-MIN($S$137:$S$168)</f>
        <v>14.740000000000002</v>
      </c>
    </row>
    <row r="155" spans="2:20" x14ac:dyDescent="0.25">
      <c r="B155" t="s">
        <v>157</v>
      </c>
      <c r="C155">
        <v>47</v>
      </c>
      <c r="D155">
        <v>19</v>
      </c>
      <c r="E155">
        <v>0.71199999999999997</v>
      </c>
      <c r="F155" t="s">
        <v>9</v>
      </c>
      <c r="G155">
        <v>103.1</v>
      </c>
      <c r="H155">
        <v>96.9</v>
      </c>
      <c r="I155">
        <v>6.44</v>
      </c>
      <c r="J155">
        <f>West2012[[#This Row],[SRS]]-MIN($I$137:$I$168)</f>
        <v>20.400000000000002</v>
      </c>
      <c r="L155" t="s">
        <v>153</v>
      </c>
      <c r="M155">
        <v>57</v>
      </c>
      <c r="N155">
        <v>25</v>
      </c>
      <c r="O155">
        <v>0.69499999999999995</v>
      </c>
      <c r="P155" t="s">
        <v>9</v>
      </c>
      <c r="Q155">
        <v>101.5</v>
      </c>
      <c r="R155">
        <v>95.4</v>
      </c>
      <c r="S155">
        <v>6.01</v>
      </c>
      <c r="T155">
        <f>West2011[[#This Row],[SRS]]-MIN($S$137:$S$168)</f>
        <v>14.89</v>
      </c>
    </row>
    <row r="156" spans="2:20" x14ac:dyDescent="0.25">
      <c r="B156" t="s">
        <v>162</v>
      </c>
      <c r="C156">
        <v>41</v>
      </c>
      <c r="D156">
        <v>25</v>
      </c>
      <c r="E156">
        <v>0.621</v>
      </c>
      <c r="F156">
        <v>9</v>
      </c>
      <c r="G156">
        <v>95</v>
      </c>
      <c r="H156">
        <v>93</v>
      </c>
      <c r="I156">
        <v>2.4300000000000002</v>
      </c>
      <c r="J156">
        <f>West2012[[#This Row],[SRS]]-MIN($I$137:$I$168)</f>
        <v>16.39</v>
      </c>
      <c r="L156" t="s">
        <v>159</v>
      </c>
      <c r="M156">
        <v>57</v>
      </c>
      <c r="N156">
        <v>25</v>
      </c>
      <c r="O156">
        <v>0.69499999999999995</v>
      </c>
      <c r="P156">
        <v>4</v>
      </c>
      <c r="Q156">
        <v>100.2</v>
      </c>
      <c r="R156">
        <v>96</v>
      </c>
      <c r="S156">
        <v>4.41</v>
      </c>
      <c r="T156">
        <f>West2011[[#This Row],[SRS]]-MIN($S$137:$S$168)</f>
        <v>13.290000000000001</v>
      </c>
    </row>
    <row r="157" spans="2:20" x14ac:dyDescent="0.25">
      <c r="B157" t="s">
        <v>153</v>
      </c>
      <c r="C157">
        <v>41</v>
      </c>
      <c r="D157">
        <v>25</v>
      </c>
      <c r="E157">
        <v>0.621</v>
      </c>
      <c r="F157" t="s">
        <v>9</v>
      </c>
      <c r="G157">
        <v>97.3</v>
      </c>
      <c r="H157">
        <v>95.9</v>
      </c>
      <c r="I157">
        <v>1.96</v>
      </c>
      <c r="J157">
        <f>West2012[[#This Row],[SRS]]-MIN($I$137:$I$168)</f>
        <v>15.920000000000002</v>
      </c>
      <c r="L157" t="s">
        <v>157</v>
      </c>
      <c r="M157">
        <v>55</v>
      </c>
      <c r="N157">
        <v>27</v>
      </c>
      <c r="O157">
        <v>0.67100000000000004</v>
      </c>
      <c r="P157" t="s">
        <v>9</v>
      </c>
      <c r="Q157">
        <v>104.8</v>
      </c>
      <c r="R157">
        <v>101</v>
      </c>
      <c r="S157">
        <v>3.81</v>
      </c>
      <c r="T157">
        <f>West2011[[#This Row],[SRS]]-MIN($S$137:$S$168)</f>
        <v>12.690000000000001</v>
      </c>
    </row>
    <row r="158" spans="2:20" x14ac:dyDescent="0.25">
      <c r="B158" t="s">
        <v>154</v>
      </c>
      <c r="C158">
        <v>40</v>
      </c>
      <c r="D158">
        <v>26</v>
      </c>
      <c r="E158">
        <v>0.60599999999999998</v>
      </c>
      <c r="F158">
        <v>1</v>
      </c>
      <c r="G158">
        <v>97.5</v>
      </c>
      <c r="H158">
        <v>95</v>
      </c>
      <c r="I158">
        <v>2.82</v>
      </c>
      <c r="J158">
        <f>West2012[[#This Row],[SRS]]-MIN($I$137:$I$168)</f>
        <v>16.78</v>
      </c>
      <c r="L158" t="s">
        <v>155</v>
      </c>
      <c r="M158">
        <v>50</v>
      </c>
      <c r="N158">
        <v>32</v>
      </c>
      <c r="O158">
        <v>0.61</v>
      </c>
      <c r="P158">
        <v>5</v>
      </c>
      <c r="Q158">
        <v>107.5</v>
      </c>
      <c r="R158">
        <v>102.7</v>
      </c>
      <c r="S158">
        <v>4.8099999999999996</v>
      </c>
      <c r="T158">
        <f>West2011[[#This Row],[SRS]]-MIN($S$137:$S$168)</f>
        <v>13.690000000000001</v>
      </c>
    </row>
    <row r="159" spans="2:20" x14ac:dyDescent="0.25">
      <c r="B159" t="s">
        <v>155</v>
      </c>
      <c r="C159">
        <v>38</v>
      </c>
      <c r="D159">
        <v>28</v>
      </c>
      <c r="E159">
        <v>0.57599999999999996</v>
      </c>
      <c r="F159">
        <v>9</v>
      </c>
      <c r="G159">
        <v>104.1</v>
      </c>
      <c r="H159">
        <v>101.2</v>
      </c>
      <c r="I159">
        <v>3.16</v>
      </c>
      <c r="J159">
        <f>West2012[[#This Row],[SRS]]-MIN($I$137:$I$168)</f>
        <v>17.12</v>
      </c>
      <c r="L159" t="s">
        <v>160</v>
      </c>
      <c r="M159">
        <v>48</v>
      </c>
      <c r="N159">
        <v>34</v>
      </c>
      <c r="O159">
        <v>0.58499999999999996</v>
      </c>
      <c r="P159">
        <v>7</v>
      </c>
      <c r="Q159">
        <v>96.3</v>
      </c>
      <c r="R159">
        <v>94.8</v>
      </c>
      <c r="S159">
        <v>1.85</v>
      </c>
      <c r="T159">
        <f>West2011[[#This Row],[SRS]]-MIN($S$137:$S$168)</f>
        <v>10.73</v>
      </c>
    </row>
    <row r="160" spans="2:20" x14ac:dyDescent="0.25">
      <c r="B160" t="s">
        <v>158</v>
      </c>
      <c r="C160">
        <v>36</v>
      </c>
      <c r="D160">
        <v>30</v>
      </c>
      <c r="E160">
        <v>0.54500000000000004</v>
      </c>
      <c r="F160">
        <v>11</v>
      </c>
      <c r="G160">
        <v>99.7</v>
      </c>
      <c r="H160">
        <v>99</v>
      </c>
      <c r="I160">
        <v>0.92</v>
      </c>
      <c r="J160">
        <f>West2012[[#This Row],[SRS]]-MIN($I$137:$I$168)</f>
        <v>14.88</v>
      </c>
      <c r="L160" t="s">
        <v>169</v>
      </c>
      <c r="M160">
        <v>46</v>
      </c>
      <c r="N160">
        <v>36</v>
      </c>
      <c r="O160">
        <v>0.56100000000000005</v>
      </c>
      <c r="P160">
        <v>15</v>
      </c>
      <c r="Q160">
        <v>94.9</v>
      </c>
      <c r="R160">
        <v>94</v>
      </c>
      <c r="S160">
        <v>1.28</v>
      </c>
      <c r="T160">
        <f>West2011[[#This Row],[SRS]]-MIN($S$137:$S$168)</f>
        <v>10.16</v>
      </c>
    </row>
    <row r="161" spans="1:20" x14ac:dyDescent="0.25">
      <c r="B161" t="s">
        <v>159</v>
      </c>
      <c r="C161">
        <v>36</v>
      </c>
      <c r="D161">
        <v>30</v>
      </c>
      <c r="E161">
        <v>0.54500000000000004</v>
      </c>
      <c r="F161">
        <v>14</v>
      </c>
      <c r="G161">
        <v>95.8</v>
      </c>
      <c r="H161">
        <v>94.8</v>
      </c>
      <c r="I161">
        <v>1.78</v>
      </c>
      <c r="J161">
        <f>West2012[[#This Row],[SRS]]-MIN($I$137:$I$168)</f>
        <v>15.74</v>
      </c>
      <c r="L161" t="s">
        <v>162</v>
      </c>
      <c r="M161">
        <v>46</v>
      </c>
      <c r="N161">
        <v>36</v>
      </c>
      <c r="O161">
        <v>0.56100000000000005</v>
      </c>
      <c r="P161">
        <v>15</v>
      </c>
      <c r="Q161">
        <v>99.9</v>
      </c>
      <c r="R161">
        <v>97.6</v>
      </c>
      <c r="S161">
        <v>2.5499999999999998</v>
      </c>
      <c r="T161">
        <f>West2011[[#This Row],[SRS]]-MIN($S$137:$S$168)</f>
        <v>11.43</v>
      </c>
    </row>
    <row r="162" spans="1:20" x14ac:dyDescent="0.25">
      <c r="B162" t="s">
        <v>156</v>
      </c>
      <c r="C162">
        <v>34</v>
      </c>
      <c r="D162">
        <v>32</v>
      </c>
      <c r="E162">
        <v>0.51500000000000001</v>
      </c>
      <c r="F162">
        <v>16</v>
      </c>
      <c r="G162">
        <v>98.1</v>
      </c>
      <c r="H162">
        <v>97.9</v>
      </c>
      <c r="I162">
        <v>0.56999999999999995</v>
      </c>
      <c r="J162">
        <f>West2012[[#This Row],[SRS]]-MIN($I$137:$I$168)</f>
        <v>14.530000000000001</v>
      </c>
      <c r="L162" t="s">
        <v>156</v>
      </c>
      <c r="M162">
        <v>43</v>
      </c>
      <c r="N162">
        <v>39</v>
      </c>
      <c r="O162">
        <v>0.52400000000000002</v>
      </c>
      <c r="P162">
        <v>18</v>
      </c>
      <c r="Q162">
        <v>105.9</v>
      </c>
      <c r="R162">
        <v>103.7</v>
      </c>
      <c r="S162">
        <v>2.37</v>
      </c>
      <c r="T162">
        <f>West2011[[#This Row],[SRS]]-MIN($S$137:$S$168)</f>
        <v>11.25</v>
      </c>
    </row>
    <row r="163" spans="1:20" x14ac:dyDescent="0.25">
      <c r="B163" t="s">
        <v>164</v>
      </c>
      <c r="C163">
        <v>33</v>
      </c>
      <c r="D163">
        <v>33</v>
      </c>
      <c r="E163">
        <v>0.5</v>
      </c>
      <c r="F163">
        <v>8</v>
      </c>
      <c r="G163">
        <v>98.4</v>
      </c>
      <c r="H163">
        <v>98.6</v>
      </c>
      <c r="I163">
        <v>0.28999999999999998</v>
      </c>
      <c r="J163">
        <f>West2012[[#This Row],[SRS]]-MIN($I$137:$I$168)</f>
        <v>14.25</v>
      </c>
      <c r="L163" t="s">
        <v>164</v>
      </c>
      <c r="M163">
        <v>40</v>
      </c>
      <c r="N163">
        <v>42</v>
      </c>
      <c r="O163">
        <v>0.48799999999999999</v>
      </c>
      <c r="P163">
        <v>17</v>
      </c>
      <c r="Q163">
        <v>105</v>
      </c>
      <c r="R163">
        <v>105.9</v>
      </c>
      <c r="S163">
        <v>-0.46</v>
      </c>
      <c r="T163">
        <f>West2011[[#This Row],[SRS]]-MIN($S$137:$S$168)</f>
        <v>8.42</v>
      </c>
    </row>
    <row r="164" spans="1:20" x14ac:dyDescent="0.25">
      <c r="B164" t="s">
        <v>160</v>
      </c>
      <c r="C164">
        <v>28</v>
      </c>
      <c r="D164">
        <v>38</v>
      </c>
      <c r="E164">
        <v>0.42399999999999999</v>
      </c>
      <c r="F164">
        <v>19</v>
      </c>
      <c r="G164">
        <v>97.2</v>
      </c>
      <c r="H164">
        <v>97.8</v>
      </c>
      <c r="I164">
        <v>-0.22</v>
      </c>
      <c r="J164">
        <f>West2012[[#This Row],[SRS]]-MIN($I$137:$I$168)</f>
        <v>13.74</v>
      </c>
      <c r="L164" t="s">
        <v>158</v>
      </c>
      <c r="M164">
        <v>39</v>
      </c>
      <c r="N164">
        <v>43</v>
      </c>
      <c r="O164">
        <v>0.47599999999999998</v>
      </c>
      <c r="P164">
        <v>16</v>
      </c>
      <c r="Q164">
        <v>99.4</v>
      </c>
      <c r="R164">
        <v>101.3</v>
      </c>
      <c r="S164">
        <v>-1.44</v>
      </c>
      <c r="T164">
        <f>West2011[[#This Row],[SRS]]-MIN($S$137:$S$168)</f>
        <v>7.4400000000000013</v>
      </c>
    </row>
    <row r="165" spans="1:20" x14ac:dyDescent="0.25">
      <c r="B165" t="s">
        <v>171</v>
      </c>
      <c r="C165">
        <v>26</v>
      </c>
      <c r="D165">
        <v>40</v>
      </c>
      <c r="E165">
        <v>0.39400000000000002</v>
      </c>
      <c r="F165">
        <v>21</v>
      </c>
      <c r="G165">
        <v>97.9</v>
      </c>
      <c r="H165">
        <v>100.1</v>
      </c>
      <c r="I165">
        <v>-1.83</v>
      </c>
      <c r="J165">
        <f>West2012[[#This Row],[SRS]]-MIN($I$137:$I$168)</f>
        <v>12.13</v>
      </c>
      <c r="L165" t="s">
        <v>173</v>
      </c>
      <c r="M165">
        <v>36</v>
      </c>
      <c r="N165">
        <v>46</v>
      </c>
      <c r="O165">
        <v>0.439</v>
      </c>
      <c r="P165">
        <v>21</v>
      </c>
      <c r="Q165">
        <v>103.4</v>
      </c>
      <c r="R165">
        <v>105.7</v>
      </c>
      <c r="S165">
        <v>-2</v>
      </c>
      <c r="T165">
        <f>West2011[[#This Row],[SRS]]-MIN($S$137:$S$168)</f>
        <v>6.8800000000000008</v>
      </c>
    </row>
    <row r="166" spans="1:20" x14ac:dyDescent="0.25">
      <c r="B166" t="s">
        <v>173</v>
      </c>
      <c r="C166">
        <v>23</v>
      </c>
      <c r="D166">
        <v>43</v>
      </c>
      <c r="E166">
        <v>0.34799999999999998</v>
      </c>
      <c r="F166">
        <v>18</v>
      </c>
      <c r="G166">
        <v>97.8</v>
      </c>
      <c r="H166">
        <v>101.2</v>
      </c>
      <c r="I166">
        <v>-2.79</v>
      </c>
      <c r="J166">
        <f>West2012[[#This Row],[SRS]]-MIN($I$137:$I$168)</f>
        <v>11.170000000000002</v>
      </c>
      <c r="L166" t="s">
        <v>154</v>
      </c>
      <c r="M166">
        <v>32</v>
      </c>
      <c r="N166">
        <v>50</v>
      </c>
      <c r="O166">
        <v>0.39</v>
      </c>
      <c r="P166">
        <v>25</v>
      </c>
      <c r="Q166">
        <v>98.6</v>
      </c>
      <c r="R166">
        <v>101.8</v>
      </c>
      <c r="S166">
        <v>-2.71</v>
      </c>
      <c r="T166">
        <f>West2011[[#This Row],[SRS]]-MIN($S$137:$S$168)</f>
        <v>6.1700000000000008</v>
      </c>
    </row>
    <row r="167" spans="1:20" x14ac:dyDescent="0.25">
      <c r="B167" t="s">
        <v>167</v>
      </c>
      <c r="C167">
        <v>22</v>
      </c>
      <c r="D167">
        <v>44</v>
      </c>
      <c r="E167">
        <v>0.33300000000000002</v>
      </c>
      <c r="F167">
        <v>19</v>
      </c>
      <c r="G167">
        <v>98.8</v>
      </c>
      <c r="H167">
        <v>104.4</v>
      </c>
      <c r="I167">
        <v>-4.95</v>
      </c>
      <c r="J167">
        <f>West2012[[#This Row],[SRS]]-MIN($I$137:$I$168)</f>
        <v>9.0100000000000016</v>
      </c>
      <c r="L167" t="s">
        <v>167</v>
      </c>
      <c r="M167">
        <v>24</v>
      </c>
      <c r="N167">
        <v>58</v>
      </c>
      <c r="O167">
        <v>0.29299999999999998</v>
      </c>
      <c r="P167">
        <v>33</v>
      </c>
      <c r="Q167">
        <v>99.4</v>
      </c>
      <c r="R167">
        <v>104.7</v>
      </c>
      <c r="S167">
        <v>-4.8</v>
      </c>
      <c r="T167">
        <f>West2011[[#This Row],[SRS]]-MIN($S$137:$S$168)</f>
        <v>4.080000000000001</v>
      </c>
    </row>
    <row r="168" spans="1:20" x14ac:dyDescent="0.25">
      <c r="B168" t="s">
        <v>169</v>
      </c>
      <c r="C168">
        <v>21</v>
      </c>
      <c r="D168">
        <v>45</v>
      </c>
      <c r="E168">
        <v>0.318</v>
      </c>
      <c r="F168">
        <v>29</v>
      </c>
      <c r="G168">
        <v>89.6</v>
      </c>
      <c r="H168">
        <v>93.4</v>
      </c>
      <c r="I168">
        <v>-3.11</v>
      </c>
      <c r="J168">
        <f>West2012[[#This Row],[SRS]]-MIN($I$137:$I$168)</f>
        <v>10.850000000000001</v>
      </c>
      <c r="L168" t="s">
        <v>171</v>
      </c>
      <c r="M168">
        <v>17</v>
      </c>
      <c r="N168">
        <v>65</v>
      </c>
      <c r="O168">
        <v>0.20699999999999999</v>
      </c>
      <c r="P168">
        <v>38</v>
      </c>
      <c r="Q168">
        <v>101.1</v>
      </c>
      <c r="R168">
        <v>107.7</v>
      </c>
      <c r="S168">
        <v>-5.97</v>
      </c>
      <c r="T168">
        <f>West2011[[#This Row],[SRS]]-MIN($S$137:$S$168)</f>
        <v>2.910000000000001</v>
      </c>
    </row>
    <row r="170" spans="1:20" x14ac:dyDescent="0.25">
      <c r="A170" t="s">
        <v>255</v>
      </c>
      <c r="B170" t="s">
        <v>0</v>
      </c>
      <c r="C170" t="s">
        <v>1</v>
      </c>
      <c r="D170" t="s">
        <v>2</v>
      </c>
      <c r="E170" t="s">
        <v>175</v>
      </c>
      <c r="F170" t="s">
        <v>4</v>
      </c>
      <c r="G170" t="s">
        <v>125</v>
      </c>
      <c r="H170" t="s">
        <v>126</v>
      </c>
      <c r="I170" t="s">
        <v>127</v>
      </c>
      <c r="J170" t="s">
        <v>179</v>
      </c>
      <c r="K170" t="s">
        <v>256</v>
      </c>
      <c r="L170" t="s">
        <v>0</v>
      </c>
      <c r="M170" t="s">
        <v>1</v>
      </c>
      <c r="N170" t="s">
        <v>2</v>
      </c>
      <c r="O170" t="s">
        <v>175</v>
      </c>
      <c r="P170" t="s">
        <v>4</v>
      </c>
      <c r="Q170" t="s">
        <v>125</v>
      </c>
      <c r="R170" t="s">
        <v>126</v>
      </c>
      <c r="S170" t="s">
        <v>127</v>
      </c>
      <c r="T170" t="s">
        <v>179</v>
      </c>
    </row>
    <row r="171" spans="1:20" x14ac:dyDescent="0.25">
      <c r="B171" t="s">
        <v>152</v>
      </c>
      <c r="C171">
        <v>61</v>
      </c>
      <c r="D171">
        <v>21</v>
      </c>
      <c r="E171">
        <v>0.74399999999999999</v>
      </c>
      <c r="F171" t="s">
        <v>9</v>
      </c>
      <c r="G171">
        <v>102.1</v>
      </c>
      <c r="H171">
        <v>95.6</v>
      </c>
      <c r="I171">
        <v>6.17</v>
      </c>
      <c r="J171">
        <f>East2010[[#This Row],[SRS]]-MIN($I$171:$I$202)</f>
        <v>15.23</v>
      </c>
      <c r="L171" t="s">
        <v>152</v>
      </c>
      <c r="M171">
        <v>66</v>
      </c>
      <c r="N171">
        <v>16</v>
      </c>
      <c r="O171">
        <v>0.80500000000000005</v>
      </c>
      <c r="P171" t="s">
        <v>9</v>
      </c>
      <c r="Q171">
        <v>100.3</v>
      </c>
      <c r="R171">
        <v>91.4</v>
      </c>
      <c r="S171">
        <v>8.68</v>
      </c>
      <c r="T171">
        <f>East2009[[#This Row],[SRS]]-MIN($S$171:$S$202)</f>
        <v>17.28</v>
      </c>
    </row>
    <row r="172" spans="1:20" x14ac:dyDescent="0.25">
      <c r="B172" t="s">
        <v>138</v>
      </c>
      <c r="C172">
        <v>59</v>
      </c>
      <c r="D172">
        <v>23</v>
      </c>
      <c r="E172">
        <v>0.72</v>
      </c>
      <c r="F172" t="s">
        <v>9</v>
      </c>
      <c r="G172">
        <v>102.8</v>
      </c>
      <c r="H172">
        <v>95.3</v>
      </c>
      <c r="I172">
        <v>7.12</v>
      </c>
      <c r="J172">
        <f>East2010[[#This Row],[SRS]]-MIN($I$171:$I$202)</f>
        <v>16.18</v>
      </c>
      <c r="L172" t="s">
        <v>130</v>
      </c>
      <c r="M172">
        <v>62</v>
      </c>
      <c r="N172">
        <v>20</v>
      </c>
      <c r="O172">
        <v>0.75600000000000001</v>
      </c>
      <c r="P172" t="s">
        <v>9</v>
      </c>
      <c r="Q172">
        <v>100.9</v>
      </c>
      <c r="R172">
        <v>93.4</v>
      </c>
      <c r="S172">
        <v>7.44</v>
      </c>
      <c r="T172">
        <f>East2009[[#This Row],[SRS]]-MIN($S$171:$S$202)</f>
        <v>16.04</v>
      </c>
    </row>
    <row r="173" spans="1:20" x14ac:dyDescent="0.25">
      <c r="B173" t="s">
        <v>150</v>
      </c>
      <c r="C173">
        <v>53</v>
      </c>
      <c r="D173">
        <v>29</v>
      </c>
      <c r="E173">
        <v>0.64600000000000002</v>
      </c>
      <c r="F173">
        <v>6</v>
      </c>
      <c r="G173">
        <v>101.7</v>
      </c>
      <c r="H173">
        <v>97</v>
      </c>
      <c r="I173">
        <v>4.4400000000000004</v>
      </c>
      <c r="J173">
        <f>East2010[[#This Row],[SRS]]-MIN($I$171:$I$202)</f>
        <v>13.5</v>
      </c>
      <c r="L173" t="s">
        <v>138</v>
      </c>
      <c r="M173">
        <v>59</v>
      </c>
      <c r="N173">
        <v>23</v>
      </c>
      <c r="O173">
        <v>0.72</v>
      </c>
      <c r="P173" t="s">
        <v>9</v>
      </c>
      <c r="Q173">
        <v>101</v>
      </c>
      <c r="R173">
        <v>94.4</v>
      </c>
      <c r="S173">
        <v>6.48</v>
      </c>
      <c r="T173">
        <f>East2009[[#This Row],[SRS]]-MIN($S$171:$S$202)</f>
        <v>15.08</v>
      </c>
    </row>
    <row r="174" spans="1:20" x14ac:dyDescent="0.25">
      <c r="B174" t="s">
        <v>130</v>
      </c>
      <c r="C174">
        <v>50</v>
      </c>
      <c r="D174">
        <v>32</v>
      </c>
      <c r="E174">
        <v>0.61</v>
      </c>
      <c r="F174" t="s">
        <v>9</v>
      </c>
      <c r="G174">
        <v>99.2</v>
      </c>
      <c r="H174">
        <v>95.6</v>
      </c>
      <c r="I174">
        <v>3.37</v>
      </c>
      <c r="J174">
        <f>East2010[[#This Row],[SRS]]-MIN($I$171:$I$202)</f>
        <v>12.43</v>
      </c>
      <c r="L174" t="s">
        <v>150</v>
      </c>
      <c r="M174">
        <v>47</v>
      </c>
      <c r="N174">
        <v>35</v>
      </c>
      <c r="O174">
        <v>0.57299999999999995</v>
      </c>
      <c r="P174">
        <v>12</v>
      </c>
      <c r="Q174">
        <v>98.1</v>
      </c>
      <c r="R174">
        <v>96.5</v>
      </c>
      <c r="S174">
        <v>1.7</v>
      </c>
      <c r="T174">
        <f>East2009[[#This Row],[SRS]]-MIN($S$171:$S$202)</f>
        <v>10.299999999999999</v>
      </c>
    </row>
    <row r="175" spans="1:20" x14ac:dyDescent="0.25">
      <c r="B175" t="s">
        <v>132</v>
      </c>
      <c r="C175">
        <v>47</v>
      </c>
      <c r="D175">
        <v>35</v>
      </c>
      <c r="E175">
        <v>0.57299999999999995</v>
      </c>
      <c r="F175">
        <v>12</v>
      </c>
      <c r="G175">
        <v>96.5</v>
      </c>
      <c r="H175">
        <v>94.2</v>
      </c>
      <c r="I175">
        <v>1.99</v>
      </c>
      <c r="J175">
        <f>East2010[[#This Row],[SRS]]-MIN($I$171:$I$202)</f>
        <v>11.05</v>
      </c>
      <c r="L175" t="s">
        <v>132</v>
      </c>
      <c r="M175">
        <v>43</v>
      </c>
      <c r="N175">
        <v>39</v>
      </c>
      <c r="O175">
        <v>0.52400000000000002</v>
      </c>
      <c r="P175">
        <v>16</v>
      </c>
      <c r="Q175">
        <v>98.3</v>
      </c>
      <c r="R175">
        <v>98</v>
      </c>
      <c r="S175">
        <v>0.49</v>
      </c>
      <c r="T175">
        <f>East2009[[#This Row],[SRS]]-MIN($S$171:$S$202)</f>
        <v>9.09</v>
      </c>
    </row>
    <row r="176" spans="1:20" x14ac:dyDescent="0.25">
      <c r="B176" t="s">
        <v>128</v>
      </c>
      <c r="C176">
        <v>46</v>
      </c>
      <c r="D176">
        <v>36</v>
      </c>
      <c r="E176">
        <v>0.56100000000000005</v>
      </c>
      <c r="F176">
        <v>15</v>
      </c>
      <c r="G176">
        <v>97.7</v>
      </c>
      <c r="H176">
        <v>96</v>
      </c>
      <c r="I176">
        <v>1.37</v>
      </c>
      <c r="J176">
        <f>East2010[[#This Row],[SRS]]-MIN($I$171:$I$202)</f>
        <v>10.43</v>
      </c>
      <c r="L176" t="s">
        <v>134</v>
      </c>
      <c r="M176">
        <v>41</v>
      </c>
      <c r="N176">
        <v>41</v>
      </c>
      <c r="O176">
        <v>0.5</v>
      </c>
      <c r="P176">
        <v>21</v>
      </c>
      <c r="Q176">
        <v>97.4</v>
      </c>
      <c r="R176">
        <v>97.3</v>
      </c>
      <c r="S176">
        <v>0.16</v>
      </c>
      <c r="T176">
        <f>East2009[[#This Row],[SRS]]-MIN($S$171:$S$202)</f>
        <v>8.76</v>
      </c>
    </row>
    <row r="177" spans="2:20" x14ac:dyDescent="0.25">
      <c r="B177" t="s">
        <v>140</v>
      </c>
      <c r="C177">
        <v>44</v>
      </c>
      <c r="D177">
        <v>38</v>
      </c>
      <c r="E177">
        <v>0.53700000000000003</v>
      </c>
      <c r="F177">
        <v>15</v>
      </c>
      <c r="G177">
        <v>95.3</v>
      </c>
      <c r="H177">
        <v>93.8</v>
      </c>
      <c r="I177">
        <v>1.3</v>
      </c>
      <c r="J177">
        <f>East2010[[#This Row],[SRS]]-MIN($I$171:$I$202)</f>
        <v>10.360000000000001</v>
      </c>
      <c r="L177" t="s">
        <v>144</v>
      </c>
      <c r="M177">
        <v>41</v>
      </c>
      <c r="N177">
        <v>41</v>
      </c>
      <c r="O177">
        <v>0.5</v>
      </c>
      <c r="P177">
        <v>25</v>
      </c>
      <c r="Q177">
        <v>102.2</v>
      </c>
      <c r="R177">
        <v>102.5</v>
      </c>
      <c r="S177">
        <v>-0.16</v>
      </c>
      <c r="T177">
        <f>East2009[[#This Row],[SRS]]-MIN($S$171:$S$202)</f>
        <v>8.44</v>
      </c>
    </row>
    <row r="178" spans="2:20" x14ac:dyDescent="0.25">
      <c r="B178" t="s">
        <v>144</v>
      </c>
      <c r="C178">
        <v>41</v>
      </c>
      <c r="D178">
        <v>41</v>
      </c>
      <c r="E178">
        <v>0.5</v>
      </c>
      <c r="F178">
        <v>20</v>
      </c>
      <c r="G178">
        <v>97.5</v>
      </c>
      <c r="H178">
        <v>99.1</v>
      </c>
      <c r="I178">
        <v>-1.64</v>
      </c>
      <c r="J178">
        <f>East2010[[#This Row],[SRS]]-MIN($I$171:$I$202)</f>
        <v>7.4200000000000008</v>
      </c>
      <c r="L178" t="s">
        <v>148</v>
      </c>
      <c r="M178">
        <v>39</v>
      </c>
      <c r="N178">
        <v>43</v>
      </c>
      <c r="O178">
        <v>0.47599999999999998</v>
      </c>
      <c r="P178">
        <v>27</v>
      </c>
      <c r="Q178">
        <v>94.2</v>
      </c>
      <c r="R178">
        <v>94.7</v>
      </c>
      <c r="S178">
        <v>-0.36</v>
      </c>
      <c r="T178">
        <f>East2009[[#This Row],[SRS]]-MIN($S$171:$S$202)</f>
        <v>8.24</v>
      </c>
    </row>
    <row r="179" spans="2:20" x14ac:dyDescent="0.25">
      <c r="B179" t="s">
        <v>129</v>
      </c>
      <c r="C179">
        <v>40</v>
      </c>
      <c r="D179">
        <v>42</v>
      </c>
      <c r="E179">
        <v>0.48799999999999999</v>
      </c>
      <c r="F179">
        <v>10</v>
      </c>
      <c r="G179">
        <v>104.1</v>
      </c>
      <c r="H179">
        <v>105.9</v>
      </c>
      <c r="I179">
        <v>-1.83</v>
      </c>
      <c r="J179">
        <f>East2010[[#This Row],[SRS]]-MIN($I$171:$I$202)</f>
        <v>7.23</v>
      </c>
      <c r="L179" t="s">
        <v>131</v>
      </c>
      <c r="M179">
        <v>36</v>
      </c>
      <c r="N179">
        <v>46</v>
      </c>
      <c r="O179">
        <v>0.439</v>
      </c>
      <c r="P179">
        <v>30</v>
      </c>
      <c r="Q179">
        <v>105.1</v>
      </c>
      <c r="R179">
        <v>106.2</v>
      </c>
      <c r="S179">
        <v>-0.76</v>
      </c>
      <c r="T179">
        <f>East2009[[#This Row],[SRS]]-MIN($S$171:$S$202)</f>
        <v>7.84</v>
      </c>
    </row>
    <row r="180" spans="2:20" x14ac:dyDescent="0.25">
      <c r="B180" t="s">
        <v>131</v>
      </c>
      <c r="C180">
        <v>32</v>
      </c>
      <c r="D180">
        <v>50</v>
      </c>
      <c r="E180">
        <v>0.39</v>
      </c>
      <c r="F180">
        <v>29</v>
      </c>
      <c r="G180">
        <v>100.8</v>
      </c>
      <c r="H180">
        <v>103.8</v>
      </c>
      <c r="I180">
        <v>-3.11</v>
      </c>
      <c r="J180">
        <f>East2010[[#This Row],[SRS]]-MIN($I$171:$I$202)</f>
        <v>5.9500000000000011</v>
      </c>
      <c r="L180" t="s">
        <v>140</v>
      </c>
      <c r="M180">
        <v>35</v>
      </c>
      <c r="N180">
        <v>47</v>
      </c>
      <c r="O180">
        <v>0.42699999999999999</v>
      </c>
      <c r="P180">
        <v>24</v>
      </c>
      <c r="Q180">
        <v>93.6</v>
      </c>
      <c r="R180">
        <v>94.9</v>
      </c>
      <c r="S180">
        <v>-1.2</v>
      </c>
      <c r="T180">
        <f>East2009[[#This Row],[SRS]]-MIN($S$171:$S$202)</f>
        <v>7.3999999999999995</v>
      </c>
    </row>
    <row r="181" spans="2:20" x14ac:dyDescent="0.25">
      <c r="B181" t="s">
        <v>146</v>
      </c>
      <c r="C181">
        <v>29</v>
      </c>
      <c r="D181">
        <v>53</v>
      </c>
      <c r="E181">
        <v>0.35399999999999998</v>
      </c>
      <c r="F181">
        <v>21</v>
      </c>
      <c r="G181">
        <v>102.1</v>
      </c>
      <c r="H181">
        <v>105.9</v>
      </c>
      <c r="I181">
        <v>-4.01</v>
      </c>
      <c r="J181">
        <f>East2010[[#This Row],[SRS]]-MIN($I$171:$I$202)</f>
        <v>5.0500000000000007</v>
      </c>
      <c r="L181" t="s">
        <v>136</v>
      </c>
      <c r="M181">
        <v>34</v>
      </c>
      <c r="N181">
        <v>48</v>
      </c>
      <c r="O181">
        <v>0.41499999999999998</v>
      </c>
      <c r="P181">
        <v>28</v>
      </c>
      <c r="Q181">
        <v>98.1</v>
      </c>
      <c r="R181">
        <v>100.5</v>
      </c>
      <c r="S181">
        <v>-2.31</v>
      </c>
      <c r="T181">
        <f>East2009[[#This Row],[SRS]]-MIN($S$171:$S$202)</f>
        <v>6.2899999999999991</v>
      </c>
    </row>
    <row r="182" spans="2:20" x14ac:dyDescent="0.25">
      <c r="B182" t="s">
        <v>134</v>
      </c>
      <c r="C182">
        <v>27</v>
      </c>
      <c r="D182">
        <v>55</v>
      </c>
      <c r="E182">
        <v>0.32900000000000001</v>
      </c>
      <c r="F182">
        <v>23</v>
      </c>
      <c r="G182">
        <v>97.7</v>
      </c>
      <c r="H182">
        <v>101.6</v>
      </c>
      <c r="I182">
        <v>-3.93</v>
      </c>
      <c r="J182">
        <f>East2010[[#This Row],[SRS]]-MIN($I$171:$I$202)</f>
        <v>5.1300000000000008</v>
      </c>
      <c r="L182" t="s">
        <v>128</v>
      </c>
      <c r="M182">
        <v>34</v>
      </c>
      <c r="N182">
        <v>48</v>
      </c>
      <c r="O182">
        <v>0.41499999999999998</v>
      </c>
      <c r="P182">
        <v>32</v>
      </c>
      <c r="Q182">
        <v>99.3</v>
      </c>
      <c r="R182">
        <v>100.4</v>
      </c>
      <c r="S182">
        <v>-0.88</v>
      </c>
      <c r="T182">
        <f>East2009[[#This Row],[SRS]]-MIN($S$171:$S$202)</f>
        <v>7.72</v>
      </c>
    </row>
    <row r="183" spans="2:20" x14ac:dyDescent="0.25">
      <c r="B183" t="s">
        <v>148</v>
      </c>
      <c r="C183">
        <v>27</v>
      </c>
      <c r="D183">
        <v>55</v>
      </c>
      <c r="E183">
        <v>0.32900000000000001</v>
      </c>
      <c r="F183">
        <v>34</v>
      </c>
      <c r="G183">
        <v>94</v>
      </c>
      <c r="H183">
        <v>99.1</v>
      </c>
      <c r="I183">
        <v>-5.0199999999999996</v>
      </c>
      <c r="J183">
        <f>East2010[[#This Row],[SRS]]-MIN($I$171:$I$202)</f>
        <v>4.0400000000000009</v>
      </c>
      <c r="L183" t="s">
        <v>129</v>
      </c>
      <c r="M183">
        <v>33</v>
      </c>
      <c r="N183">
        <v>49</v>
      </c>
      <c r="O183">
        <v>0.40200000000000002</v>
      </c>
      <c r="P183">
        <v>29</v>
      </c>
      <c r="Q183">
        <v>99</v>
      </c>
      <c r="R183">
        <v>101.9</v>
      </c>
      <c r="S183">
        <v>-2.54</v>
      </c>
      <c r="T183">
        <f>East2009[[#This Row],[SRS]]-MIN($S$171:$S$202)</f>
        <v>6.06</v>
      </c>
    </row>
    <row r="184" spans="2:20" x14ac:dyDescent="0.25">
      <c r="B184" t="s">
        <v>142</v>
      </c>
      <c r="C184">
        <v>26</v>
      </c>
      <c r="D184">
        <v>56</v>
      </c>
      <c r="E184">
        <v>0.317</v>
      </c>
      <c r="F184">
        <v>33</v>
      </c>
      <c r="G184">
        <v>96.2</v>
      </c>
      <c r="H184">
        <v>101</v>
      </c>
      <c r="I184">
        <v>-4.72</v>
      </c>
      <c r="J184">
        <f>East2010[[#This Row],[SRS]]-MIN($I$171:$I$202)</f>
        <v>4.3400000000000007</v>
      </c>
      <c r="L184" t="s">
        <v>146</v>
      </c>
      <c r="M184">
        <v>32</v>
      </c>
      <c r="N184">
        <v>50</v>
      </c>
      <c r="O184">
        <v>0.39</v>
      </c>
      <c r="P184">
        <v>30</v>
      </c>
      <c r="Q184">
        <v>105.2</v>
      </c>
      <c r="R184">
        <v>107.8</v>
      </c>
      <c r="S184">
        <v>-2.33</v>
      </c>
      <c r="T184">
        <f>East2009[[#This Row],[SRS]]-MIN($S$171:$S$202)</f>
        <v>6.27</v>
      </c>
    </row>
    <row r="185" spans="2:20" x14ac:dyDescent="0.25">
      <c r="B185" t="s">
        <v>136</v>
      </c>
      <c r="C185">
        <v>12</v>
      </c>
      <c r="D185">
        <v>70</v>
      </c>
      <c r="E185">
        <v>0.14599999999999999</v>
      </c>
      <c r="F185">
        <v>38</v>
      </c>
      <c r="G185">
        <v>92.4</v>
      </c>
      <c r="H185">
        <v>101.5</v>
      </c>
      <c r="I185">
        <v>-8.93</v>
      </c>
      <c r="J185">
        <f>East2010[[#This Row],[SRS]]-MIN($I$171:$I$202)</f>
        <v>0.13000000000000078</v>
      </c>
      <c r="L185" t="s">
        <v>142</v>
      </c>
      <c r="M185">
        <v>19</v>
      </c>
      <c r="N185">
        <v>63</v>
      </c>
      <c r="O185">
        <v>0.23200000000000001</v>
      </c>
      <c r="P185">
        <v>40</v>
      </c>
      <c r="Q185">
        <v>96.1</v>
      </c>
      <c r="R185">
        <v>103.5</v>
      </c>
      <c r="S185">
        <v>-6.98</v>
      </c>
      <c r="T185">
        <f>East2009[[#This Row],[SRS]]-MIN($S$171:$S$202)</f>
        <v>1.6199999999999992</v>
      </c>
    </row>
    <row r="187" spans="2:20" x14ac:dyDescent="0.25">
      <c r="B187" t="s">
        <v>0</v>
      </c>
      <c r="C187" t="s">
        <v>1</v>
      </c>
      <c r="D187" t="s">
        <v>2</v>
      </c>
      <c r="E187" t="s">
        <v>175</v>
      </c>
      <c r="F187" t="s">
        <v>4</v>
      </c>
      <c r="G187" t="s">
        <v>125</v>
      </c>
      <c r="H187" t="s">
        <v>126</v>
      </c>
      <c r="I187" t="s">
        <v>127</v>
      </c>
      <c r="J187" t="s">
        <v>179</v>
      </c>
      <c r="L187" t="s">
        <v>0</v>
      </c>
      <c r="M187" t="s">
        <v>1</v>
      </c>
      <c r="N187" t="s">
        <v>2</v>
      </c>
      <c r="O187" t="s">
        <v>175</v>
      </c>
      <c r="P187" t="s">
        <v>4</v>
      </c>
      <c r="Q187" t="s">
        <v>125</v>
      </c>
      <c r="R187" t="s">
        <v>126</v>
      </c>
      <c r="S187" t="s">
        <v>127</v>
      </c>
      <c r="T187" t="s">
        <v>179</v>
      </c>
    </row>
    <row r="188" spans="2:20" x14ac:dyDescent="0.25">
      <c r="B188" t="s">
        <v>153</v>
      </c>
      <c r="C188">
        <v>57</v>
      </c>
      <c r="D188">
        <v>25</v>
      </c>
      <c r="E188">
        <v>0.69499999999999995</v>
      </c>
      <c r="F188" t="s">
        <v>9</v>
      </c>
      <c r="G188">
        <v>101.7</v>
      </c>
      <c r="H188">
        <v>97</v>
      </c>
      <c r="I188">
        <v>4.78</v>
      </c>
      <c r="J188">
        <f>West2010[[#This Row],[SRS]]-MIN($I$171:$I$202)</f>
        <v>13.84</v>
      </c>
      <c r="L188" t="s">
        <v>153</v>
      </c>
      <c r="M188">
        <v>65</v>
      </c>
      <c r="N188">
        <v>17</v>
      </c>
      <c r="O188">
        <v>0.79300000000000004</v>
      </c>
      <c r="P188" t="s">
        <v>9</v>
      </c>
      <c r="Q188">
        <v>106.9</v>
      </c>
      <c r="R188">
        <v>99.3</v>
      </c>
      <c r="S188">
        <v>7.11</v>
      </c>
      <c r="T188">
        <f>West2009[[#This Row],[SRS]]-MIN($S$171:$S$202)</f>
        <v>15.71</v>
      </c>
    </row>
    <row r="189" spans="2:20" x14ac:dyDescent="0.25">
      <c r="B189" t="s">
        <v>159</v>
      </c>
      <c r="C189">
        <v>55</v>
      </c>
      <c r="D189">
        <v>27</v>
      </c>
      <c r="E189">
        <v>0.67100000000000004</v>
      </c>
      <c r="F189" t="s">
        <v>9</v>
      </c>
      <c r="G189">
        <v>102</v>
      </c>
      <c r="H189">
        <v>99.3</v>
      </c>
      <c r="I189">
        <v>2.66</v>
      </c>
      <c r="J189">
        <f>West2010[[#This Row],[SRS]]-MIN($I$171:$I$202)</f>
        <v>11.72</v>
      </c>
      <c r="L189" t="s">
        <v>155</v>
      </c>
      <c r="M189">
        <v>54</v>
      </c>
      <c r="N189">
        <v>28</v>
      </c>
      <c r="O189">
        <v>0.65900000000000003</v>
      </c>
      <c r="P189" t="s">
        <v>9</v>
      </c>
      <c r="Q189">
        <v>104.3</v>
      </c>
      <c r="R189">
        <v>100.9</v>
      </c>
      <c r="S189">
        <v>3.13</v>
      </c>
      <c r="T189">
        <f>West2009[[#This Row],[SRS]]-MIN($S$171:$S$202)</f>
        <v>11.73</v>
      </c>
    </row>
    <row r="190" spans="2:20" x14ac:dyDescent="0.25">
      <c r="B190" t="s">
        <v>164</v>
      </c>
      <c r="C190">
        <v>54</v>
      </c>
      <c r="D190">
        <v>28</v>
      </c>
      <c r="E190">
        <v>0.65900000000000003</v>
      </c>
      <c r="F190">
        <v>3</v>
      </c>
      <c r="G190">
        <v>110.2</v>
      </c>
      <c r="H190">
        <v>105.3</v>
      </c>
      <c r="I190">
        <v>4.67</v>
      </c>
      <c r="J190">
        <f>West2010[[#This Row],[SRS]]-MIN($I$171:$I$202)</f>
        <v>13.73</v>
      </c>
      <c r="L190" t="s">
        <v>160</v>
      </c>
      <c r="M190">
        <v>54</v>
      </c>
      <c r="N190">
        <v>28</v>
      </c>
      <c r="O190">
        <v>0.65900000000000003</v>
      </c>
      <c r="P190" t="s">
        <v>9</v>
      </c>
      <c r="Q190">
        <v>99.4</v>
      </c>
      <c r="R190">
        <v>94.1</v>
      </c>
      <c r="S190">
        <v>5</v>
      </c>
      <c r="T190">
        <f>West2009[[#This Row],[SRS]]-MIN($S$171:$S$202)</f>
        <v>13.6</v>
      </c>
    </row>
    <row r="191" spans="2:20" x14ac:dyDescent="0.25">
      <c r="B191" t="s">
        <v>158</v>
      </c>
      <c r="C191">
        <v>53</v>
      </c>
      <c r="D191">
        <v>29</v>
      </c>
      <c r="E191">
        <v>0.64600000000000002</v>
      </c>
      <c r="F191" t="s">
        <v>9</v>
      </c>
      <c r="G191">
        <v>104.2</v>
      </c>
      <c r="H191">
        <v>98.9</v>
      </c>
      <c r="I191">
        <v>5.33</v>
      </c>
      <c r="J191">
        <f>West2010[[#This Row],[SRS]]-MIN($I$171:$I$202)</f>
        <v>14.39</v>
      </c>
      <c r="L191" t="s">
        <v>165</v>
      </c>
      <c r="M191">
        <v>54</v>
      </c>
      <c r="N191">
        <v>28</v>
      </c>
      <c r="O191">
        <v>0.65900000000000003</v>
      </c>
      <c r="P191" t="s">
        <v>9</v>
      </c>
      <c r="Q191">
        <v>97</v>
      </c>
      <c r="R191">
        <v>93.3</v>
      </c>
      <c r="S191">
        <v>3.36</v>
      </c>
      <c r="T191">
        <f>West2009[[#This Row],[SRS]]-MIN($S$171:$S$202)</f>
        <v>11.959999999999999</v>
      </c>
    </row>
    <row r="192" spans="2:20" x14ac:dyDescent="0.25">
      <c r="B192" t="s">
        <v>155</v>
      </c>
      <c r="C192">
        <v>53</v>
      </c>
      <c r="D192">
        <v>29</v>
      </c>
      <c r="E192">
        <v>0.64600000000000002</v>
      </c>
      <c r="F192" t="s">
        <v>9</v>
      </c>
      <c r="G192">
        <v>106.5</v>
      </c>
      <c r="H192">
        <v>102.4</v>
      </c>
      <c r="I192">
        <v>4.1500000000000004</v>
      </c>
      <c r="J192">
        <f>West2010[[#This Row],[SRS]]-MIN($I$171:$I$202)</f>
        <v>13.21</v>
      </c>
      <c r="L192" t="s">
        <v>156</v>
      </c>
      <c r="M192">
        <v>53</v>
      </c>
      <c r="N192">
        <v>29</v>
      </c>
      <c r="O192">
        <v>0.64600000000000002</v>
      </c>
      <c r="P192">
        <v>1</v>
      </c>
      <c r="Q192">
        <v>98.4</v>
      </c>
      <c r="R192">
        <v>94.4</v>
      </c>
      <c r="S192">
        <v>3.73</v>
      </c>
      <c r="T192">
        <f>West2009[[#This Row],[SRS]]-MIN($S$171:$S$202)</f>
        <v>12.33</v>
      </c>
    </row>
    <row r="193" spans="1:20" x14ac:dyDescent="0.25">
      <c r="B193" t="s">
        <v>165</v>
      </c>
      <c r="C193">
        <v>50</v>
      </c>
      <c r="D193">
        <v>32</v>
      </c>
      <c r="E193">
        <v>0.61</v>
      </c>
      <c r="F193">
        <v>5</v>
      </c>
      <c r="G193">
        <v>101.4</v>
      </c>
      <c r="H193">
        <v>96.3</v>
      </c>
      <c r="I193">
        <v>5.07</v>
      </c>
      <c r="J193">
        <f>West2010[[#This Row],[SRS]]-MIN($I$171:$I$202)</f>
        <v>14.13</v>
      </c>
      <c r="L193" t="s">
        <v>159</v>
      </c>
      <c r="M193">
        <v>50</v>
      </c>
      <c r="N193">
        <v>32</v>
      </c>
      <c r="O193">
        <v>0.61</v>
      </c>
      <c r="P193">
        <v>4</v>
      </c>
      <c r="Q193">
        <v>101.7</v>
      </c>
      <c r="R193">
        <v>99.8</v>
      </c>
      <c r="S193">
        <v>1.68</v>
      </c>
      <c r="T193">
        <f>West2009[[#This Row],[SRS]]-MIN($S$171:$S$202)</f>
        <v>10.28</v>
      </c>
    </row>
    <row r="194" spans="1:20" x14ac:dyDescent="0.25">
      <c r="B194" t="s">
        <v>160</v>
      </c>
      <c r="C194">
        <v>50</v>
      </c>
      <c r="D194">
        <v>32</v>
      </c>
      <c r="E194">
        <v>0.61</v>
      </c>
      <c r="F194">
        <v>3</v>
      </c>
      <c r="G194">
        <v>98.1</v>
      </c>
      <c r="H194">
        <v>94.8</v>
      </c>
      <c r="I194">
        <v>3.18</v>
      </c>
      <c r="J194">
        <f>West2010[[#This Row],[SRS]]-MIN($I$171:$I$202)</f>
        <v>12.24</v>
      </c>
      <c r="L194" t="s">
        <v>169</v>
      </c>
      <c r="M194">
        <v>49</v>
      </c>
      <c r="N194">
        <v>33</v>
      </c>
      <c r="O194">
        <v>0.59799999999999998</v>
      </c>
      <c r="P194">
        <v>5</v>
      </c>
      <c r="Q194">
        <v>95.8</v>
      </c>
      <c r="R194">
        <v>94.3</v>
      </c>
      <c r="S194">
        <v>1.41</v>
      </c>
      <c r="T194">
        <f>West2009[[#This Row],[SRS]]-MIN($S$171:$S$202)</f>
        <v>10.01</v>
      </c>
    </row>
    <row r="195" spans="1:20" x14ac:dyDescent="0.25">
      <c r="B195" t="s">
        <v>157</v>
      </c>
      <c r="C195">
        <v>50</v>
      </c>
      <c r="D195">
        <v>32</v>
      </c>
      <c r="E195">
        <v>0.61</v>
      </c>
      <c r="F195">
        <v>3</v>
      </c>
      <c r="G195">
        <v>101.5</v>
      </c>
      <c r="H195">
        <v>98</v>
      </c>
      <c r="I195">
        <v>3.55</v>
      </c>
      <c r="J195">
        <f>West2010[[#This Row],[SRS]]-MIN($I$171:$I$202)</f>
        <v>12.61</v>
      </c>
      <c r="L195" t="s">
        <v>158</v>
      </c>
      <c r="M195">
        <v>48</v>
      </c>
      <c r="N195">
        <v>34</v>
      </c>
      <c r="O195">
        <v>0.58499999999999996</v>
      </c>
      <c r="P195">
        <v>6</v>
      </c>
      <c r="Q195">
        <v>103.6</v>
      </c>
      <c r="R195">
        <v>100.9</v>
      </c>
      <c r="S195">
        <v>2.31</v>
      </c>
      <c r="T195">
        <f>West2009[[#This Row],[SRS]]-MIN($S$171:$S$202)</f>
        <v>10.91</v>
      </c>
    </row>
    <row r="196" spans="1:20" x14ac:dyDescent="0.25">
      <c r="B196" t="s">
        <v>156</v>
      </c>
      <c r="C196">
        <v>42</v>
      </c>
      <c r="D196">
        <v>40</v>
      </c>
      <c r="E196">
        <v>0.51200000000000001</v>
      </c>
      <c r="F196">
        <v>13</v>
      </c>
      <c r="G196">
        <v>102.4</v>
      </c>
      <c r="H196">
        <v>102.7</v>
      </c>
      <c r="I196">
        <v>-0.02</v>
      </c>
      <c r="J196">
        <f>West2010[[#This Row],[SRS]]-MIN($I$171:$I$202)</f>
        <v>9.0400000000000009</v>
      </c>
      <c r="L196" t="s">
        <v>164</v>
      </c>
      <c r="M196">
        <v>46</v>
      </c>
      <c r="N196">
        <v>36</v>
      </c>
      <c r="O196">
        <v>0.56100000000000005</v>
      </c>
      <c r="P196">
        <v>19</v>
      </c>
      <c r="Q196">
        <v>109.4</v>
      </c>
      <c r="R196">
        <v>107.5</v>
      </c>
      <c r="S196">
        <v>1.62</v>
      </c>
      <c r="T196">
        <f>West2009[[#This Row],[SRS]]-MIN($S$171:$S$202)</f>
        <v>10.219999999999999</v>
      </c>
    </row>
    <row r="197" spans="1:20" x14ac:dyDescent="0.25">
      <c r="B197" t="s">
        <v>162</v>
      </c>
      <c r="C197">
        <v>40</v>
      </c>
      <c r="D197">
        <v>42</v>
      </c>
      <c r="E197">
        <v>0.48799999999999999</v>
      </c>
      <c r="F197">
        <v>15</v>
      </c>
      <c r="G197">
        <v>102.5</v>
      </c>
      <c r="H197">
        <v>104</v>
      </c>
      <c r="I197">
        <v>-1.39</v>
      </c>
      <c r="J197">
        <f>West2010[[#This Row],[SRS]]-MIN($I$171:$I$202)</f>
        <v>7.6700000000000008</v>
      </c>
      <c r="L197" t="s">
        <v>173</v>
      </c>
      <c r="M197">
        <v>29</v>
      </c>
      <c r="N197">
        <v>53</v>
      </c>
      <c r="O197">
        <v>0.35399999999999998</v>
      </c>
      <c r="P197">
        <v>36</v>
      </c>
      <c r="Q197">
        <v>108.6</v>
      </c>
      <c r="R197">
        <v>112.3</v>
      </c>
      <c r="S197">
        <v>-3.8</v>
      </c>
      <c r="T197">
        <f>West2009[[#This Row],[SRS]]-MIN($S$171:$S$202)</f>
        <v>4.8</v>
      </c>
    </row>
    <row r="198" spans="1:20" x14ac:dyDescent="0.25">
      <c r="B198" t="s">
        <v>169</v>
      </c>
      <c r="C198">
        <v>37</v>
      </c>
      <c r="D198">
        <v>45</v>
      </c>
      <c r="E198">
        <v>0.45100000000000001</v>
      </c>
      <c r="F198">
        <v>18</v>
      </c>
      <c r="G198">
        <v>100.2</v>
      </c>
      <c r="H198">
        <v>102.7</v>
      </c>
      <c r="I198">
        <v>-2.27</v>
      </c>
      <c r="J198">
        <f>West2010[[#This Row],[SRS]]-MIN($I$171:$I$202)</f>
        <v>6.7900000000000009</v>
      </c>
      <c r="L198" t="s">
        <v>171</v>
      </c>
      <c r="M198">
        <v>24</v>
      </c>
      <c r="N198">
        <v>58</v>
      </c>
      <c r="O198">
        <v>0.29299999999999998</v>
      </c>
      <c r="P198">
        <v>30</v>
      </c>
      <c r="Q198">
        <v>97.8</v>
      </c>
      <c r="R198">
        <v>102.7</v>
      </c>
      <c r="S198">
        <v>-4.74</v>
      </c>
      <c r="T198">
        <f>West2009[[#This Row],[SRS]]-MIN($S$171:$S$202)</f>
        <v>3.8599999999999994</v>
      </c>
    </row>
    <row r="199" spans="1:20" x14ac:dyDescent="0.25">
      <c r="B199" t="s">
        <v>154</v>
      </c>
      <c r="C199">
        <v>29</v>
      </c>
      <c r="D199">
        <v>53</v>
      </c>
      <c r="E199">
        <v>0.35399999999999998</v>
      </c>
      <c r="F199">
        <v>28</v>
      </c>
      <c r="G199">
        <v>95.7</v>
      </c>
      <c r="H199">
        <v>102.1</v>
      </c>
      <c r="I199">
        <v>-6.01</v>
      </c>
      <c r="J199">
        <f>West2010[[#This Row],[SRS]]-MIN($I$171:$I$202)</f>
        <v>3.0500000000000007</v>
      </c>
      <c r="L199" t="s">
        <v>162</v>
      </c>
      <c r="M199">
        <v>24</v>
      </c>
      <c r="N199">
        <v>58</v>
      </c>
      <c r="O199">
        <v>0.29299999999999998</v>
      </c>
      <c r="P199">
        <v>30</v>
      </c>
      <c r="Q199">
        <v>93.9</v>
      </c>
      <c r="R199">
        <v>99.3</v>
      </c>
      <c r="S199">
        <v>-5.23</v>
      </c>
      <c r="T199">
        <f>West2009[[#This Row],[SRS]]-MIN($S$171:$S$202)</f>
        <v>3.3699999999999992</v>
      </c>
    </row>
    <row r="200" spans="1:20" x14ac:dyDescent="0.25">
      <c r="B200" t="s">
        <v>173</v>
      </c>
      <c r="C200">
        <v>26</v>
      </c>
      <c r="D200">
        <v>56</v>
      </c>
      <c r="E200">
        <v>0.317</v>
      </c>
      <c r="F200">
        <v>31</v>
      </c>
      <c r="G200">
        <v>108.8</v>
      </c>
      <c r="H200">
        <v>112.4</v>
      </c>
      <c r="I200">
        <v>-3.28</v>
      </c>
      <c r="J200">
        <f>West2010[[#This Row],[SRS]]-MIN($I$171:$I$202)</f>
        <v>5.7800000000000011</v>
      </c>
      <c r="L200" t="s">
        <v>157</v>
      </c>
      <c r="M200">
        <v>23</v>
      </c>
      <c r="N200">
        <v>59</v>
      </c>
      <c r="O200">
        <v>0.28000000000000003</v>
      </c>
      <c r="P200">
        <v>31</v>
      </c>
      <c r="Q200">
        <v>97</v>
      </c>
      <c r="R200">
        <v>103.1</v>
      </c>
      <c r="S200">
        <v>-6.04</v>
      </c>
      <c r="T200">
        <f>West2009[[#This Row],[SRS]]-MIN($S$171:$S$202)</f>
        <v>2.5599999999999996</v>
      </c>
    </row>
    <row r="201" spans="1:20" x14ac:dyDescent="0.25">
      <c r="B201" t="s">
        <v>167</v>
      </c>
      <c r="C201">
        <v>25</v>
      </c>
      <c r="D201">
        <v>57</v>
      </c>
      <c r="E201">
        <v>0.30499999999999999</v>
      </c>
      <c r="F201">
        <v>32</v>
      </c>
      <c r="G201">
        <v>100</v>
      </c>
      <c r="H201">
        <v>104.4</v>
      </c>
      <c r="I201">
        <v>-4.0599999999999996</v>
      </c>
      <c r="J201">
        <f>West2010[[#This Row],[SRS]]-MIN($I$171:$I$202)</f>
        <v>5.0000000000000009</v>
      </c>
      <c r="L201" t="s">
        <v>154</v>
      </c>
      <c r="M201">
        <v>19</v>
      </c>
      <c r="N201">
        <v>63</v>
      </c>
      <c r="O201">
        <v>0.23200000000000001</v>
      </c>
      <c r="P201">
        <v>46</v>
      </c>
      <c r="Q201">
        <v>95.1</v>
      </c>
      <c r="R201">
        <v>103.9</v>
      </c>
      <c r="S201">
        <v>-8.4700000000000006</v>
      </c>
      <c r="T201">
        <f>West2009[[#This Row],[SRS]]-MIN($S$171:$S$202)</f>
        <v>0.12999999999999901</v>
      </c>
    </row>
    <row r="202" spans="1:20" x14ac:dyDescent="0.25">
      <c r="B202" t="s">
        <v>171</v>
      </c>
      <c r="C202">
        <v>15</v>
      </c>
      <c r="D202">
        <v>67</v>
      </c>
      <c r="E202">
        <v>0.183</v>
      </c>
      <c r="F202">
        <v>38</v>
      </c>
      <c r="G202">
        <v>98.2</v>
      </c>
      <c r="H202">
        <v>107.8</v>
      </c>
      <c r="I202">
        <v>-9.06</v>
      </c>
      <c r="J202">
        <f>West2010[[#This Row],[SRS]]-MIN($I$171:$I$202)</f>
        <v>0</v>
      </c>
      <c r="L202" t="s">
        <v>167</v>
      </c>
      <c r="M202">
        <v>17</v>
      </c>
      <c r="N202">
        <v>65</v>
      </c>
      <c r="O202">
        <v>0.20699999999999999</v>
      </c>
      <c r="P202">
        <v>48</v>
      </c>
      <c r="Q202">
        <v>100.6</v>
      </c>
      <c r="R202">
        <v>109.3</v>
      </c>
      <c r="S202">
        <v>-8.6</v>
      </c>
      <c r="T202">
        <f>West2009[[#This Row],[SRS]]-MIN($S$171:$S$202)</f>
        <v>0</v>
      </c>
    </row>
    <row r="204" spans="1:20" x14ac:dyDescent="0.25">
      <c r="A204" t="s">
        <v>257</v>
      </c>
      <c r="B204" t="s">
        <v>0</v>
      </c>
      <c r="C204" t="s">
        <v>1</v>
      </c>
      <c r="D204" t="s">
        <v>2</v>
      </c>
      <c r="E204" t="s">
        <v>175</v>
      </c>
      <c r="F204" t="s">
        <v>4</v>
      </c>
      <c r="G204" t="s">
        <v>125</v>
      </c>
      <c r="H204" t="s">
        <v>126</v>
      </c>
      <c r="I204" t="s">
        <v>127</v>
      </c>
      <c r="J204" t="s">
        <v>179</v>
      </c>
      <c r="K204" t="s">
        <v>258</v>
      </c>
      <c r="L204" t="s">
        <v>0</v>
      </c>
      <c r="M204" t="s">
        <v>1</v>
      </c>
      <c r="N204" t="s">
        <v>2</v>
      </c>
      <c r="O204" t="s">
        <v>175</v>
      </c>
      <c r="P204" t="s">
        <v>4</v>
      </c>
      <c r="Q204" t="s">
        <v>125</v>
      </c>
      <c r="R204" t="s">
        <v>126</v>
      </c>
      <c r="S204" t="s">
        <v>127</v>
      </c>
      <c r="T204" t="s">
        <v>179</v>
      </c>
    </row>
    <row r="205" spans="1:20" x14ac:dyDescent="0.25">
      <c r="B205" t="s">
        <v>130</v>
      </c>
      <c r="C205">
        <v>66</v>
      </c>
      <c r="D205">
        <v>16</v>
      </c>
      <c r="E205">
        <v>0.80500000000000005</v>
      </c>
      <c r="F205" t="s">
        <v>9</v>
      </c>
      <c r="G205">
        <v>100.5</v>
      </c>
      <c r="H205">
        <v>90.3</v>
      </c>
      <c r="I205">
        <v>9.3000000000000007</v>
      </c>
      <c r="J205">
        <f>East2008[[#This Row],[SRS]]-MIN($I$205:$I$236)</f>
        <v>17.829999999999998</v>
      </c>
      <c r="L205" t="s">
        <v>148</v>
      </c>
      <c r="M205">
        <v>53</v>
      </c>
      <c r="N205">
        <v>29</v>
      </c>
      <c r="O205">
        <v>0.64600000000000002</v>
      </c>
      <c r="P205" t="s">
        <v>9</v>
      </c>
      <c r="Q205">
        <v>96</v>
      </c>
      <c r="R205">
        <v>91.8</v>
      </c>
      <c r="S205">
        <v>3.69</v>
      </c>
      <c r="T205">
        <f>East2007[[#This Row],[SRS]]-MIN($S$205:$S$236)</f>
        <v>8.5500000000000007</v>
      </c>
    </row>
    <row r="206" spans="1:20" x14ac:dyDescent="0.25">
      <c r="B206" t="s">
        <v>148</v>
      </c>
      <c r="C206">
        <v>59</v>
      </c>
      <c r="D206">
        <v>23</v>
      </c>
      <c r="E206">
        <v>0.72</v>
      </c>
      <c r="F206" t="s">
        <v>9</v>
      </c>
      <c r="G206">
        <v>97.5</v>
      </c>
      <c r="H206">
        <v>90.1</v>
      </c>
      <c r="I206">
        <v>6.67</v>
      </c>
      <c r="J206">
        <f>East2008[[#This Row],[SRS]]-MIN($I$205:$I$236)</f>
        <v>15.2</v>
      </c>
      <c r="L206" t="s">
        <v>152</v>
      </c>
      <c r="M206">
        <v>50</v>
      </c>
      <c r="N206">
        <v>32</v>
      </c>
      <c r="O206">
        <v>0.61</v>
      </c>
      <c r="P206">
        <v>3</v>
      </c>
      <c r="Q206">
        <v>96.8</v>
      </c>
      <c r="R206">
        <v>92.9</v>
      </c>
      <c r="S206">
        <v>3.33</v>
      </c>
      <c r="T206">
        <f>East2007[[#This Row],[SRS]]-MIN($S$205:$S$236)</f>
        <v>8.1900000000000013</v>
      </c>
    </row>
    <row r="207" spans="1:20" x14ac:dyDescent="0.25">
      <c r="B207" t="s">
        <v>138</v>
      </c>
      <c r="C207">
        <v>52</v>
      </c>
      <c r="D207">
        <v>30</v>
      </c>
      <c r="E207">
        <v>0.63400000000000001</v>
      </c>
      <c r="F207" t="s">
        <v>9</v>
      </c>
      <c r="G207">
        <v>104.5</v>
      </c>
      <c r="H207">
        <v>99</v>
      </c>
      <c r="I207">
        <v>4.79</v>
      </c>
      <c r="J207">
        <f>East2008[[#This Row],[SRS]]-MIN($I$205:$I$236)</f>
        <v>13.32</v>
      </c>
      <c r="L207" t="s">
        <v>144</v>
      </c>
      <c r="M207">
        <v>49</v>
      </c>
      <c r="N207">
        <v>33</v>
      </c>
      <c r="O207">
        <v>0.59799999999999998</v>
      </c>
      <c r="P207">
        <v>4</v>
      </c>
      <c r="Q207">
        <v>98.8</v>
      </c>
      <c r="R207">
        <v>93.8</v>
      </c>
      <c r="S207">
        <v>4.5199999999999996</v>
      </c>
      <c r="T207">
        <f>East2007[[#This Row],[SRS]]-MIN($S$205:$S$236)</f>
        <v>9.379999999999999</v>
      </c>
    </row>
    <row r="208" spans="1:20" x14ac:dyDescent="0.25">
      <c r="B208" t="s">
        <v>152</v>
      </c>
      <c r="C208">
        <v>45</v>
      </c>
      <c r="D208">
        <v>37</v>
      </c>
      <c r="E208">
        <v>0.54900000000000004</v>
      </c>
      <c r="F208">
        <v>14</v>
      </c>
      <c r="G208">
        <v>96.4</v>
      </c>
      <c r="H208">
        <v>96.7</v>
      </c>
      <c r="I208">
        <v>-0.53</v>
      </c>
      <c r="J208">
        <f>East2008[[#This Row],[SRS]]-MIN($I$205:$I$236)</f>
        <v>7.9999999999999991</v>
      </c>
      <c r="L208" t="s">
        <v>129</v>
      </c>
      <c r="M208">
        <v>47</v>
      </c>
      <c r="N208">
        <v>35</v>
      </c>
      <c r="O208">
        <v>0.57299999999999995</v>
      </c>
      <c r="P208" t="s">
        <v>9</v>
      </c>
      <c r="Q208">
        <v>99.5</v>
      </c>
      <c r="R208">
        <v>98.5</v>
      </c>
      <c r="S208">
        <v>0.61</v>
      </c>
      <c r="T208">
        <f>East2007[[#This Row],[SRS]]-MIN($S$205:$S$236)</f>
        <v>5.4700000000000006</v>
      </c>
    </row>
    <row r="209" spans="2:20" x14ac:dyDescent="0.25">
      <c r="B209" t="s">
        <v>142</v>
      </c>
      <c r="C209">
        <v>43</v>
      </c>
      <c r="D209">
        <v>39</v>
      </c>
      <c r="E209">
        <v>0.52400000000000002</v>
      </c>
      <c r="F209">
        <v>9</v>
      </c>
      <c r="G209">
        <v>98.8</v>
      </c>
      <c r="H209">
        <v>99.2</v>
      </c>
      <c r="I209">
        <v>-0.61</v>
      </c>
      <c r="J209">
        <f>East2008[[#This Row],[SRS]]-MIN($I$205:$I$236)</f>
        <v>7.919999999999999</v>
      </c>
      <c r="L209" t="s">
        <v>132</v>
      </c>
      <c r="M209">
        <v>44</v>
      </c>
      <c r="N209">
        <v>38</v>
      </c>
      <c r="O209">
        <v>0.53700000000000003</v>
      </c>
      <c r="P209" t="s">
        <v>9</v>
      </c>
      <c r="Q209">
        <v>94.6</v>
      </c>
      <c r="R209">
        <v>95.5</v>
      </c>
      <c r="S209">
        <v>-1.21</v>
      </c>
      <c r="T209">
        <f>East2007[[#This Row],[SRS]]-MIN($S$205:$S$236)</f>
        <v>3.6500000000000004</v>
      </c>
    </row>
    <row r="210" spans="2:20" x14ac:dyDescent="0.25">
      <c r="B210" t="s">
        <v>129</v>
      </c>
      <c r="C210">
        <v>41</v>
      </c>
      <c r="D210">
        <v>41</v>
      </c>
      <c r="E210">
        <v>0.5</v>
      </c>
      <c r="F210">
        <v>25</v>
      </c>
      <c r="G210">
        <v>100.2</v>
      </c>
      <c r="H210">
        <v>97.3</v>
      </c>
      <c r="I210">
        <v>2.4700000000000002</v>
      </c>
      <c r="J210">
        <f>East2008[[#This Row],[SRS]]-MIN($I$205:$I$236)</f>
        <v>11</v>
      </c>
      <c r="L210" t="s">
        <v>136</v>
      </c>
      <c r="M210">
        <v>41</v>
      </c>
      <c r="N210">
        <v>41</v>
      </c>
      <c r="O210">
        <v>0.5</v>
      </c>
      <c r="P210">
        <v>6</v>
      </c>
      <c r="Q210">
        <v>97.6</v>
      </c>
      <c r="R210">
        <v>98.3</v>
      </c>
      <c r="S210">
        <v>-1</v>
      </c>
      <c r="T210">
        <f>East2007[[#This Row],[SRS]]-MIN($S$205:$S$236)</f>
        <v>3.8600000000000003</v>
      </c>
    </row>
    <row r="211" spans="2:20" x14ac:dyDescent="0.25">
      <c r="B211" t="s">
        <v>134</v>
      </c>
      <c r="C211">
        <v>40</v>
      </c>
      <c r="D211">
        <v>42</v>
      </c>
      <c r="E211">
        <v>0.48799999999999999</v>
      </c>
      <c r="F211">
        <v>26</v>
      </c>
      <c r="G211">
        <v>96.6</v>
      </c>
      <c r="H211">
        <v>96.2</v>
      </c>
      <c r="I211">
        <v>0.19</v>
      </c>
      <c r="J211">
        <f>East2008[[#This Row],[SRS]]-MIN($I$205:$I$236)</f>
        <v>8.7199999999999989</v>
      </c>
      <c r="L211" t="s">
        <v>142</v>
      </c>
      <c r="M211">
        <v>41</v>
      </c>
      <c r="N211">
        <v>41</v>
      </c>
      <c r="O211">
        <v>0.5</v>
      </c>
      <c r="P211">
        <v>3</v>
      </c>
      <c r="Q211">
        <v>104.3</v>
      </c>
      <c r="R211">
        <v>104.9</v>
      </c>
      <c r="S211">
        <v>-0.8</v>
      </c>
      <c r="T211">
        <f>East2007[[#This Row],[SRS]]-MIN($S$205:$S$236)</f>
        <v>4.0600000000000005</v>
      </c>
    </row>
    <row r="212" spans="2:20" x14ac:dyDescent="0.25">
      <c r="B212" t="s">
        <v>150</v>
      </c>
      <c r="C212">
        <v>37</v>
      </c>
      <c r="D212">
        <v>45</v>
      </c>
      <c r="E212">
        <v>0.45100000000000001</v>
      </c>
      <c r="F212">
        <v>15</v>
      </c>
      <c r="G212">
        <v>98.2</v>
      </c>
      <c r="H212">
        <v>100</v>
      </c>
      <c r="I212">
        <v>-2.23</v>
      </c>
      <c r="J212">
        <f>East2008[[#This Row],[SRS]]-MIN($I$205:$I$236)</f>
        <v>6.2999999999999989</v>
      </c>
      <c r="L212" t="s">
        <v>138</v>
      </c>
      <c r="M212">
        <v>40</v>
      </c>
      <c r="N212">
        <v>42</v>
      </c>
      <c r="O212">
        <v>0.48799999999999999</v>
      </c>
      <c r="P212">
        <v>4</v>
      </c>
      <c r="Q212">
        <v>94.8</v>
      </c>
      <c r="R212">
        <v>94</v>
      </c>
      <c r="S212">
        <v>0.35</v>
      </c>
      <c r="T212">
        <f>East2007[[#This Row],[SRS]]-MIN($S$205:$S$236)</f>
        <v>5.21</v>
      </c>
    </row>
    <row r="213" spans="2:20" x14ac:dyDescent="0.25">
      <c r="B213" t="s">
        <v>131</v>
      </c>
      <c r="C213">
        <v>36</v>
      </c>
      <c r="D213">
        <v>46</v>
      </c>
      <c r="E213">
        <v>0.439</v>
      </c>
      <c r="F213">
        <v>23</v>
      </c>
      <c r="G213">
        <v>104</v>
      </c>
      <c r="H213">
        <v>105.4</v>
      </c>
      <c r="I213">
        <v>-1.87</v>
      </c>
      <c r="J213">
        <f>East2008[[#This Row],[SRS]]-MIN($I$205:$I$236)</f>
        <v>6.6599999999999993</v>
      </c>
      <c r="L213" t="s">
        <v>134</v>
      </c>
      <c r="M213">
        <v>35</v>
      </c>
      <c r="N213">
        <v>47</v>
      </c>
      <c r="O213">
        <v>0.42699999999999999</v>
      </c>
      <c r="P213">
        <v>12</v>
      </c>
      <c r="Q213">
        <v>94.9</v>
      </c>
      <c r="R213">
        <v>98</v>
      </c>
      <c r="S213">
        <v>-3.26</v>
      </c>
      <c r="T213">
        <f>East2007[[#This Row],[SRS]]-MIN($S$205:$S$236)</f>
        <v>1.6000000000000005</v>
      </c>
    </row>
    <row r="214" spans="2:20" x14ac:dyDescent="0.25">
      <c r="B214" t="s">
        <v>136</v>
      </c>
      <c r="C214">
        <v>34</v>
      </c>
      <c r="D214">
        <v>48</v>
      </c>
      <c r="E214">
        <v>0.41499999999999998</v>
      </c>
      <c r="F214">
        <v>32</v>
      </c>
      <c r="G214">
        <v>95.8</v>
      </c>
      <c r="H214">
        <v>100.9</v>
      </c>
      <c r="I214">
        <v>-5.15</v>
      </c>
      <c r="J214">
        <f>East2008[[#This Row],[SRS]]-MIN($I$205:$I$236)</f>
        <v>3.379999999999999</v>
      </c>
      <c r="L214" t="s">
        <v>131</v>
      </c>
      <c r="M214">
        <v>35</v>
      </c>
      <c r="N214">
        <v>47</v>
      </c>
      <c r="O214">
        <v>0.42699999999999999</v>
      </c>
      <c r="P214">
        <v>18</v>
      </c>
      <c r="Q214">
        <v>95.6</v>
      </c>
      <c r="R214">
        <v>98</v>
      </c>
      <c r="S214">
        <v>-2.62</v>
      </c>
      <c r="T214">
        <f>East2007[[#This Row],[SRS]]-MIN($S$205:$S$236)</f>
        <v>2.2400000000000002</v>
      </c>
    </row>
    <row r="215" spans="2:20" x14ac:dyDescent="0.25">
      <c r="B215" t="s">
        <v>144</v>
      </c>
      <c r="C215">
        <v>33</v>
      </c>
      <c r="D215">
        <v>49</v>
      </c>
      <c r="E215">
        <v>0.40200000000000002</v>
      </c>
      <c r="F215">
        <v>26</v>
      </c>
      <c r="G215">
        <v>97.3</v>
      </c>
      <c r="H215">
        <v>100.4</v>
      </c>
      <c r="I215">
        <v>-3.19</v>
      </c>
      <c r="J215">
        <f>East2008[[#This Row],[SRS]]-MIN($I$205:$I$236)</f>
        <v>5.34</v>
      </c>
      <c r="L215" t="s">
        <v>146</v>
      </c>
      <c r="M215">
        <v>33</v>
      </c>
      <c r="N215">
        <v>49</v>
      </c>
      <c r="O215">
        <v>0.40200000000000002</v>
      </c>
      <c r="P215">
        <v>14</v>
      </c>
      <c r="Q215">
        <v>97.5</v>
      </c>
      <c r="R215">
        <v>100.3</v>
      </c>
      <c r="S215">
        <v>-3.06</v>
      </c>
      <c r="T215">
        <f>East2007[[#This Row],[SRS]]-MIN($S$205:$S$236)</f>
        <v>1.8000000000000003</v>
      </c>
    </row>
    <row r="216" spans="2:20" x14ac:dyDescent="0.25">
      <c r="B216" t="s">
        <v>140</v>
      </c>
      <c r="C216">
        <v>32</v>
      </c>
      <c r="D216">
        <v>50</v>
      </c>
      <c r="E216">
        <v>0.39</v>
      </c>
      <c r="F216">
        <v>20</v>
      </c>
      <c r="G216">
        <v>97.1</v>
      </c>
      <c r="H216">
        <v>101.4</v>
      </c>
      <c r="I216">
        <v>-4.49</v>
      </c>
      <c r="J216">
        <f>East2008[[#This Row],[SRS]]-MIN($I$205:$I$236)</f>
        <v>4.0399999999999991</v>
      </c>
      <c r="L216" t="s">
        <v>140</v>
      </c>
      <c r="M216">
        <v>33</v>
      </c>
      <c r="N216">
        <v>49</v>
      </c>
      <c r="O216">
        <v>0.40200000000000002</v>
      </c>
      <c r="P216">
        <v>11</v>
      </c>
      <c r="Q216">
        <v>96.9</v>
      </c>
      <c r="R216">
        <v>100.6</v>
      </c>
      <c r="S216">
        <v>-3.97</v>
      </c>
      <c r="T216">
        <f>East2007[[#This Row],[SRS]]-MIN($S$205:$S$236)</f>
        <v>0.89000000000000012</v>
      </c>
    </row>
    <row r="217" spans="2:20" x14ac:dyDescent="0.25">
      <c r="B217" t="s">
        <v>128</v>
      </c>
      <c r="C217">
        <v>26</v>
      </c>
      <c r="D217">
        <v>56</v>
      </c>
      <c r="E217">
        <v>0.317</v>
      </c>
      <c r="F217">
        <v>33</v>
      </c>
      <c r="G217">
        <v>97</v>
      </c>
      <c r="H217">
        <v>103.9</v>
      </c>
      <c r="I217">
        <v>-6.92</v>
      </c>
      <c r="J217">
        <f>East2008[[#This Row],[SRS]]-MIN($I$205:$I$236)</f>
        <v>1.6099999999999994</v>
      </c>
      <c r="L217" t="s">
        <v>150</v>
      </c>
      <c r="M217">
        <v>30</v>
      </c>
      <c r="N217">
        <v>52</v>
      </c>
      <c r="O217">
        <v>0.36599999999999999</v>
      </c>
      <c r="P217">
        <v>14</v>
      </c>
      <c r="Q217">
        <v>93.7</v>
      </c>
      <c r="R217">
        <v>98.4</v>
      </c>
      <c r="S217">
        <v>-4.8600000000000003</v>
      </c>
      <c r="T217">
        <f>East2007[[#This Row],[SRS]]-MIN($S$205:$S$236)</f>
        <v>0</v>
      </c>
    </row>
    <row r="218" spans="2:20" x14ac:dyDescent="0.25">
      <c r="B218" t="s">
        <v>146</v>
      </c>
      <c r="C218">
        <v>23</v>
      </c>
      <c r="D218">
        <v>59</v>
      </c>
      <c r="E218">
        <v>0.28000000000000003</v>
      </c>
      <c r="F218">
        <v>43</v>
      </c>
      <c r="G218">
        <v>96.9</v>
      </c>
      <c r="H218">
        <v>103.5</v>
      </c>
      <c r="I218">
        <v>-6.55</v>
      </c>
      <c r="J218">
        <f>East2008[[#This Row],[SRS]]-MIN($I$205:$I$236)</f>
        <v>1.9799999999999995</v>
      </c>
      <c r="L218" t="s">
        <v>128</v>
      </c>
      <c r="M218">
        <v>28</v>
      </c>
      <c r="N218">
        <v>54</v>
      </c>
      <c r="O218">
        <v>0.34100000000000003</v>
      </c>
      <c r="P218">
        <v>25</v>
      </c>
      <c r="Q218">
        <v>99.7</v>
      </c>
      <c r="R218">
        <v>104</v>
      </c>
      <c r="S218">
        <v>-4.43</v>
      </c>
      <c r="T218">
        <f>East2007[[#This Row],[SRS]]-MIN($S$205:$S$236)</f>
        <v>0.4300000000000006</v>
      </c>
    </row>
    <row r="219" spans="2:20" x14ac:dyDescent="0.25">
      <c r="B219" t="s">
        <v>132</v>
      </c>
      <c r="C219">
        <v>15</v>
      </c>
      <c r="D219">
        <v>67</v>
      </c>
      <c r="E219">
        <v>0.183</v>
      </c>
      <c r="F219">
        <v>37</v>
      </c>
      <c r="G219">
        <v>91.4</v>
      </c>
      <c r="H219">
        <v>100</v>
      </c>
      <c r="I219">
        <v>-8.5299999999999994</v>
      </c>
      <c r="J219">
        <f>East2008[[#This Row],[SRS]]-MIN($I$205:$I$236)</f>
        <v>0</v>
      </c>
      <c r="L219" t="s">
        <v>130</v>
      </c>
      <c r="M219">
        <v>24</v>
      </c>
      <c r="N219">
        <v>58</v>
      </c>
      <c r="O219">
        <v>0.29299999999999998</v>
      </c>
      <c r="P219">
        <v>23</v>
      </c>
      <c r="Q219">
        <v>95.8</v>
      </c>
      <c r="R219">
        <v>99.2</v>
      </c>
      <c r="S219">
        <v>-3.7</v>
      </c>
      <c r="T219">
        <f>East2007[[#This Row],[SRS]]-MIN($S$205:$S$236)</f>
        <v>1.1600000000000001</v>
      </c>
    </row>
    <row r="221" spans="2:20" x14ac:dyDescent="0.25">
      <c r="B221" t="s">
        <v>0</v>
      </c>
      <c r="C221" t="s">
        <v>1</v>
      </c>
      <c r="D221" t="s">
        <v>2</v>
      </c>
      <c r="E221" t="s">
        <v>175</v>
      </c>
      <c r="F221" t="s">
        <v>4</v>
      </c>
      <c r="G221" t="s">
        <v>125</v>
      </c>
      <c r="H221" t="s">
        <v>126</v>
      </c>
      <c r="I221" t="s">
        <v>127</v>
      </c>
      <c r="J221" t="s">
        <v>179</v>
      </c>
      <c r="L221" t="s">
        <v>0</v>
      </c>
      <c r="M221" t="s">
        <v>1</v>
      </c>
      <c r="N221" t="s">
        <v>2</v>
      </c>
      <c r="O221" t="s">
        <v>175</v>
      </c>
      <c r="P221" t="s">
        <v>4</v>
      </c>
      <c r="Q221" t="s">
        <v>125</v>
      </c>
      <c r="R221" t="s">
        <v>126</v>
      </c>
      <c r="S221" t="s">
        <v>127</v>
      </c>
      <c r="T221" t="s">
        <v>179</v>
      </c>
    </row>
    <row r="222" spans="2:20" x14ac:dyDescent="0.25">
      <c r="B222" t="s">
        <v>153</v>
      </c>
      <c r="C222">
        <v>57</v>
      </c>
      <c r="D222">
        <v>25</v>
      </c>
      <c r="E222">
        <v>0.69499999999999995</v>
      </c>
      <c r="F222" t="s">
        <v>9</v>
      </c>
      <c r="G222">
        <v>108.6</v>
      </c>
      <c r="H222">
        <v>101.3</v>
      </c>
      <c r="I222">
        <v>7.34</v>
      </c>
      <c r="J222">
        <f>West2008[[#This Row],[SRS]]-MIN($I$205:$I$236)</f>
        <v>15.87</v>
      </c>
      <c r="L222" t="s">
        <v>159</v>
      </c>
      <c r="M222">
        <v>67</v>
      </c>
      <c r="N222">
        <v>15</v>
      </c>
      <c r="O222">
        <v>0.81699999999999995</v>
      </c>
      <c r="P222" t="s">
        <v>9</v>
      </c>
      <c r="Q222">
        <v>100</v>
      </c>
      <c r="R222">
        <v>92.8</v>
      </c>
      <c r="S222">
        <v>7.28</v>
      </c>
      <c r="T222">
        <f>West2007[[#This Row],[SRS]]-MIN($S$205:$S$236)</f>
        <v>12.14</v>
      </c>
    </row>
    <row r="223" spans="2:20" x14ac:dyDescent="0.25">
      <c r="B223" t="s">
        <v>169</v>
      </c>
      <c r="C223">
        <v>56</v>
      </c>
      <c r="D223">
        <v>26</v>
      </c>
      <c r="E223">
        <v>0.68300000000000005</v>
      </c>
      <c r="F223" t="s">
        <v>9</v>
      </c>
      <c r="G223">
        <v>100.9</v>
      </c>
      <c r="H223">
        <v>95.6</v>
      </c>
      <c r="I223">
        <v>5.46</v>
      </c>
      <c r="J223">
        <f>West2008[[#This Row],[SRS]]-MIN($I$205:$I$236)</f>
        <v>13.989999999999998</v>
      </c>
      <c r="L223" t="s">
        <v>164</v>
      </c>
      <c r="M223">
        <v>61</v>
      </c>
      <c r="N223">
        <v>21</v>
      </c>
      <c r="O223">
        <v>0.74399999999999999</v>
      </c>
      <c r="P223" t="s">
        <v>9</v>
      </c>
      <c r="Q223">
        <v>110.2</v>
      </c>
      <c r="R223">
        <v>102.9</v>
      </c>
      <c r="S223">
        <v>7.28</v>
      </c>
      <c r="T223">
        <f>West2007[[#This Row],[SRS]]-MIN($S$205:$S$236)</f>
        <v>12.14</v>
      </c>
    </row>
    <row r="224" spans="2:20" x14ac:dyDescent="0.25">
      <c r="B224" t="s">
        <v>165</v>
      </c>
      <c r="C224">
        <v>56</v>
      </c>
      <c r="D224">
        <v>26</v>
      </c>
      <c r="E224">
        <v>0.68300000000000005</v>
      </c>
      <c r="F224" t="s">
        <v>9</v>
      </c>
      <c r="G224">
        <v>95.4</v>
      </c>
      <c r="H224">
        <v>90.6</v>
      </c>
      <c r="I224">
        <v>5.0999999999999996</v>
      </c>
      <c r="J224">
        <f>West2008[[#This Row],[SRS]]-MIN($I$205:$I$236)</f>
        <v>13.629999999999999</v>
      </c>
      <c r="L224" t="s">
        <v>165</v>
      </c>
      <c r="M224">
        <v>58</v>
      </c>
      <c r="N224">
        <v>24</v>
      </c>
      <c r="O224">
        <v>0.70699999999999996</v>
      </c>
      <c r="P224">
        <v>9</v>
      </c>
      <c r="Q224">
        <v>98.5</v>
      </c>
      <c r="R224">
        <v>90.1</v>
      </c>
      <c r="S224">
        <v>8.35</v>
      </c>
      <c r="T224">
        <f>West2007[[#This Row],[SRS]]-MIN($S$205:$S$236)</f>
        <v>13.21</v>
      </c>
    </row>
    <row r="225" spans="1:20" x14ac:dyDescent="0.25">
      <c r="B225" t="s">
        <v>164</v>
      </c>
      <c r="C225">
        <v>55</v>
      </c>
      <c r="D225">
        <v>27</v>
      </c>
      <c r="E225">
        <v>0.67100000000000004</v>
      </c>
      <c r="F225">
        <v>2</v>
      </c>
      <c r="G225">
        <v>110.1</v>
      </c>
      <c r="H225">
        <v>105</v>
      </c>
      <c r="I225">
        <v>5.14</v>
      </c>
      <c r="J225">
        <f>West2008[[#This Row],[SRS]]-MIN($I$205:$I$236)</f>
        <v>13.669999999999998</v>
      </c>
      <c r="L225" t="s">
        <v>156</v>
      </c>
      <c r="M225">
        <v>52</v>
      </c>
      <c r="N225">
        <v>30</v>
      </c>
      <c r="O225">
        <v>0.63400000000000001</v>
      </c>
      <c r="P225">
        <v>15</v>
      </c>
      <c r="Q225">
        <v>97</v>
      </c>
      <c r="R225">
        <v>92.1</v>
      </c>
      <c r="S225">
        <v>5.04</v>
      </c>
      <c r="T225">
        <f>West2007[[#This Row],[SRS]]-MIN($S$205:$S$236)</f>
        <v>9.9</v>
      </c>
    </row>
    <row r="226" spans="1:20" x14ac:dyDescent="0.25">
      <c r="B226" t="s">
        <v>156</v>
      </c>
      <c r="C226">
        <v>55</v>
      </c>
      <c r="D226">
        <v>27</v>
      </c>
      <c r="E226">
        <v>0.67100000000000004</v>
      </c>
      <c r="F226">
        <v>1</v>
      </c>
      <c r="G226">
        <v>96.7</v>
      </c>
      <c r="H226">
        <v>92</v>
      </c>
      <c r="I226">
        <v>4.83</v>
      </c>
      <c r="J226">
        <f>West2008[[#This Row],[SRS]]-MIN($I$205:$I$236)</f>
        <v>13.36</v>
      </c>
      <c r="L226" t="s">
        <v>158</v>
      </c>
      <c r="M226">
        <v>51</v>
      </c>
      <c r="N226">
        <v>31</v>
      </c>
      <c r="O226">
        <v>0.622</v>
      </c>
      <c r="P226" t="s">
        <v>9</v>
      </c>
      <c r="Q226">
        <v>101.5</v>
      </c>
      <c r="R226">
        <v>98.6</v>
      </c>
      <c r="S226">
        <v>3.06</v>
      </c>
      <c r="T226">
        <f>West2007[[#This Row],[SRS]]-MIN($S$205:$S$236)</f>
        <v>7.92</v>
      </c>
    </row>
    <row r="227" spans="1:20" x14ac:dyDescent="0.25">
      <c r="B227" t="s">
        <v>158</v>
      </c>
      <c r="C227">
        <v>54</v>
      </c>
      <c r="D227">
        <v>28</v>
      </c>
      <c r="E227">
        <v>0.65900000000000003</v>
      </c>
      <c r="F227" t="s">
        <v>9</v>
      </c>
      <c r="G227">
        <v>106.2</v>
      </c>
      <c r="H227">
        <v>99.3</v>
      </c>
      <c r="I227">
        <v>6.86</v>
      </c>
      <c r="J227">
        <f>West2008[[#This Row],[SRS]]-MIN($I$205:$I$236)</f>
        <v>15.39</v>
      </c>
      <c r="L227" t="s">
        <v>155</v>
      </c>
      <c r="M227">
        <v>45</v>
      </c>
      <c r="N227">
        <v>37</v>
      </c>
      <c r="O227">
        <v>0.54900000000000004</v>
      </c>
      <c r="P227">
        <v>6</v>
      </c>
      <c r="Q227">
        <v>105.4</v>
      </c>
      <c r="R227">
        <v>103.7</v>
      </c>
      <c r="S227">
        <v>1.69</v>
      </c>
      <c r="T227">
        <f>West2007[[#This Row],[SRS]]-MIN($S$205:$S$236)</f>
        <v>6.5500000000000007</v>
      </c>
    </row>
    <row r="228" spans="1:20" x14ac:dyDescent="0.25">
      <c r="B228" t="s">
        <v>159</v>
      </c>
      <c r="C228">
        <v>51</v>
      </c>
      <c r="D228">
        <v>31</v>
      </c>
      <c r="E228">
        <v>0.622</v>
      </c>
      <c r="F228">
        <v>5</v>
      </c>
      <c r="G228">
        <v>100.4</v>
      </c>
      <c r="H228">
        <v>95.9</v>
      </c>
      <c r="I228">
        <v>4.7</v>
      </c>
      <c r="J228">
        <f>West2008[[#This Row],[SRS]]-MIN($I$205:$I$236)</f>
        <v>13.23</v>
      </c>
      <c r="L228" t="s">
        <v>153</v>
      </c>
      <c r="M228">
        <v>42</v>
      </c>
      <c r="N228">
        <v>40</v>
      </c>
      <c r="O228">
        <v>0.51200000000000001</v>
      </c>
      <c r="P228">
        <v>19</v>
      </c>
      <c r="Q228">
        <v>103.3</v>
      </c>
      <c r="R228">
        <v>103.4</v>
      </c>
      <c r="S228">
        <v>0.24</v>
      </c>
      <c r="T228">
        <f>West2007[[#This Row],[SRS]]-MIN($S$205:$S$236)</f>
        <v>5.1000000000000005</v>
      </c>
    </row>
    <row r="229" spans="1:20" x14ac:dyDescent="0.25">
      <c r="B229" t="s">
        <v>155</v>
      </c>
      <c r="C229">
        <v>50</v>
      </c>
      <c r="D229">
        <v>32</v>
      </c>
      <c r="E229">
        <v>0.61</v>
      </c>
      <c r="F229">
        <v>4</v>
      </c>
      <c r="G229">
        <v>110.7</v>
      </c>
      <c r="H229">
        <v>107</v>
      </c>
      <c r="I229">
        <v>3.74</v>
      </c>
      <c r="J229">
        <f>West2008[[#This Row],[SRS]]-MIN($I$205:$I$236)</f>
        <v>12.27</v>
      </c>
      <c r="L229" t="s">
        <v>173</v>
      </c>
      <c r="M229">
        <v>42</v>
      </c>
      <c r="N229">
        <v>40</v>
      </c>
      <c r="O229">
        <v>0.51200000000000001</v>
      </c>
      <c r="P229">
        <v>19</v>
      </c>
      <c r="Q229">
        <v>106.5</v>
      </c>
      <c r="R229">
        <v>106.9</v>
      </c>
      <c r="S229">
        <v>0</v>
      </c>
      <c r="T229">
        <f>West2007[[#This Row],[SRS]]-MIN($S$205:$S$236)</f>
        <v>4.8600000000000003</v>
      </c>
    </row>
    <row r="230" spans="1:20" x14ac:dyDescent="0.25">
      <c r="B230" t="s">
        <v>173</v>
      </c>
      <c r="C230">
        <v>48</v>
      </c>
      <c r="D230">
        <v>34</v>
      </c>
      <c r="E230">
        <v>0.58499999999999996</v>
      </c>
      <c r="F230">
        <v>9</v>
      </c>
      <c r="G230">
        <v>111</v>
      </c>
      <c r="H230">
        <v>108.8</v>
      </c>
      <c r="I230">
        <v>2.38</v>
      </c>
      <c r="J230">
        <f>West2008[[#This Row],[SRS]]-MIN($I$205:$I$236)</f>
        <v>10.91</v>
      </c>
      <c r="L230" t="s">
        <v>154</v>
      </c>
      <c r="M230">
        <v>40</v>
      </c>
      <c r="N230">
        <v>42</v>
      </c>
      <c r="O230">
        <v>0.48799999999999999</v>
      </c>
      <c r="P230">
        <v>21</v>
      </c>
      <c r="Q230">
        <v>95.6</v>
      </c>
      <c r="R230">
        <v>96.1</v>
      </c>
      <c r="S230">
        <v>-7.0000000000000007E-2</v>
      </c>
      <c r="T230">
        <f>West2007[[#This Row],[SRS]]-MIN($S$205:$S$236)</f>
        <v>4.79</v>
      </c>
    </row>
    <row r="231" spans="1:20" x14ac:dyDescent="0.25">
      <c r="B231" t="s">
        <v>160</v>
      </c>
      <c r="C231">
        <v>41</v>
      </c>
      <c r="D231">
        <v>41</v>
      </c>
      <c r="E231">
        <v>0.5</v>
      </c>
      <c r="F231">
        <v>13</v>
      </c>
      <c r="G231">
        <v>95.4</v>
      </c>
      <c r="H231">
        <v>96.3</v>
      </c>
      <c r="I231">
        <v>-0.52</v>
      </c>
      <c r="J231">
        <f>West2008[[#This Row],[SRS]]-MIN($I$205:$I$236)</f>
        <v>8.01</v>
      </c>
      <c r="L231" t="s">
        <v>169</v>
      </c>
      <c r="M231">
        <v>39</v>
      </c>
      <c r="N231">
        <v>43</v>
      </c>
      <c r="O231">
        <v>0.47599999999999998</v>
      </c>
      <c r="P231">
        <v>28</v>
      </c>
      <c r="Q231">
        <v>95.5</v>
      </c>
      <c r="R231">
        <v>97.1</v>
      </c>
      <c r="S231">
        <v>-1.19</v>
      </c>
      <c r="T231">
        <f>West2007[[#This Row],[SRS]]-MIN($S$205:$S$236)</f>
        <v>3.6700000000000004</v>
      </c>
    </row>
    <row r="232" spans="1:20" x14ac:dyDescent="0.25">
      <c r="B232" t="s">
        <v>167</v>
      </c>
      <c r="C232">
        <v>38</v>
      </c>
      <c r="D232">
        <v>44</v>
      </c>
      <c r="E232">
        <v>0.46300000000000002</v>
      </c>
      <c r="F232">
        <v>19</v>
      </c>
      <c r="G232">
        <v>102.5</v>
      </c>
      <c r="H232">
        <v>104.8</v>
      </c>
      <c r="I232">
        <v>-1.86</v>
      </c>
      <c r="J232">
        <f>West2008[[#This Row],[SRS]]-MIN($I$205:$I$236)</f>
        <v>6.669999999999999</v>
      </c>
      <c r="L232" t="s">
        <v>167</v>
      </c>
      <c r="M232">
        <v>33</v>
      </c>
      <c r="N232">
        <v>49</v>
      </c>
      <c r="O232">
        <v>0.40200000000000002</v>
      </c>
      <c r="P232">
        <v>28</v>
      </c>
      <c r="Q232">
        <v>101.3</v>
      </c>
      <c r="R232">
        <v>103.1</v>
      </c>
      <c r="S232">
        <v>-1.35</v>
      </c>
      <c r="T232">
        <f>West2007[[#This Row],[SRS]]-MIN($S$205:$S$236)</f>
        <v>3.5100000000000002</v>
      </c>
    </row>
    <row r="233" spans="1:20" x14ac:dyDescent="0.25">
      <c r="B233" t="s">
        <v>154</v>
      </c>
      <c r="C233">
        <v>23</v>
      </c>
      <c r="D233">
        <v>59</v>
      </c>
      <c r="E233">
        <v>0.28000000000000003</v>
      </c>
      <c r="F233">
        <v>34</v>
      </c>
      <c r="G233">
        <v>93.8</v>
      </c>
      <c r="H233">
        <v>101.1</v>
      </c>
      <c r="I233">
        <v>-6.56</v>
      </c>
      <c r="J233">
        <f>West2008[[#This Row],[SRS]]-MIN($I$205:$I$236)</f>
        <v>1.9699999999999998</v>
      </c>
      <c r="L233" t="s">
        <v>160</v>
      </c>
      <c r="M233">
        <v>32</v>
      </c>
      <c r="N233">
        <v>50</v>
      </c>
      <c r="O233">
        <v>0.39</v>
      </c>
      <c r="P233">
        <v>19</v>
      </c>
      <c r="Q233">
        <v>94.1</v>
      </c>
      <c r="R233">
        <v>98.4</v>
      </c>
      <c r="S233">
        <v>-3.78</v>
      </c>
      <c r="T233">
        <f>West2007[[#This Row],[SRS]]-MIN($S$205:$S$236)</f>
        <v>1.0800000000000005</v>
      </c>
    </row>
    <row r="234" spans="1:20" x14ac:dyDescent="0.25">
      <c r="B234" t="s">
        <v>171</v>
      </c>
      <c r="C234">
        <v>22</v>
      </c>
      <c r="D234">
        <v>60</v>
      </c>
      <c r="E234">
        <v>0.26800000000000002</v>
      </c>
      <c r="F234">
        <v>32</v>
      </c>
      <c r="G234">
        <v>95.6</v>
      </c>
      <c r="H234">
        <v>102.4</v>
      </c>
      <c r="I234">
        <v>-6.26</v>
      </c>
      <c r="J234">
        <f>West2008[[#This Row],[SRS]]-MIN($I$205:$I$236)</f>
        <v>2.2699999999999996</v>
      </c>
      <c r="L234" t="s">
        <v>171</v>
      </c>
      <c r="M234">
        <v>32</v>
      </c>
      <c r="N234">
        <v>50</v>
      </c>
      <c r="O234">
        <v>0.39</v>
      </c>
      <c r="P234">
        <v>19</v>
      </c>
      <c r="Q234">
        <v>96.1</v>
      </c>
      <c r="R234">
        <v>99.7</v>
      </c>
      <c r="S234">
        <v>-3.16</v>
      </c>
      <c r="T234">
        <f>West2007[[#This Row],[SRS]]-MIN($S$205:$S$236)</f>
        <v>1.7000000000000002</v>
      </c>
    </row>
    <row r="235" spans="1:20" x14ac:dyDescent="0.25">
      <c r="B235" t="s">
        <v>162</v>
      </c>
      <c r="C235">
        <v>22</v>
      </c>
      <c r="D235">
        <v>60</v>
      </c>
      <c r="E235">
        <v>0.26800000000000002</v>
      </c>
      <c r="F235">
        <v>34</v>
      </c>
      <c r="G235">
        <v>100.7</v>
      </c>
      <c r="H235">
        <v>106.9</v>
      </c>
      <c r="I235">
        <v>-5.76</v>
      </c>
      <c r="J235">
        <f>West2008[[#This Row],[SRS]]-MIN($I$205:$I$236)</f>
        <v>2.7699999999999996</v>
      </c>
      <c r="L235" t="s">
        <v>157</v>
      </c>
      <c r="M235">
        <v>31</v>
      </c>
      <c r="N235">
        <v>51</v>
      </c>
      <c r="O235">
        <v>0.378</v>
      </c>
      <c r="P235">
        <v>20</v>
      </c>
      <c r="Q235">
        <v>99.1</v>
      </c>
      <c r="R235">
        <v>102</v>
      </c>
      <c r="S235">
        <v>-2.4500000000000002</v>
      </c>
      <c r="T235">
        <f>West2007[[#This Row],[SRS]]-MIN($S$205:$S$236)</f>
        <v>2.41</v>
      </c>
    </row>
    <row r="236" spans="1:20" x14ac:dyDescent="0.25">
      <c r="B236" t="s">
        <v>157</v>
      </c>
      <c r="C236">
        <v>20</v>
      </c>
      <c r="D236">
        <v>62</v>
      </c>
      <c r="E236">
        <v>0.24399999999999999</v>
      </c>
      <c r="F236">
        <v>34</v>
      </c>
      <c r="G236">
        <v>97.5</v>
      </c>
      <c r="H236">
        <v>106.3</v>
      </c>
      <c r="I236">
        <v>-8.0399999999999991</v>
      </c>
      <c r="J236">
        <f>West2008[[#This Row],[SRS]]-MIN($I$205:$I$236)</f>
        <v>0.49000000000000021</v>
      </c>
      <c r="L236" t="s">
        <v>162</v>
      </c>
      <c r="M236">
        <v>22</v>
      </c>
      <c r="N236">
        <v>60</v>
      </c>
      <c r="O236">
        <v>0.26800000000000002</v>
      </c>
      <c r="P236">
        <v>45</v>
      </c>
      <c r="Q236">
        <v>101.6</v>
      </c>
      <c r="R236">
        <v>106.7</v>
      </c>
      <c r="S236">
        <v>-4.4400000000000004</v>
      </c>
      <c r="T236">
        <f>West2007[[#This Row],[SRS]]-MIN($S$205:$S$236)</f>
        <v>0.41999999999999993</v>
      </c>
    </row>
    <row r="238" spans="1:20" x14ac:dyDescent="0.25">
      <c r="A238" t="s">
        <v>259</v>
      </c>
      <c r="B238" t="s">
        <v>0</v>
      </c>
      <c r="C238" t="s">
        <v>1</v>
      </c>
      <c r="D238" t="s">
        <v>2</v>
      </c>
      <c r="E238" t="s">
        <v>175</v>
      </c>
      <c r="F238" t="s">
        <v>4</v>
      </c>
      <c r="G238" t="s">
        <v>125</v>
      </c>
      <c r="H238" t="s">
        <v>126</v>
      </c>
      <c r="I238" t="s">
        <v>127</v>
      </c>
      <c r="J238" t="s">
        <v>179</v>
      </c>
      <c r="K238" t="s">
        <v>260</v>
      </c>
      <c r="L238" t="s">
        <v>0</v>
      </c>
      <c r="M238" t="s">
        <v>1</v>
      </c>
      <c r="N238" t="s">
        <v>2</v>
      </c>
      <c r="O238" t="s">
        <v>175</v>
      </c>
      <c r="P238" t="s">
        <v>4</v>
      </c>
      <c r="Q238" t="s">
        <v>125</v>
      </c>
      <c r="R238" t="s">
        <v>126</v>
      </c>
      <c r="S238" t="s">
        <v>127</v>
      </c>
      <c r="T238" t="s">
        <v>179</v>
      </c>
    </row>
    <row r="239" spans="1:20" x14ac:dyDescent="0.25">
      <c r="B239" t="s">
        <v>148</v>
      </c>
      <c r="C239">
        <v>64</v>
      </c>
      <c r="D239">
        <v>18</v>
      </c>
      <c r="E239">
        <v>0.78</v>
      </c>
      <c r="F239" t="s">
        <v>9</v>
      </c>
      <c r="G239">
        <v>96.8</v>
      </c>
      <c r="H239">
        <v>90.2</v>
      </c>
      <c r="I239">
        <v>6.24</v>
      </c>
      <c r="J239">
        <f>East2006[[#This Row],[SRS]]-MIN($I$239:$I$270)</f>
        <v>15.15</v>
      </c>
      <c r="L239" t="s">
        <v>132</v>
      </c>
      <c r="M239">
        <v>59</v>
      </c>
      <c r="N239">
        <v>23</v>
      </c>
      <c r="O239">
        <v>0.72</v>
      </c>
      <c r="P239" t="s">
        <v>9</v>
      </c>
      <c r="Q239">
        <v>101.5</v>
      </c>
      <c r="R239">
        <v>95</v>
      </c>
      <c r="S239">
        <v>5.77</v>
      </c>
      <c r="T239">
        <f>East2005[[#This Row],[SRS]]-MIN($S$239:$S$270)</f>
        <v>15.389999999999999</v>
      </c>
    </row>
    <row r="240" spans="1:20" x14ac:dyDescent="0.25">
      <c r="B240" t="s">
        <v>132</v>
      </c>
      <c r="C240">
        <v>52</v>
      </c>
      <c r="D240">
        <v>30</v>
      </c>
      <c r="E240">
        <v>0.63400000000000001</v>
      </c>
      <c r="F240" t="s">
        <v>9</v>
      </c>
      <c r="G240">
        <v>99.9</v>
      </c>
      <c r="H240">
        <v>96</v>
      </c>
      <c r="I240">
        <v>3.59</v>
      </c>
      <c r="J240">
        <f>East2006[[#This Row],[SRS]]-MIN($I$239:$I$270)</f>
        <v>12.5</v>
      </c>
      <c r="L240" t="s">
        <v>148</v>
      </c>
      <c r="M240">
        <v>54</v>
      </c>
      <c r="N240">
        <v>28</v>
      </c>
      <c r="O240">
        <v>0.65900000000000003</v>
      </c>
      <c r="P240" t="s">
        <v>9</v>
      </c>
      <c r="Q240">
        <v>93.3</v>
      </c>
      <c r="R240">
        <v>89.5</v>
      </c>
      <c r="S240">
        <v>3.31</v>
      </c>
      <c r="T240">
        <f>East2005[[#This Row],[SRS]]-MIN($S$239:$S$270)</f>
        <v>12.93</v>
      </c>
    </row>
    <row r="241" spans="2:20" x14ac:dyDescent="0.25">
      <c r="B241" t="s">
        <v>152</v>
      </c>
      <c r="C241">
        <v>50</v>
      </c>
      <c r="D241">
        <v>32</v>
      </c>
      <c r="E241">
        <v>0.61</v>
      </c>
      <c r="F241">
        <v>14</v>
      </c>
      <c r="G241">
        <v>97.6</v>
      </c>
      <c r="H241">
        <v>95.4</v>
      </c>
      <c r="I241">
        <v>2.17</v>
      </c>
      <c r="J241">
        <f>East2006[[#This Row],[SRS]]-MIN($I$239:$I$270)</f>
        <v>11.08</v>
      </c>
      <c r="L241" t="s">
        <v>144</v>
      </c>
      <c r="M241">
        <v>47</v>
      </c>
      <c r="N241">
        <v>35</v>
      </c>
      <c r="O241">
        <v>0.57299999999999995</v>
      </c>
      <c r="P241">
        <v>7</v>
      </c>
      <c r="Q241">
        <v>94.5</v>
      </c>
      <c r="R241">
        <v>93.4</v>
      </c>
      <c r="S241">
        <v>0.65</v>
      </c>
      <c r="T241">
        <f>East2005[[#This Row],[SRS]]-MIN($S$239:$S$270)</f>
        <v>10.27</v>
      </c>
    </row>
    <row r="242" spans="2:20" x14ac:dyDescent="0.25">
      <c r="B242" t="s">
        <v>136</v>
      </c>
      <c r="C242">
        <v>49</v>
      </c>
      <c r="D242">
        <v>33</v>
      </c>
      <c r="E242">
        <v>0.59799999999999998</v>
      </c>
      <c r="F242" t="s">
        <v>9</v>
      </c>
      <c r="G242">
        <v>93.8</v>
      </c>
      <c r="H242">
        <v>92.4</v>
      </c>
      <c r="I242">
        <v>1.1100000000000001</v>
      </c>
      <c r="J242">
        <f>East2006[[#This Row],[SRS]]-MIN($I$239:$I$270)</f>
        <v>10.02</v>
      </c>
      <c r="L242" t="s">
        <v>130</v>
      </c>
      <c r="M242">
        <v>45</v>
      </c>
      <c r="N242">
        <v>37</v>
      </c>
      <c r="O242">
        <v>0.54900000000000004</v>
      </c>
      <c r="P242" t="s">
        <v>9</v>
      </c>
      <c r="Q242">
        <v>101.3</v>
      </c>
      <c r="R242">
        <v>100.4</v>
      </c>
      <c r="S242">
        <v>0.35</v>
      </c>
      <c r="T242">
        <f>East2005[[#This Row],[SRS]]-MIN($S$239:$S$270)</f>
        <v>9.9699999999999989</v>
      </c>
    </row>
    <row r="243" spans="2:20" x14ac:dyDescent="0.25">
      <c r="B243" t="s">
        <v>142</v>
      </c>
      <c r="C243">
        <v>42</v>
      </c>
      <c r="D243">
        <v>40</v>
      </c>
      <c r="E243">
        <v>0.51200000000000001</v>
      </c>
      <c r="F243">
        <v>10</v>
      </c>
      <c r="G243">
        <v>101.7</v>
      </c>
      <c r="H243">
        <v>99.8</v>
      </c>
      <c r="I243">
        <v>1.57</v>
      </c>
      <c r="J243">
        <f>East2006[[#This Row],[SRS]]-MIN($I$239:$I$270)</f>
        <v>10.48</v>
      </c>
      <c r="L243" t="s">
        <v>142</v>
      </c>
      <c r="M243">
        <v>45</v>
      </c>
      <c r="N243">
        <v>37</v>
      </c>
      <c r="O243">
        <v>0.54900000000000004</v>
      </c>
      <c r="P243">
        <v>14</v>
      </c>
      <c r="Q243">
        <v>100.5</v>
      </c>
      <c r="R243">
        <v>100.8</v>
      </c>
      <c r="S243">
        <v>-0.71</v>
      </c>
      <c r="T243">
        <f>East2005[[#This Row],[SRS]]-MIN($S$239:$S$270)</f>
        <v>8.91</v>
      </c>
    </row>
    <row r="244" spans="2:20" x14ac:dyDescent="0.25">
      <c r="B244" t="s">
        <v>131</v>
      </c>
      <c r="C244">
        <v>41</v>
      </c>
      <c r="D244">
        <v>41</v>
      </c>
      <c r="E244">
        <v>0.5</v>
      </c>
      <c r="F244">
        <v>23</v>
      </c>
      <c r="G244">
        <v>93.9</v>
      </c>
      <c r="H244">
        <v>92</v>
      </c>
      <c r="I244">
        <v>1.62</v>
      </c>
      <c r="J244">
        <f>East2006[[#This Row],[SRS]]-MIN($I$239:$I$270)</f>
        <v>10.530000000000001</v>
      </c>
      <c r="L244" t="s">
        <v>131</v>
      </c>
      <c r="M244">
        <v>44</v>
      </c>
      <c r="N244">
        <v>38</v>
      </c>
      <c r="O244">
        <v>0.53700000000000003</v>
      </c>
      <c r="P244">
        <v>10</v>
      </c>
      <c r="Q244">
        <v>93</v>
      </c>
      <c r="R244">
        <v>92.2</v>
      </c>
      <c r="S244">
        <v>0.49</v>
      </c>
      <c r="T244">
        <f>East2005[[#This Row],[SRS]]-MIN($S$239:$S$270)</f>
        <v>10.11</v>
      </c>
    </row>
    <row r="245" spans="2:20" x14ac:dyDescent="0.25">
      <c r="B245" t="s">
        <v>144</v>
      </c>
      <c r="C245">
        <v>41</v>
      </c>
      <c r="D245">
        <v>41</v>
      </c>
      <c r="E245">
        <v>0.5</v>
      </c>
      <c r="F245">
        <v>23</v>
      </c>
      <c r="G245">
        <v>97.8</v>
      </c>
      <c r="H245">
        <v>97.2</v>
      </c>
      <c r="I245">
        <v>0.51</v>
      </c>
      <c r="J245">
        <f>East2006[[#This Row],[SRS]]-MIN($I$239:$I$270)</f>
        <v>9.42</v>
      </c>
      <c r="L245" t="s">
        <v>134</v>
      </c>
      <c r="M245">
        <v>43</v>
      </c>
      <c r="N245">
        <v>39</v>
      </c>
      <c r="O245">
        <v>0.52400000000000002</v>
      </c>
      <c r="P245">
        <v>2</v>
      </c>
      <c r="Q245">
        <v>99.1</v>
      </c>
      <c r="R245">
        <v>99.9</v>
      </c>
      <c r="S245">
        <v>-1.07</v>
      </c>
      <c r="T245">
        <f>East2005[[#This Row],[SRS]]-MIN($S$239:$S$270)</f>
        <v>8.5499999999999989</v>
      </c>
    </row>
    <row r="246" spans="2:20" x14ac:dyDescent="0.25">
      <c r="B246" t="s">
        <v>128</v>
      </c>
      <c r="C246">
        <v>40</v>
      </c>
      <c r="D246">
        <v>42</v>
      </c>
      <c r="E246">
        <v>0.48799999999999999</v>
      </c>
      <c r="F246">
        <v>24</v>
      </c>
      <c r="G246">
        <v>97.8</v>
      </c>
      <c r="H246">
        <v>98.8</v>
      </c>
      <c r="I246">
        <v>-1.07</v>
      </c>
      <c r="J246">
        <f>East2006[[#This Row],[SRS]]-MIN($I$239:$I$270)</f>
        <v>7.84</v>
      </c>
      <c r="L246" t="s">
        <v>136</v>
      </c>
      <c r="M246">
        <v>42</v>
      </c>
      <c r="N246">
        <v>40</v>
      </c>
      <c r="O246">
        <v>0.51200000000000001</v>
      </c>
      <c r="P246">
        <v>3</v>
      </c>
      <c r="Q246">
        <v>91.4</v>
      </c>
      <c r="R246">
        <v>92.9</v>
      </c>
      <c r="S246">
        <v>-1.82</v>
      </c>
      <c r="T246">
        <f>East2005[[#This Row],[SRS]]-MIN($S$239:$S$270)</f>
        <v>7.7999999999999989</v>
      </c>
    </row>
    <row r="247" spans="2:20" x14ac:dyDescent="0.25">
      <c r="B247" t="s">
        <v>134</v>
      </c>
      <c r="C247">
        <v>38</v>
      </c>
      <c r="D247">
        <v>44</v>
      </c>
      <c r="E247">
        <v>0.46300000000000002</v>
      </c>
      <c r="F247">
        <v>11</v>
      </c>
      <c r="G247">
        <v>99.4</v>
      </c>
      <c r="H247">
        <v>101.3</v>
      </c>
      <c r="I247">
        <v>-2.1</v>
      </c>
      <c r="J247">
        <f>East2006[[#This Row],[SRS]]-MIN($I$239:$I$270)</f>
        <v>6.8100000000000005</v>
      </c>
      <c r="L247" t="s">
        <v>152</v>
      </c>
      <c r="M247">
        <v>42</v>
      </c>
      <c r="N247">
        <v>40</v>
      </c>
      <c r="O247">
        <v>0.51200000000000001</v>
      </c>
      <c r="P247">
        <v>12</v>
      </c>
      <c r="Q247">
        <v>96.5</v>
      </c>
      <c r="R247">
        <v>95.7</v>
      </c>
      <c r="S247">
        <v>0.27</v>
      </c>
      <c r="T247">
        <f>East2005[[#This Row],[SRS]]-MIN($S$239:$S$270)</f>
        <v>9.8899999999999988</v>
      </c>
    </row>
    <row r="248" spans="2:20" x14ac:dyDescent="0.25">
      <c r="B248" t="s">
        <v>138</v>
      </c>
      <c r="C248">
        <v>36</v>
      </c>
      <c r="D248">
        <v>46</v>
      </c>
      <c r="E248">
        <v>0.439</v>
      </c>
      <c r="F248">
        <v>16</v>
      </c>
      <c r="G248">
        <v>94.9</v>
      </c>
      <c r="H248">
        <v>96</v>
      </c>
      <c r="I248">
        <v>-1.26</v>
      </c>
      <c r="J248">
        <f>East2006[[#This Row],[SRS]]-MIN($I$239:$I$270)</f>
        <v>7.65</v>
      </c>
      <c r="L248" t="s">
        <v>138</v>
      </c>
      <c r="M248">
        <v>36</v>
      </c>
      <c r="N248">
        <v>46</v>
      </c>
      <c r="O248">
        <v>0.439</v>
      </c>
      <c r="P248">
        <v>23</v>
      </c>
      <c r="Q248">
        <v>99.5</v>
      </c>
      <c r="R248">
        <v>101.8</v>
      </c>
      <c r="S248">
        <v>-2.52</v>
      </c>
      <c r="T248">
        <f>East2005[[#This Row],[SRS]]-MIN($S$239:$S$270)</f>
        <v>7.1</v>
      </c>
    </row>
    <row r="249" spans="2:20" x14ac:dyDescent="0.25">
      <c r="B249" t="s">
        <v>130</v>
      </c>
      <c r="C249">
        <v>33</v>
      </c>
      <c r="D249">
        <v>49</v>
      </c>
      <c r="E249">
        <v>0.40200000000000002</v>
      </c>
      <c r="F249">
        <v>16</v>
      </c>
      <c r="G249">
        <v>98</v>
      </c>
      <c r="H249">
        <v>99.5</v>
      </c>
      <c r="I249">
        <v>-1.59</v>
      </c>
      <c r="J249">
        <f>East2006[[#This Row],[SRS]]-MIN($I$239:$I$270)</f>
        <v>7.32</v>
      </c>
      <c r="L249" t="s">
        <v>129</v>
      </c>
      <c r="M249">
        <v>33</v>
      </c>
      <c r="N249">
        <v>49</v>
      </c>
      <c r="O249">
        <v>0.40200000000000002</v>
      </c>
      <c r="P249">
        <v>12</v>
      </c>
      <c r="Q249">
        <v>99.7</v>
      </c>
      <c r="R249">
        <v>101.4</v>
      </c>
      <c r="S249">
        <v>-1.81</v>
      </c>
      <c r="T249">
        <f>East2005[[#This Row],[SRS]]-MIN($S$239:$S$270)</f>
        <v>7.8099999999999987</v>
      </c>
    </row>
    <row r="250" spans="2:20" x14ac:dyDescent="0.25">
      <c r="B250" t="s">
        <v>129</v>
      </c>
      <c r="C250">
        <v>27</v>
      </c>
      <c r="D250">
        <v>55</v>
      </c>
      <c r="E250">
        <v>0.32900000000000001</v>
      </c>
      <c r="F250">
        <v>22</v>
      </c>
      <c r="G250">
        <v>101.1</v>
      </c>
      <c r="H250">
        <v>104</v>
      </c>
      <c r="I250">
        <v>-3.03</v>
      </c>
      <c r="J250">
        <f>East2006[[#This Row],[SRS]]-MIN($I$239:$I$270)</f>
        <v>5.8800000000000008</v>
      </c>
      <c r="L250" t="s">
        <v>146</v>
      </c>
      <c r="M250">
        <v>33</v>
      </c>
      <c r="N250">
        <v>49</v>
      </c>
      <c r="O250">
        <v>0.40200000000000002</v>
      </c>
      <c r="P250">
        <v>12</v>
      </c>
      <c r="Q250">
        <v>97.3</v>
      </c>
      <c r="R250">
        <v>99.7</v>
      </c>
      <c r="S250">
        <v>-2.72</v>
      </c>
      <c r="T250">
        <f>East2005[[#This Row],[SRS]]-MIN($S$239:$S$270)</f>
        <v>6.8999999999999986</v>
      </c>
    </row>
    <row r="251" spans="2:20" x14ac:dyDescent="0.25">
      <c r="B251" t="s">
        <v>140</v>
      </c>
      <c r="C251">
        <v>26</v>
      </c>
      <c r="D251">
        <v>56</v>
      </c>
      <c r="E251">
        <v>0.317</v>
      </c>
      <c r="F251">
        <v>26</v>
      </c>
      <c r="G251">
        <v>96.9</v>
      </c>
      <c r="H251">
        <v>100.9</v>
      </c>
      <c r="I251">
        <v>-3.9</v>
      </c>
      <c r="J251">
        <f>East2006[[#This Row],[SRS]]-MIN($I$239:$I$270)</f>
        <v>5.01</v>
      </c>
      <c r="L251" t="s">
        <v>128</v>
      </c>
      <c r="M251">
        <v>30</v>
      </c>
      <c r="N251">
        <v>52</v>
      </c>
      <c r="O251">
        <v>0.36599999999999999</v>
      </c>
      <c r="P251">
        <v>24</v>
      </c>
      <c r="Q251">
        <v>97.2</v>
      </c>
      <c r="R251">
        <v>100.2</v>
      </c>
      <c r="S251">
        <v>-3.09</v>
      </c>
      <c r="T251">
        <f>East2005[[#This Row],[SRS]]-MIN($S$239:$S$270)</f>
        <v>6.5299999999999994</v>
      </c>
    </row>
    <row r="252" spans="2:20" x14ac:dyDescent="0.25">
      <c r="B252" t="s">
        <v>150</v>
      </c>
      <c r="C252">
        <v>26</v>
      </c>
      <c r="D252">
        <v>56</v>
      </c>
      <c r="E252">
        <v>0.317</v>
      </c>
      <c r="F252">
        <v>26</v>
      </c>
      <c r="G252">
        <v>97.2</v>
      </c>
      <c r="H252">
        <v>102</v>
      </c>
      <c r="I252">
        <v>-4.6900000000000004</v>
      </c>
      <c r="J252">
        <f>East2006[[#This Row],[SRS]]-MIN($I$239:$I$270)</f>
        <v>4.22</v>
      </c>
      <c r="L252" t="s">
        <v>140</v>
      </c>
      <c r="M252">
        <v>18</v>
      </c>
      <c r="N252">
        <v>64</v>
      </c>
      <c r="O252">
        <v>0.22</v>
      </c>
      <c r="P252">
        <v>41</v>
      </c>
      <c r="Q252">
        <v>94.3</v>
      </c>
      <c r="R252">
        <v>100.2</v>
      </c>
      <c r="S252">
        <v>-6.15</v>
      </c>
      <c r="T252">
        <f>East2005[[#This Row],[SRS]]-MIN($S$239:$S$270)</f>
        <v>3.4699999999999989</v>
      </c>
    </row>
    <row r="253" spans="2:20" x14ac:dyDescent="0.25">
      <c r="B253" t="s">
        <v>146</v>
      </c>
      <c r="C253">
        <v>23</v>
      </c>
      <c r="D253">
        <v>59</v>
      </c>
      <c r="E253">
        <v>0.28000000000000003</v>
      </c>
      <c r="F253">
        <v>26</v>
      </c>
      <c r="G253">
        <v>95.6</v>
      </c>
      <c r="H253">
        <v>102</v>
      </c>
      <c r="I253">
        <v>-6.3</v>
      </c>
      <c r="J253">
        <f>East2006[[#This Row],[SRS]]-MIN($I$239:$I$270)</f>
        <v>2.6100000000000003</v>
      </c>
      <c r="L253" t="s">
        <v>150</v>
      </c>
      <c r="M253">
        <v>13</v>
      </c>
      <c r="N253">
        <v>69</v>
      </c>
      <c r="O253">
        <v>0.159</v>
      </c>
      <c r="P253">
        <v>46</v>
      </c>
      <c r="Q253">
        <v>92.7</v>
      </c>
      <c r="R253">
        <v>102.5</v>
      </c>
      <c r="S253">
        <v>-9.6199999999999992</v>
      </c>
      <c r="T253">
        <f>East2005[[#This Row],[SRS]]-MIN($S$239:$S$270)</f>
        <v>0</v>
      </c>
    </row>
    <row r="255" spans="2:20" x14ac:dyDescent="0.25">
      <c r="B255" t="s">
        <v>0</v>
      </c>
      <c r="C255" t="s">
        <v>1</v>
      </c>
      <c r="D255" t="s">
        <v>2</v>
      </c>
      <c r="E255" t="s">
        <v>175</v>
      </c>
      <c r="F255" t="s">
        <v>4</v>
      </c>
      <c r="G255" t="s">
        <v>125</v>
      </c>
      <c r="H255" t="s">
        <v>126</v>
      </c>
      <c r="I255" t="s">
        <v>127</v>
      </c>
      <c r="J255" t="s">
        <v>179</v>
      </c>
      <c r="L255" t="s">
        <v>0</v>
      </c>
      <c r="M255" t="s">
        <v>1</v>
      </c>
      <c r="N255" t="s">
        <v>2</v>
      </c>
      <c r="O255" t="s">
        <v>175</v>
      </c>
      <c r="P255" t="s">
        <v>4</v>
      </c>
      <c r="Q255" t="s">
        <v>125</v>
      </c>
      <c r="R255" t="s">
        <v>126</v>
      </c>
      <c r="S255" t="s">
        <v>127</v>
      </c>
      <c r="T255" t="s">
        <v>179</v>
      </c>
    </row>
    <row r="256" spans="2:20" x14ac:dyDescent="0.25">
      <c r="B256" t="s">
        <v>165</v>
      </c>
      <c r="C256">
        <v>63</v>
      </c>
      <c r="D256">
        <v>19</v>
      </c>
      <c r="E256">
        <v>0.76800000000000002</v>
      </c>
      <c r="F256" t="s">
        <v>9</v>
      </c>
      <c r="G256">
        <v>95.6</v>
      </c>
      <c r="H256">
        <v>88.8</v>
      </c>
      <c r="I256">
        <v>6.69</v>
      </c>
      <c r="J256">
        <f>West2006[[#This Row],[SRS]]-MIN($I$239:$I$270)</f>
        <v>15.600000000000001</v>
      </c>
      <c r="L256" t="s">
        <v>164</v>
      </c>
      <c r="M256">
        <v>62</v>
      </c>
      <c r="N256">
        <v>20</v>
      </c>
      <c r="O256">
        <v>0.75600000000000001</v>
      </c>
      <c r="P256" t="s">
        <v>9</v>
      </c>
      <c r="Q256">
        <v>110.4</v>
      </c>
      <c r="R256">
        <v>103.3</v>
      </c>
      <c r="S256">
        <v>7.08</v>
      </c>
      <c r="T256">
        <f>West2005[[#This Row],[SRS]]-MIN($S$239:$S$270)</f>
        <v>16.7</v>
      </c>
    </row>
    <row r="257" spans="1:20" x14ac:dyDescent="0.25">
      <c r="B257" t="s">
        <v>159</v>
      </c>
      <c r="C257">
        <v>60</v>
      </c>
      <c r="D257">
        <v>22</v>
      </c>
      <c r="E257">
        <v>0.73199999999999998</v>
      </c>
      <c r="F257">
        <v>3</v>
      </c>
      <c r="G257">
        <v>99.1</v>
      </c>
      <c r="H257">
        <v>93.1</v>
      </c>
      <c r="I257">
        <v>5.96</v>
      </c>
      <c r="J257">
        <f>West2006[[#This Row],[SRS]]-MIN($I$239:$I$270)</f>
        <v>14.870000000000001</v>
      </c>
      <c r="L257" t="s">
        <v>165</v>
      </c>
      <c r="M257">
        <v>59</v>
      </c>
      <c r="N257">
        <v>23</v>
      </c>
      <c r="O257">
        <v>0.72</v>
      </c>
      <c r="P257" t="s">
        <v>9</v>
      </c>
      <c r="Q257">
        <v>96.2</v>
      </c>
      <c r="R257">
        <v>88.4</v>
      </c>
      <c r="S257">
        <v>7.84</v>
      </c>
      <c r="T257">
        <f>West2005[[#This Row],[SRS]]-MIN($S$239:$S$270)</f>
        <v>17.46</v>
      </c>
    </row>
    <row r="258" spans="1:20" x14ac:dyDescent="0.25">
      <c r="B258" t="s">
        <v>164</v>
      </c>
      <c r="C258">
        <v>54</v>
      </c>
      <c r="D258">
        <v>28</v>
      </c>
      <c r="E258">
        <v>0.65900000000000003</v>
      </c>
      <c r="F258" t="s">
        <v>9</v>
      </c>
      <c r="G258">
        <v>108.4</v>
      </c>
      <c r="H258">
        <v>102.8</v>
      </c>
      <c r="I258">
        <v>5.48</v>
      </c>
      <c r="J258">
        <f>West2006[[#This Row],[SRS]]-MIN($I$239:$I$270)</f>
        <v>14.39</v>
      </c>
      <c r="L258" t="s">
        <v>159</v>
      </c>
      <c r="M258">
        <v>58</v>
      </c>
      <c r="N258">
        <v>24</v>
      </c>
      <c r="O258">
        <v>0.70699999999999996</v>
      </c>
      <c r="P258">
        <v>1</v>
      </c>
      <c r="Q258">
        <v>102.5</v>
      </c>
      <c r="R258">
        <v>96.8</v>
      </c>
      <c r="S258">
        <v>5.86</v>
      </c>
      <c r="T258">
        <f>West2005[[#This Row],[SRS]]-MIN($S$239:$S$270)</f>
        <v>15.48</v>
      </c>
    </row>
    <row r="259" spans="1:20" x14ac:dyDescent="0.25">
      <c r="B259" t="s">
        <v>162</v>
      </c>
      <c r="C259">
        <v>49</v>
      </c>
      <c r="D259">
        <v>33</v>
      </c>
      <c r="E259">
        <v>0.59799999999999998</v>
      </c>
      <c r="F259">
        <v>14</v>
      </c>
      <c r="G259">
        <v>92.2</v>
      </c>
      <c r="H259">
        <v>88.5</v>
      </c>
      <c r="I259">
        <v>3.74</v>
      </c>
      <c r="J259">
        <f>West2006[[#This Row],[SRS]]-MIN($I$239:$I$270)</f>
        <v>12.65</v>
      </c>
      <c r="L259" t="s">
        <v>157</v>
      </c>
      <c r="M259">
        <v>52</v>
      </c>
      <c r="N259">
        <v>30</v>
      </c>
      <c r="O259">
        <v>0.63400000000000001</v>
      </c>
      <c r="P259" t="s">
        <v>9</v>
      </c>
      <c r="Q259">
        <v>98.9</v>
      </c>
      <c r="R259">
        <v>96.6</v>
      </c>
      <c r="S259">
        <v>2.59</v>
      </c>
      <c r="T259">
        <f>West2005[[#This Row],[SRS]]-MIN($S$239:$S$270)</f>
        <v>12.209999999999999</v>
      </c>
    </row>
    <row r="260" spans="1:20" x14ac:dyDescent="0.25">
      <c r="B260" t="s">
        <v>154</v>
      </c>
      <c r="C260">
        <v>47</v>
      </c>
      <c r="D260">
        <v>35</v>
      </c>
      <c r="E260">
        <v>0.57299999999999995</v>
      </c>
      <c r="F260">
        <v>7</v>
      </c>
      <c r="G260">
        <v>97.2</v>
      </c>
      <c r="H260">
        <v>95.6</v>
      </c>
      <c r="I260">
        <v>1.75</v>
      </c>
      <c r="J260">
        <f>West2006[[#This Row],[SRS]]-MIN($I$239:$I$270)</f>
        <v>10.66</v>
      </c>
      <c r="L260" t="s">
        <v>156</v>
      </c>
      <c r="M260">
        <v>51</v>
      </c>
      <c r="N260">
        <v>31</v>
      </c>
      <c r="O260">
        <v>0.622</v>
      </c>
      <c r="P260">
        <v>8</v>
      </c>
      <c r="Q260">
        <v>95.1</v>
      </c>
      <c r="R260">
        <v>91</v>
      </c>
      <c r="S260">
        <v>4.2699999999999996</v>
      </c>
      <c r="T260">
        <f>West2005[[#This Row],[SRS]]-MIN($S$239:$S$270)</f>
        <v>13.889999999999999</v>
      </c>
    </row>
    <row r="261" spans="1:20" x14ac:dyDescent="0.25">
      <c r="B261" t="s">
        <v>153</v>
      </c>
      <c r="C261">
        <v>45</v>
      </c>
      <c r="D261">
        <v>37</v>
      </c>
      <c r="E261">
        <v>0.54900000000000004</v>
      </c>
      <c r="F261">
        <v>9</v>
      </c>
      <c r="G261">
        <v>99.4</v>
      </c>
      <c r="H261">
        <v>96.9</v>
      </c>
      <c r="I261">
        <v>2.5299999999999998</v>
      </c>
      <c r="J261">
        <f>West2006[[#This Row],[SRS]]-MIN($I$239:$I$270)</f>
        <v>11.44</v>
      </c>
      <c r="L261" t="s">
        <v>167</v>
      </c>
      <c r="M261">
        <v>50</v>
      </c>
      <c r="N261">
        <v>32</v>
      </c>
      <c r="O261">
        <v>0.61</v>
      </c>
      <c r="P261">
        <v>12</v>
      </c>
      <c r="Q261">
        <v>103.7</v>
      </c>
      <c r="R261">
        <v>101.6</v>
      </c>
      <c r="S261">
        <v>2.56</v>
      </c>
      <c r="T261">
        <f>West2005[[#This Row],[SRS]]-MIN($S$239:$S$270)</f>
        <v>12.18</v>
      </c>
    </row>
    <row r="262" spans="1:20" x14ac:dyDescent="0.25">
      <c r="B262" t="s">
        <v>155</v>
      </c>
      <c r="C262">
        <v>44</v>
      </c>
      <c r="D262">
        <v>38</v>
      </c>
      <c r="E262">
        <v>0.53700000000000003</v>
      </c>
      <c r="F262" t="s">
        <v>9</v>
      </c>
      <c r="G262">
        <v>100.3</v>
      </c>
      <c r="H262">
        <v>100.1</v>
      </c>
      <c r="I262">
        <v>0.36</v>
      </c>
      <c r="J262">
        <f>West2006[[#This Row],[SRS]]-MIN($I$239:$I$270)</f>
        <v>9.27</v>
      </c>
      <c r="L262" t="s">
        <v>155</v>
      </c>
      <c r="M262">
        <v>49</v>
      </c>
      <c r="N262">
        <v>33</v>
      </c>
      <c r="O262">
        <v>0.59799999999999998</v>
      </c>
      <c r="P262">
        <v>3</v>
      </c>
      <c r="Q262">
        <v>99.5</v>
      </c>
      <c r="R262">
        <v>97.5</v>
      </c>
      <c r="S262">
        <v>2.23</v>
      </c>
      <c r="T262">
        <f>West2005[[#This Row],[SRS]]-MIN($S$239:$S$270)</f>
        <v>11.85</v>
      </c>
    </row>
    <row r="263" spans="1:20" x14ac:dyDescent="0.25">
      <c r="B263" t="s">
        <v>167</v>
      </c>
      <c r="C263">
        <v>44</v>
      </c>
      <c r="D263">
        <v>38</v>
      </c>
      <c r="E263">
        <v>0.53700000000000003</v>
      </c>
      <c r="F263">
        <v>10</v>
      </c>
      <c r="G263">
        <v>98.9</v>
      </c>
      <c r="H263">
        <v>97.3</v>
      </c>
      <c r="I263">
        <v>1.61</v>
      </c>
      <c r="J263">
        <f>West2006[[#This Row],[SRS]]-MIN($I$239:$I$270)</f>
        <v>10.52</v>
      </c>
      <c r="L263" t="s">
        <v>162</v>
      </c>
      <c r="M263">
        <v>45</v>
      </c>
      <c r="N263">
        <v>37</v>
      </c>
      <c r="O263">
        <v>0.54900000000000004</v>
      </c>
      <c r="P263">
        <v>14</v>
      </c>
      <c r="Q263">
        <v>93.4</v>
      </c>
      <c r="R263">
        <v>91.1</v>
      </c>
      <c r="S263">
        <v>2.64</v>
      </c>
      <c r="T263">
        <f>West2005[[#This Row],[SRS]]-MIN($S$239:$S$270)</f>
        <v>12.26</v>
      </c>
    </row>
    <row r="264" spans="1:20" x14ac:dyDescent="0.25">
      <c r="B264" t="s">
        <v>158</v>
      </c>
      <c r="C264">
        <v>41</v>
      </c>
      <c r="D264">
        <v>41</v>
      </c>
      <c r="E264">
        <v>0.5</v>
      </c>
      <c r="F264">
        <v>3</v>
      </c>
      <c r="G264">
        <v>92.4</v>
      </c>
      <c r="H264">
        <v>95</v>
      </c>
      <c r="I264">
        <v>-2.4900000000000002</v>
      </c>
      <c r="J264">
        <f>West2006[[#This Row],[SRS]]-MIN($I$239:$I$270)</f>
        <v>6.42</v>
      </c>
      <c r="L264" t="s">
        <v>171</v>
      </c>
      <c r="M264">
        <v>44</v>
      </c>
      <c r="N264">
        <v>38</v>
      </c>
      <c r="O264">
        <v>0.53700000000000003</v>
      </c>
      <c r="P264">
        <v>8</v>
      </c>
      <c r="Q264">
        <v>96.8</v>
      </c>
      <c r="R264">
        <v>95.3</v>
      </c>
      <c r="S264">
        <v>1.73</v>
      </c>
      <c r="T264">
        <f>West2005[[#This Row],[SRS]]-MIN($S$239:$S$270)</f>
        <v>11.35</v>
      </c>
    </row>
    <row r="265" spans="1:20" x14ac:dyDescent="0.25">
      <c r="B265" t="s">
        <v>169</v>
      </c>
      <c r="C265">
        <v>38</v>
      </c>
      <c r="D265">
        <v>44</v>
      </c>
      <c r="E265">
        <v>0.46300000000000002</v>
      </c>
      <c r="F265">
        <v>25</v>
      </c>
      <c r="G265">
        <v>92.8</v>
      </c>
      <c r="H265">
        <v>95.6</v>
      </c>
      <c r="I265">
        <v>-2.5099999999999998</v>
      </c>
      <c r="J265">
        <f>West2006[[#This Row],[SRS]]-MIN($I$239:$I$270)</f>
        <v>6.4</v>
      </c>
      <c r="L265" t="s">
        <v>154</v>
      </c>
      <c r="M265">
        <v>37</v>
      </c>
      <c r="N265">
        <v>45</v>
      </c>
      <c r="O265">
        <v>0.45100000000000001</v>
      </c>
      <c r="P265">
        <v>25</v>
      </c>
      <c r="Q265">
        <v>95.7</v>
      </c>
      <c r="R265">
        <v>96.5</v>
      </c>
      <c r="S265">
        <v>-0.47</v>
      </c>
      <c r="T265">
        <f>West2005[[#This Row],[SRS]]-MIN($S$239:$S$270)</f>
        <v>9.1499999999999986</v>
      </c>
    </row>
    <row r="266" spans="1:20" x14ac:dyDescent="0.25">
      <c r="B266" t="s">
        <v>157</v>
      </c>
      <c r="C266">
        <v>35</v>
      </c>
      <c r="D266">
        <v>47</v>
      </c>
      <c r="E266">
        <v>0.42699999999999999</v>
      </c>
      <c r="F266">
        <v>9</v>
      </c>
      <c r="G266">
        <v>102.6</v>
      </c>
      <c r="H266">
        <v>105.6</v>
      </c>
      <c r="I266">
        <v>-2.88</v>
      </c>
      <c r="J266">
        <f>West2006[[#This Row],[SRS]]-MIN($I$239:$I$270)</f>
        <v>6.03</v>
      </c>
      <c r="L266" t="s">
        <v>153</v>
      </c>
      <c r="M266">
        <v>34</v>
      </c>
      <c r="N266">
        <v>48</v>
      </c>
      <c r="O266">
        <v>0.41499999999999998</v>
      </c>
      <c r="P266">
        <v>28</v>
      </c>
      <c r="Q266">
        <v>98.7</v>
      </c>
      <c r="R266">
        <v>101.7</v>
      </c>
      <c r="S266">
        <v>-2.3199999999999998</v>
      </c>
      <c r="T266">
        <f>West2005[[#This Row],[SRS]]-MIN($S$239:$S$270)</f>
        <v>7.2999999999999989</v>
      </c>
    </row>
    <row r="267" spans="1:20" x14ac:dyDescent="0.25">
      <c r="B267" t="s">
        <v>173</v>
      </c>
      <c r="C267">
        <v>34</v>
      </c>
      <c r="D267">
        <v>48</v>
      </c>
      <c r="E267">
        <v>0.41499999999999998</v>
      </c>
      <c r="F267">
        <v>20</v>
      </c>
      <c r="G267">
        <v>98.5</v>
      </c>
      <c r="H267">
        <v>99.8</v>
      </c>
      <c r="I267">
        <v>-1.1100000000000001</v>
      </c>
      <c r="J267">
        <f>West2006[[#This Row],[SRS]]-MIN($I$239:$I$270)</f>
        <v>7.8</v>
      </c>
      <c r="L267" t="s">
        <v>173</v>
      </c>
      <c r="M267">
        <v>34</v>
      </c>
      <c r="N267">
        <v>48</v>
      </c>
      <c r="O267">
        <v>0.41499999999999998</v>
      </c>
      <c r="P267">
        <v>28</v>
      </c>
      <c r="Q267">
        <v>98.7</v>
      </c>
      <c r="R267">
        <v>100.9</v>
      </c>
      <c r="S267">
        <v>-1.74</v>
      </c>
      <c r="T267">
        <f>West2005[[#This Row],[SRS]]-MIN($S$239:$S$270)</f>
        <v>7.879999999999999</v>
      </c>
    </row>
    <row r="268" spans="1:20" x14ac:dyDescent="0.25">
      <c r="B268" t="s">
        <v>156</v>
      </c>
      <c r="C268">
        <v>34</v>
      </c>
      <c r="D268">
        <v>48</v>
      </c>
      <c r="E268">
        <v>0.41499999999999998</v>
      </c>
      <c r="F268">
        <v>29</v>
      </c>
      <c r="G268">
        <v>90.1</v>
      </c>
      <c r="H268">
        <v>91.7</v>
      </c>
      <c r="I268">
        <v>-1.3</v>
      </c>
      <c r="J268">
        <f>West2006[[#This Row],[SRS]]-MIN($I$239:$I$270)</f>
        <v>7.61</v>
      </c>
      <c r="L268" t="s">
        <v>160</v>
      </c>
      <c r="M268">
        <v>27</v>
      </c>
      <c r="N268">
        <v>55</v>
      </c>
      <c r="O268">
        <v>0.32900000000000001</v>
      </c>
      <c r="P268">
        <v>25</v>
      </c>
      <c r="Q268">
        <v>92.9</v>
      </c>
      <c r="R268">
        <v>96.9</v>
      </c>
      <c r="S268">
        <v>-3.45</v>
      </c>
      <c r="T268">
        <f>West2005[[#This Row],[SRS]]-MIN($S$239:$S$270)</f>
        <v>6.169999999999999</v>
      </c>
    </row>
    <row r="269" spans="1:20" x14ac:dyDescent="0.25">
      <c r="B269" t="s">
        <v>171</v>
      </c>
      <c r="C269">
        <v>33</v>
      </c>
      <c r="D269">
        <v>49</v>
      </c>
      <c r="E269">
        <v>0.40200000000000002</v>
      </c>
      <c r="F269">
        <v>11</v>
      </c>
      <c r="G269">
        <v>91.7</v>
      </c>
      <c r="H269">
        <v>93.6</v>
      </c>
      <c r="I269">
        <v>-1.75</v>
      </c>
      <c r="J269">
        <f>West2006[[#This Row],[SRS]]-MIN($I$239:$I$270)</f>
        <v>7.16</v>
      </c>
      <c r="L269" t="s">
        <v>158</v>
      </c>
      <c r="M269">
        <v>26</v>
      </c>
      <c r="N269">
        <v>56</v>
      </c>
      <c r="O269">
        <v>0.317</v>
      </c>
      <c r="P269">
        <v>26</v>
      </c>
      <c r="Q269">
        <v>93</v>
      </c>
      <c r="R269">
        <v>97.3</v>
      </c>
      <c r="S269">
        <v>-3.74</v>
      </c>
      <c r="T269">
        <f>West2005[[#This Row],[SRS]]-MIN($S$239:$S$270)</f>
        <v>5.879999999999999</v>
      </c>
    </row>
    <row r="270" spans="1:20" x14ac:dyDescent="0.25">
      <c r="B270" t="s">
        <v>160</v>
      </c>
      <c r="C270">
        <v>21</v>
      </c>
      <c r="D270">
        <v>61</v>
      </c>
      <c r="E270">
        <v>0.25600000000000001</v>
      </c>
      <c r="F270">
        <v>23</v>
      </c>
      <c r="G270">
        <v>88.8</v>
      </c>
      <c r="H270">
        <v>98.3</v>
      </c>
      <c r="I270">
        <v>-8.91</v>
      </c>
      <c r="J270">
        <f>West2006[[#This Row],[SRS]]-MIN($I$239:$I$270)</f>
        <v>0</v>
      </c>
      <c r="L270" t="s">
        <v>169</v>
      </c>
      <c r="M270">
        <v>18</v>
      </c>
      <c r="N270">
        <v>64</v>
      </c>
      <c r="O270">
        <v>0.22</v>
      </c>
      <c r="P270">
        <v>41</v>
      </c>
      <c r="Q270">
        <v>88.4</v>
      </c>
      <c r="R270">
        <v>95.5</v>
      </c>
      <c r="S270">
        <v>-6.3</v>
      </c>
      <c r="T270">
        <f>West2005[[#This Row],[SRS]]-MIN($S$239:$S$270)</f>
        <v>3.3199999999999994</v>
      </c>
    </row>
    <row r="272" spans="1:20" x14ac:dyDescent="0.25">
      <c r="A272" t="s">
        <v>261</v>
      </c>
      <c r="B272" t="s">
        <v>0</v>
      </c>
      <c r="C272" t="s">
        <v>1</v>
      </c>
      <c r="D272" t="s">
        <v>2</v>
      </c>
      <c r="E272" t="s">
        <v>175</v>
      </c>
      <c r="F272" t="s">
        <v>4</v>
      </c>
      <c r="G272" t="s">
        <v>125</v>
      </c>
      <c r="H272" t="s">
        <v>126</v>
      </c>
      <c r="I272" t="s">
        <v>127</v>
      </c>
      <c r="J272" t="s">
        <v>179</v>
      </c>
      <c r="K272" t="s">
        <v>262</v>
      </c>
      <c r="L272" t="s">
        <v>0</v>
      </c>
      <c r="M272" t="s">
        <v>1</v>
      </c>
      <c r="N272" t="s">
        <v>2</v>
      </c>
      <c r="O272" t="s">
        <v>175</v>
      </c>
      <c r="P272" t="s">
        <v>4</v>
      </c>
      <c r="Q272" t="s">
        <v>125</v>
      </c>
      <c r="R272" t="s">
        <v>126</v>
      </c>
      <c r="S272" t="s">
        <v>127</v>
      </c>
      <c r="T272" t="s">
        <v>179</v>
      </c>
    </row>
    <row r="273" spans="2:20" x14ac:dyDescent="0.25">
      <c r="B273" t="s">
        <v>131</v>
      </c>
      <c r="C273">
        <v>61</v>
      </c>
      <c r="D273">
        <v>21</v>
      </c>
      <c r="E273">
        <v>0.74399999999999999</v>
      </c>
      <c r="F273" t="s">
        <v>9</v>
      </c>
      <c r="G273">
        <v>91.4</v>
      </c>
      <c r="H273">
        <v>85.6</v>
      </c>
      <c r="I273">
        <v>4.93</v>
      </c>
      <c r="J273">
        <f>East2004[[#This Row],[SRS]]-MIN($I$273:$I$303)</f>
        <v>12.18</v>
      </c>
      <c r="L273" t="s">
        <v>148</v>
      </c>
      <c r="M273">
        <v>50</v>
      </c>
      <c r="N273">
        <v>32</v>
      </c>
      <c r="O273">
        <v>0.61</v>
      </c>
      <c r="P273" t="s">
        <v>9</v>
      </c>
      <c r="Q273">
        <v>91.4</v>
      </c>
      <c r="R273">
        <v>87.7</v>
      </c>
      <c r="S273">
        <v>2.97</v>
      </c>
      <c r="T273">
        <f>East2003[[#This Row],[SRS]]-MIN($S$273:$S$303)</f>
        <v>12.56</v>
      </c>
    </row>
    <row r="274" spans="2:20" x14ac:dyDescent="0.25">
      <c r="B274" t="s">
        <v>148</v>
      </c>
      <c r="C274">
        <v>54</v>
      </c>
      <c r="D274">
        <v>28</v>
      </c>
      <c r="E274">
        <v>0.65900000000000003</v>
      </c>
      <c r="F274">
        <v>7</v>
      </c>
      <c r="G274">
        <v>90.1</v>
      </c>
      <c r="H274">
        <v>84.3</v>
      </c>
      <c r="I274">
        <v>5.04</v>
      </c>
      <c r="J274">
        <f>East2004[[#This Row],[SRS]]-MIN($I$273:$I$303)</f>
        <v>12.29</v>
      </c>
      <c r="L274" t="s">
        <v>136</v>
      </c>
      <c r="M274">
        <v>49</v>
      </c>
      <c r="N274">
        <v>33</v>
      </c>
      <c r="O274">
        <v>0.59799999999999998</v>
      </c>
      <c r="P274" t="s">
        <v>9</v>
      </c>
      <c r="Q274">
        <v>95.4</v>
      </c>
      <c r="R274">
        <v>90.1</v>
      </c>
      <c r="S274">
        <v>4.42</v>
      </c>
      <c r="T274">
        <f>East2003[[#This Row],[SRS]]-MIN($S$273:$S$303)</f>
        <v>14.01</v>
      </c>
    </row>
    <row r="275" spans="2:20" x14ac:dyDescent="0.25">
      <c r="B275" t="s">
        <v>136</v>
      </c>
      <c r="C275">
        <v>47</v>
      </c>
      <c r="D275">
        <v>35</v>
      </c>
      <c r="E275">
        <v>0.57299999999999995</v>
      </c>
      <c r="F275" t="s">
        <v>9</v>
      </c>
      <c r="G275">
        <v>90.3</v>
      </c>
      <c r="H275">
        <v>87.8</v>
      </c>
      <c r="I275">
        <v>1.88</v>
      </c>
      <c r="J275">
        <f>East2004[[#This Row],[SRS]]-MIN($I$273:$I$303)</f>
        <v>9.129999999999999</v>
      </c>
      <c r="L275" t="s">
        <v>134</v>
      </c>
      <c r="M275">
        <v>48</v>
      </c>
      <c r="N275">
        <v>34</v>
      </c>
      <c r="O275">
        <v>0.58499999999999996</v>
      </c>
      <c r="P275">
        <v>1</v>
      </c>
      <c r="Q275">
        <v>96.8</v>
      </c>
      <c r="R275">
        <v>94.5</v>
      </c>
      <c r="S275">
        <v>1.76</v>
      </c>
      <c r="T275">
        <f>East2003[[#This Row],[SRS]]-MIN($S$273:$S$303)</f>
        <v>11.35</v>
      </c>
    </row>
    <row r="276" spans="2:20" x14ac:dyDescent="0.25">
      <c r="B276" t="s">
        <v>132</v>
      </c>
      <c r="C276">
        <v>42</v>
      </c>
      <c r="D276">
        <v>40</v>
      </c>
      <c r="E276">
        <v>0.51200000000000001</v>
      </c>
      <c r="F276">
        <v>5</v>
      </c>
      <c r="G276">
        <v>90.3</v>
      </c>
      <c r="H276">
        <v>89.7</v>
      </c>
      <c r="I276">
        <v>-0.13</v>
      </c>
      <c r="J276">
        <f>East2004[[#This Row],[SRS]]-MIN($I$273:$I$303)</f>
        <v>7.12</v>
      </c>
      <c r="L276" t="s">
        <v>131</v>
      </c>
      <c r="M276">
        <v>48</v>
      </c>
      <c r="N276">
        <v>34</v>
      </c>
      <c r="O276">
        <v>0.58499999999999996</v>
      </c>
      <c r="P276">
        <v>2</v>
      </c>
      <c r="Q276">
        <v>96.8</v>
      </c>
      <c r="R276">
        <v>93.3</v>
      </c>
      <c r="S276">
        <v>2.79</v>
      </c>
      <c r="T276">
        <f>East2003[[#This Row],[SRS]]-MIN($S$273:$S$303)</f>
        <v>12.379999999999999</v>
      </c>
    </row>
    <row r="277" spans="2:20" x14ac:dyDescent="0.25">
      <c r="B277" t="s">
        <v>169</v>
      </c>
      <c r="C277">
        <v>41</v>
      </c>
      <c r="D277">
        <v>41</v>
      </c>
      <c r="E277">
        <v>0.5</v>
      </c>
      <c r="F277">
        <v>20</v>
      </c>
      <c r="G277">
        <v>91.8</v>
      </c>
      <c r="H277">
        <v>91.9</v>
      </c>
      <c r="I277">
        <v>-0.72</v>
      </c>
      <c r="J277">
        <f>East2004[[#This Row],[SRS]]-MIN($I$273:$I$303)</f>
        <v>6.53</v>
      </c>
      <c r="L277" t="s">
        <v>169</v>
      </c>
      <c r="M277">
        <v>47</v>
      </c>
      <c r="N277">
        <v>35</v>
      </c>
      <c r="O277">
        <v>0.57299999999999995</v>
      </c>
      <c r="P277">
        <v>3</v>
      </c>
      <c r="Q277">
        <v>93.9</v>
      </c>
      <c r="R277">
        <v>91.8</v>
      </c>
      <c r="S277">
        <v>1.52</v>
      </c>
      <c r="T277">
        <f>East2003[[#This Row],[SRS]]-MIN($S$273:$S$303)</f>
        <v>11.11</v>
      </c>
    </row>
    <row r="278" spans="2:20" x14ac:dyDescent="0.25">
      <c r="B278" t="s">
        <v>128</v>
      </c>
      <c r="C278">
        <v>41</v>
      </c>
      <c r="D278">
        <v>41</v>
      </c>
      <c r="E278">
        <v>0.5</v>
      </c>
      <c r="F278">
        <v>20</v>
      </c>
      <c r="G278">
        <v>98</v>
      </c>
      <c r="H278">
        <v>97</v>
      </c>
      <c r="I278">
        <v>0.42</v>
      </c>
      <c r="J278">
        <f>East2004[[#This Row],[SRS]]-MIN($I$273:$I$303)</f>
        <v>7.67</v>
      </c>
      <c r="L278" t="s">
        <v>130</v>
      </c>
      <c r="M278">
        <v>44</v>
      </c>
      <c r="N278">
        <v>38</v>
      </c>
      <c r="O278">
        <v>0.53700000000000003</v>
      </c>
      <c r="P278">
        <v>5</v>
      </c>
      <c r="Q278">
        <v>92.7</v>
      </c>
      <c r="R278">
        <v>93.1</v>
      </c>
      <c r="S278">
        <v>-0.75</v>
      </c>
      <c r="T278">
        <f>East2003[[#This Row],[SRS]]-MIN($S$273:$S$303)</f>
        <v>8.84</v>
      </c>
    </row>
    <row r="279" spans="2:20" x14ac:dyDescent="0.25">
      <c r="B279" t="s">
        <v>146</v>
      </c>
      <c r="C279">
        <v>39</v>
      </c>
      <c r="D279">
        <v>43</v>
      </c>
      <c r="E279">
        <v>0.47599999999999998</v>
      </c>
      <c r="F279">
        <v>8</v>
      </c>
      <c r="G279">
        <v>92</v>
      </c>
      <c r="H279">
        <v>93.5</v>
      </c>
      <c r="I279">
        <v>-1.97</v>
      </c>
      <c r="J279">
        <f>East2004[[#This Row],[SRS]]-MIN($I$273:$I$303)</f>
        <v>5.28</v>
      </c>
      <c r="L279" t="s">
        <v>138</v>
      </c>
      <c r="M279">
        <v>42</v>
      </c>
      <c r="N279">
        <v>40</v>
      </c>
      <c r="O279">
        <v>0.51200000000000001</v>
      </c>
      <c r="P279">
        <v>7</v>
      </c>
      <c r="Q279">
        <v>98.5</v>
      </c>
      <c r="R279">
        <v>98.4</v>
      </c>
      <c r="S279">
        <v>-0.39</v>
      </c>
      <c r="T279">
        <f>East2003[[#This Row],[SRS]]-MIN($S$273:$S$303)</f>
        <v>9.1999999999999993</v>
      </c>
    </row>
    <row r="280" spans="2:20" x14ac:dyDescent="0.25">
      <c r="B280" t="s">
        <v>130</v>
      </c>
      <c r="C280">
        <v>36</v>
      </c>
      <c r="D280">
        <v>46</v>
      </c>
      <c r="E280">
        <v>0.439</v>
      </c>
      <c r="F280">
        <v>11</v>
      </c>
      <c r="G280">
        <v>95.3</v>
      </c>
      <c r="H280">
        <v>96.7</v>
      </c>
      <c r="I280">
        <v>-1.99</v>
      </c>
      <c r="J280">
        <f>East2004[[#This Row],[SRS]]-MIN($I$273:$I$303)</f>
        <v>5.26</v>
      </c>
      <c r="L280" t="s">
        <v>128</v>
      </c>
      <c r="M280">
        <v>42</v>
      </c>
      <c r="N280">
        <v>40</v>
      </c>
      <c r="O280">
        <v>0.51200000000000001</v>
      </c>
      <c r="P280">
        <v>8</v>
      </c>
      <c r="Q280">
        <v>99.5</v>
      </c>
      <c r="R280">
        <v>99.3</v>
      </c>
      <c r="S280">
        <v>-0.24</v>
      </c>
      <c r="T280">
        <f>East2003[[#This Row],[SRS]]-MIN($S$273:$S$303)</f>
        <v>9.35</v>
      </c>
    </row>
    <row r="281" spans="2:20" x14ac:dyDescent="0.25">
      <c r="B281" t="s">
        <v>152</v>
      </c>
      <c r="C281">
        <v>35</v>
      </c>
      <c r="D281">
        <v>47</v>
      </c>
      <c r="E281">
        <v>0.42699999999999999</v>
      </c>
      <c r="F281">
        <v>26</v>
      </c>
      <c r="G281">
        <v>92.9</v>
      </c>
      <c r="H281">
        <v>95.5</v>
      </c>
      <c r="I281">
        <v>-3.07</v>
      </c>
      <c r="J281">
        <f>East2004[[#This Row],[SRS]]-MIN($I$273:$I$303)</f>
        <v>4.18</v>
      </c>
      <c r="L281" t="s">
        <v>142</v>
      </c>
      <c r="M281">
        <v>37</v>
      </c>
      <c r="N281">
        <v>45</v>
      </c>
      <c r="O281">
        <v>0.45100000000000001</v>
      </c>
      <c r="P281">
        <v>12</v>
      </c>
      <c r="Q281">
        <v>91.5</v>
      </c>
      <c r="R281">
        <v>92.5</v>
      </c>
      <c r="S281">
        <v>-1.47</v>
      </c>
      <c r="T281">
        <f>East2003[[#This Row],[SRS]]-MIN($S$273:$S$303)</f>
        <v>8.1199999999999992</v>
      </c>
    </row>
    <row r="282" spans="2:20" x14ac:dyDescent="0.25">
      <c r="B282" t="s">
        <v>134</v>
      </c>
      <c r="C282">
        <v>33</v>
      </c>
      <c r="D282">
        <v>49</v>
      </c>
      <c r="E282">
        <v>0.40200000000000002</v>
      </c>
      <c r="F282">
        <v>14</v>
      </c>
      <c r="G282">
        <v>88</v>
      </c>
      <c r="H282">
        <v>90.5</v>
      </c>
      <c r="I282">
        <v>-2.95</v>
      </c>
      <c r="J282">
        <f>East2004[[#This Row],[SRS]]-MIN($I$273:$I$303)</f>
        <v>4.3</v>
      </c>
      <c r="L282" t="s">
        <v>146</v>
      </c>
      <c r="M282">
        <v>37</v>
      </c>
      <c r="N282">
        <v>45</v>
      </c>
      <c r="O282">
        <v>0.45100000000000001</v>
      </c>
      <c r="P282">
        <v>12</v>
      </c>
      <c r="Q282">
        <v>95.9</v>
      </c>
      <c r="R282">
        <v>97.2</v>
      </c>
      <c r="S282">
        <v>-1.61</v>
      </c>
      <c r="T282">
        <f>East2003[[#This Row],[SRS]]-MIN($S$273:$S$303)</f>
        <v>7.9799999999999995</v>
      </c>
    </row>
    <row r="283" spans="2:20" x14ac:dyDescent="0.25">
      <c r="B283" t="s">
        <v>129</v>
      </c>
      <c r="C283">
        <v>33</v>
      </c>
      <c r="D283">
        <v>49</v>
      </c>
      <c r="E283">
        <v>0.40200000000000002</v>
      </c>
      <c r="F283">
        <v>28</v>
      </c>
      <c r="G283">
        <v>85.4</v>
      </c>
      <c r="H283">
        <v>88.5</v>
      </c>
      <c r="I283">
        <v>-3.42</v>
      </c>
      <c r="J283">
        <f>East2004[[#This Row],[SRS]]-MIN($I$273:$I$303)</f>
        <v>3.83</v>
      </c>
      <c r="L283" t="s">
        <v>150</v>
      </c>
      <c r="M283">
        <v>35</v>
      </c>
      <c r="N283">
        <v>47</v>
      </c>
      <c r="O283">
        <v>0.42699999999999999</v>
      </c>
      <c r="P283">
        <v>15</v>
      </c>
      <c r="Q283">
        <v>94.1</v>
      </c>
      <c r="R283">
        <v>97.6</v>
      </c>
      <c r="S283">
        <v>-3.87</v>
      </c>
      <c r="T283">
        <f>East2003[[#This Row],[SRS]]-MIN($S$273:$S$303)</f>
        <v>5.72</v>
      </c>
    </row>
    <row r="284" spans="2:20" x14ac:dyDescent="0.25">
      <c r="B284" t="s">
        <v>150</v>
      </c>
      <c r="C284">
        <v>28</v>
      </c>
      <c r="D284">
        <v>54</v>
      </c>
      <c r="E284">
        <v>0.34100000000000003</v>
      </c>
      <c r="F284">
        <v>33</v>
      </c>
      <c r="G284">
        <v>92.8</v>
      </c>
      <c r="H284">
        <v>97.5</v>
      </c>
      <c r="I284">
        <v>-5</v>
      </c>
      <c r="J284">
        <f>East2004[[#This Row],[SRS]]-MIN($I$273:$I$303)</f>
        <v>2.25</v>
      </c>
      <c r="L284" t="s">
        <v>144</v>
      </c>
      <c r="M284">
        <v>30</v>
      </c>
      <c r="N284">
        <v>52</v>
      </c>
      <c r="O284">
        <v>0.36599999999999999</v>
      </c>
      <c r="P284">
        <v>20</v>
      </c>
      <c r="Q284">
        <v>95</v>
      </c>
      <c r="R284">
        <v>100.1</v>
      </c>
      <c r="S284">
        <v>-5.31</v>
      </c>
      <c r="T284">
        <f>East2003[[#This Row],[SRS]]-MIN($S$273:$S$303)</f>
        <v>4.28</v>
      </c>
    </row>
    <row r="285" spans="2:20" x14ac:dyDescent="0.25">
      <c r="B285" t="s">
        <v>142</v>
      </c>
      <c r="C285">
        <v>25</v>
      </c>
      <c r="D285">
        <v>57</v>
      </c>
      <c r="E285">
        <v>0.30499999999999999</v>
      </c>
      <c r="F285">
        <v>22</v>
      </c>
      <c r="G285">
        <v>91.8</v>
      </c>
      <c r="H285">
        <v>97.4</v>
      </c>
      <c r="I285">
        <v>-6.12</v>
      </c>
      <c r="J285">
        <f>East2004[[#This Row],[SRS]]-MIN($I$273:$I$303)</f>
        <v>1.1299999999999999</v>
      </c>
      <c r="L285" t="s">
        <v>132</v>
      </c>
      <c r="M285">
        <v>25</v>
      </c>
      <c r="N285">
        <v>57</v>
      </c>
      <c r="O285">
        <v>0.30499999999999999</v>
      </c>
      <c r="P285">
        <v>24</v>
      </c>
      <c r="Q285">
        <v>85.6</v>
      </c>
      <c r="R285">
        <v>90.6</v>
      </c>
      <c r="S285">
        <v>-5.13</v>
      </c>
      <c r="T285">
        <f>East2003[[#This Row],[SRS]]-MIN($S$273:$S$303)</f>
        <v>4.46</v>
      </c>
    </row>
    <row r="286" spans="2:20" x14ac:dyDescent="0.25">
      <c r="B286" t="s">
        <v>144</v>
      </c>
      <c r="C286">
        <v>23</v>
      </c>
      <c r="D286">
        <v>59</v>
      </c>
      <c r="E286">
        <v>0.28000000000000003</v>
      </c>
      <c r="F286">
        <v>38</v>
      </c>
      <c r="G286">
        <v>89.7</v>
      </c>
      <c r="H286">
        <v>96</v>
      </c>
      <c r="I286">
        <v>-6.69</v>
      </c>
      <c r="J286">
        <f>East2004[[#This Row],[SRS]]-MIN($I$273:$I$303)</f>
        <v>0.55999999999999961</v>
      </c>
      <c r="L286" t="s">
        <v>129</v>
      </c>
      <c r="M286">
        <v>24</v>
      </c>
      <c r="N286">
        <v>58</v>
      </c>
      <c r="O286">
        <v>0.29299999999999998</v>
      </c>
      <c r="P286">
        <v>26</v>
      </c>
      <c r="Q286">
        <v>90.9</v>
      </c>
      <c r="R286">
        <v>96.8</v>
      </c>
      <c r="S286">
        <v>-6.1</v>
      </c>
      <c r="T286">
        <f>East2003[[#This Row],[SRS]]-MIN($S$273:$S$303)</f>
        <v>3.49</v>
      </c>
    </row>
    <row r="287" spans="2:20" x14ac:dyDescent="0.25">
      <c r="B287" t="s">
        <v>138</v>
      </c>
      <c r="C287">
        <v>21</v>
      </c>
      <c r="D287">
        <v>61</v>
      </c>
      <c r="E287">
        <v>0.25600000000000001</v>
      </c>
      <c r="F287">
        <v>26</v>
      </c>
      <c r="G287">
        <v>94</v>
      </c>
      <c r="H287">
        <v>101.1</v>
      </c>
      <c r="I287">
        <v>-7.25</v>
      </c>
      <c r="J287">
        <f>East2004[[#This Row],[SRS]]-MIN($I$273:$I$303)</f>
        <v>0</v>
      </c>
      <c r="L287" t="s">
        <v>152</v>
      </c>
      <c r="M287">
        <v>17</v>
      </c>
      <c r="N287">
        <v>65</v>
      </c>
      <c r="O287">
        <v>0.20699999999999999</v>
      </c>
      <c r="P287">
        <v>33</v>
      </c>
      <c r="Q287">
        <v>91.4</v>
      </c>
      <c r="R287">
        <v>101</v>
      </c>
      <c r="S287">
        <v>-9.59</v>
      </c>
      <c r="T287">
        <f>East2003[[#This Row],[SRS]]-MIN($S$273:$S$303)</f>
        <v>0</v>
      </c>
    </row>
    <row r="289" spans="2:20" x14ac:dyDescent="0.25">
      <c r="B289" t="s">
        <v>0</v>
      </c>
      <c r="C289" t="s">
        <v>1</v>
      </c>
      <c r="D289" t="s">
        <v>2</v>
      </c>
      <c r="E289" t="s">
        <v>175</v>
      </c>
      <c r="F289" t="s">
        <v>4</v>
      </c>
      <c r="G289" t="s">
        <v>125</v>
      </c>
      <c r="H289" t="s">
        <v>126</v>
      </c>
      <c r="I289" t="s">
        <v>127</v>
      </c>
      <c r="J289" t="s">
        <v>179</v>
      </c>
      <c r="L289" t="s">
        <v>0</v>
      </c>
      <c r="M289" t="s">
        <v>1</v>
      </c>
      <c r="N289" t="s">
        <v>2</v>
      </c>
      <c r="O289" t="s">
        <v>175</v>
      </c>
      <c r="P289" t="s">
        <v>4</v>
      </c>
      <c r="Q289" t="s">
        <v>125</v>
      </c>
      <c r="R289" t="s">
        <v>126</v>
      </c>
      <c r="S289" t="s">
        <v>127</v>
      </c>
      <c r="T289" t="s">
        <v>179</v>
      </c>
    </row>
    <row r="290" spans="2:20" x14ac:dyDescent="0.25">
      <c r="B290" t="s">
        <v>171</v>
      </c>
      <c r="C290">
        <v>58</v>
      </c>
      <c r="D290">
        <v>24</v>
      </c>
      <c r="E290">
        <v>0.70699999999999996</v>
      </c>
      <c r="F290" t="s">
        <v>9</v>
      </c>
      <c r="G290">
        <v>94.5</v>
      </c>
      <c r="H290">
        <v>89.1</v>
      </c>
      <c r="I290">
        <v>5.86</v>
      </c>
      <c r="J290">
        <f>West2004[[#This Row],[SRS]]-MIN($I$273:$I$303)</f>
        <v>13.11</v>
      </c>
      <c r="L290" t="s">
        <v>165</v>
      </c>
      <c r="M290">
        <v>60</v>
      </c>
      <c r="N290">
        <v>22</v>
      </c>
      <c r="O290">
        <v>0.73199999999999998</v>
      </c>
      <c r="P290" t="s">
        <v>9</v>
      </c>
      <c r="Q290">
        <v>95.8</v>
      </c>
      <c r="R290">
        <v>90.4</v>
      </c>
      <c r="S290">
        <v>5.65</v>
      </c>
      <c r="T290">
        <f>West2003[[#This Row],[SRS]]-MIN($S$273:$S$303)</f>
        <v>15.24</v>
      </c>
    </row>
    <row r="291" spans="2:20" x14ac:dyDescent="0.25">
      <c r="B291" t="s">
        <v>165</v>
      </c>
      <c r="C291">
        <v>57</v>
      </c>
      <c r="D291">
        <v>25</v>
      </c>
      <c r="E291">
        <v>0.69499999999999995</v>
      </c>
      <c r="F291">
        <v>1</v>
      </c>
      <c r="G291">
        <v>91.5</v>
      </c>
      <c r="H291">
        <v>84.3</v>
      </c>
      <c r="I291">
        <v>7.51</v>
      </c>
      <c r="J291">
        <f>West2004[[#This Row],[SRS]]-MIN($I$273:$I$303)</f>
        <v>14.76</v>
      </c>
      <c r="L291" t="s">
        <v>159</v>
      </c>
      <c r="M291">
        <v>60</v>
      </c>
      <c r="N291">
        <v>22</v>
      </c>
      <c r="O291">
        <v>0.73199999999999998</v>
      </c>
      <c r="P291" t="s">
        <v>9</v>
      </c>
      <c r="Q291">
        <v>103</v>
      </c>
      <c r="R291">
        <v>95.2</v>
      </c>
      <c r="S291">
        <v>7.9</v>
      </c>
      <c r="T291">
        <f>West2003[[#This Row],[SRS]]-MIN($S$273:$S$303)</f>
        <v>17.490000000000002</v>
      </c>
    </row>
    <row r="292" spans="2:20" x14ac:dyDescent="0.25">
      <c r="B292" t="s">
        <v>153</v>
      </c>
      <c r="C292">
        <v>56</v>
      </c>
      <c r="D292">
        <v>26</v>
      </c>
      <c r="E292">
        <v>0.68300000000000005</v>
      </c>
      <c r="F292" t="s">
        <v>9</v>
      </c>
      <c r="G292">
        <v>98.2</v>
      </c>
      <c r="H292">
        <v>94.3</v>
      </c>
      <c r="I292">
        <v>4.3499999999999996</v>
      </c>
      <c r="J292">
        <f>West2004[[#This Row],[SRS]]-MIN($I$273:$I$303)</f>
        <v>11.6</v>
      </c>
      <c r="L292" t="s">
        <v>167</v>
      </c>
      <c r="M292">
        <v>59</v>
      </c>
      <c r="N292">
        <v>23</v>
      </c>
      <c r="O292">
        <v>0.72</v>
      </c>
      <c r="P292" t="s">
        <v>9</v>
      </c>
      <c r="Q292">
        <v>101.7</v>
      </c>
      <c r="R292">
        <v>95.2</v>
      </c>
      <c r="S292">
        <v>6.68</v>
      </c>
      <c r="T292">
        <f>West2003[[#This Row],[SRS]]-MIN($S$273:$S$303)</f>
        <v>16.27</v>
      </c>
    </row>
    <row r="293" spans="2:20" x14ac:dyDescent="0.25">
      <c r="B293" t="s">
        <v>167</v>
      </c>
      <c r="C293">
        <v>55</v>
      </c>
      <c r="D293">
        <v>27</v>
      </c>
      <c r="E293">
        <v>0.67100000000000004</v>
      </c>
      <c r="F293">
        <v>1</v>
      </c>
      <c r="G293">
        <v>102.8</v>
      </c>
      <c r="H293">
        <v>97.8</v>
      </c>
      <c r="I293">
        <v>5.41</v>
      </c>
      <c r="J293">
        <f>West2004[[#This Row],[SRS]]-MIN($I$273:$I$303)</f>
        <v>12.66</v>
      </c>
      <c r="L293" t="s">
        <v>171</v>
      </c>
      <c r="M293">
        <v>51</v>
      </c>
      <c r="N293">
        <v>31</v>
      </c>
      <c r="O293">
        <v>0.622</v>
      </c>
      <c r="P293">
        <v>9</v>
      </c>
      <c r="Q293">
        <v>98.1</v>
      </c>
      <c r="R293">
        <v>96</v>
      </c>
      <c r="S293">
        <v>2.46</v>
      </c>
      <c r="T293">
        <f>West2003[[#This Row],[SRS]]-MIN($S$273:$S$303)</f>
        <v>12.05</v>
      </c>
    </row>
    <row r="294" spans="2:20" x14ac:dyDescent="0.25">
      <c r="B294" t="s">
        <v>159</v>
      </c>
      <c r="C294">
        <v>52</v>
      </c>
      <c r="D294">
        <v>30</v>
      </c>
      <c r="E294">
        <v>0.63400000000000001</v>
      </c>
      <c r="F294">
        <v>6</v>
      </c>
      <c r="G294">
        <v>105.2</v>
      </c>
      <c r="H294">
        <v>100.8</v>
      </c>
      <c r="I294">
        <v>4.8600000000000003</v>
      </c>
      <c r="J294">
        <f>West2004[[#This Row],[SRS]]-MIN($I$273:$I$303)</f>
        <v>12.11</v>
      </c>
      <c r="L294" t="s">
        <v>153</v>
      </c>
      <c r="M294">
        <v>50</v>
      </c>
      <c r="N294">
        <v>32</v>
      </c>
      <c r="O294">
        <v>0.61</v>
      </c>
      <c r="P294">
        <v>9</v>
      </c>
      <c r="Q294">
        <v>100.4</v>
      </c>
      <c r="R294">
        <v>98</v>
      </c>
      <c r="S294">
        <v>2.71</v>
      </c>
      <c r="T294">
        <f>West2003[[#This Row],[SRS]]-MIN($S$273:$S$303)</f>
        <v>12.3</v>
      </c>
    </row>
    <row r="295" spans="2:20" x14ac:dyDescent="0.25">
      <c r="B295" t="s">
        <v>162</v>
      </c>
      <c r="C295">
        <v>50</v>
      </c>
      <c r="D295">
        <v>32</v>
      </c>
      <c r="E295">
        <v>0.61</v>
      </c>
      <c r="F295">
        <v>8</v>
      </c>
      <c r="G295">
        <v>96.7</v>
      </c>
      <c r="H295">
        <v>94.3</v>
      </c>
      <c r="I295">
        <v>2.95</v>
      </c>
      <c r="J295">
        <f>West2004[[#This Row],[SRS]]-MIN($I$273:$I$303)</f>
        <v>10.199999999999999</v>
      </c>
      <c r="L295" t="s">
        <v>160</v>
      </c>
      <c r="M295">
        <v>50</v>
      </c>
      <c r="N295">
        <v>32</v>
      </c>
      <c r="O295">
        <v>0.61</v>
      </c>
      <c r="P295">
        <v>9</v>
      </c>
      <c r="Q295">
        <v>95.2</v>
      </c>
      <c r="R295">
        <v>92.5</v>
      </c>
      <c r="S295">
        <v>2.97</v>
      </c>
      <c r="T295">
        <f>West2003[[#This Row],[SRS]]-MIN($S$273:$S$303)</f>
        <v>12.56</v>
      </c>
    </row>
    <row r="296" spans="2:20" x14ac:dyDescent="0.25">
      <c r="B296" t="s">
        <v>156</v>
      </c>
      <c r="C296">
        <v>45</v>
      </c>
      <c r="D296">
        <v>37</v>
      </c>
      <c r="E296">
        <v>0.54900000000000004</v>
      </c>
      <c r="F296">
        <v>13</v>
      </c>
      <c r="G296">
        <v>89.8</v>
      </c>
      <c r="H296">
        <v>88</v>
      </c>
      <c r="I296">
        <v>2.2799999999999998</v>
      </c>
      <c r="J296">
        <f>West2004[[#This Row],[SRS]]-MIN($I$273:$I$303)</f>
        <v>9.5299999999999994</v>
      </c>
      <c r="L296" t="s">
        <v>158</v>
      </c>
      <c r="M296">
        <v>47</v>
      </c>
      <c r="N296">
        <v>35</v>
      </c>
      <c r="O296">
        <v>0.57299999999999995</v>
      </c>
      <c r="P296">
        <v>13</v>
      </c>
      <c r="Q296">
        <v>94.7</v>
      </c>
      <c r="R296">
        <v>92.3</v>
      </c>
      <c r="S296">
        <v>2.76</v>
      </c>
      <c r="T296">
        <f>West2003[[#This Row],[SRS]]-MIN($S$273:$S$303)</f>
        <v>12.35</v>
      </c>
    </row>
    <row r="297" spans="2:20" x14ac:dyDescent="0.25">
      <c r="B297" t="s">
        <v>155</v>
      </c>
      <c r="C297">
        <v>43</v>
      </c>
      <c r="D297">
        <v>39</v>
      </c>
      <c r="E297">
        <v>0.52400000000000002</v>
      </c>
      <c r="F297">
        <v>15</v>
      </c>
      <c r="G297">
        <v>97.2</v>
      </c>
      <c r="H297">
        <v>96.1</v>
      </c>
      <c r="I297">
        <v>1.65</v>
      </c>
      <c r="J297">
        <f>West2004[[#This Row],[SRS]]-MIN($I$273:$I$303)</f>
        <v>8.9</v>
      </c>
      <c r="L297" t="s">
        <v>164</v>
      </c>
      <c r="M297">
        <v>44</v>
      </c>
      <c r="N297">
        <v>38</v>
      </c>
      <c r="O297">
        <v>0.53700000000000003</v>
      </c>
      <c r="P297">
        <v>15</v>
      </c>
      <c r="Q297">
        <v>95.5</v>
      </c>
      <c r="R297">
        <v>94.4</v>
      </c>
      <c r="S297">
        <v>1.57</v>
      </c>
      <c r="T297">
        <f>West2003[[#This Row],[SRS]]-MIN($S$273:$S$303)</f>
        <v>11.16</v>
      </c>
    </row>
    <row r="298" spans="2:20" x14ac:dyDescent="0.25">
      <c r="B298" t="s">
        <v>158</v>
      </c>
      <c r="C298">
        <v>42</v>
      </c>
      <c r="D298">
        <v>40</v>
      </c>
      <c r="E298">
        <v>0.51200000000000001</v>
      </c>
      <c r="F298">
        <v>16</v>
      </c>
      <c r="G298">
        <v>88.7</v>
      </c>
      <c r="H298">
        <v>89.9</v>
      </c>
      <c r="I298">
        <v>-0.53</v>
      </c>
      <c r="J298">
        <f>West2004[[#This Row],[SRS]]-MIN($I$273:$I$303)</f>
        <v>6.72</v>
      </c>
      <c r="L298" t="s">
        <v>156</v>
      </c>
      <c r="M298">
        <v>43</v>
      </c>
      <c r="N298">
        <v>39</v>
      </c>
      <c r="O298">
        <v>0.52400000000000002</v>
      </c>
      <c r="P298">
        <v>17</v>
      </c>
      <c r="Q298">
        <v>93.8</v>
      </c>
      <c r="R298">
        <v>92.3</v>
      </c>
      <c r="S298">
        <v>1.89</v>
      </c>
      <c r="T298">
        <f>West2003[[#This Row],[SRS]]-MIN($S$273:$S$303)</f>
        <v>11.48</v>
      </c>
    </row>
    <row r="299" spans="2:20" x14ac:dyDescent="0.25">
      <c r="B299" t="s">
        <v>160</v>
      </c>
      <c r="C299">
        <v>41</v>
      </c>
      <c r="D299">
        <v>41</v>
      </c>
      <c r="E299">
        <v>0.5</v>
      </c>
      <c r="F299">
        <v>15</v>
      </c>
      <c r="G299">
        <v>90.7</v>
      </c>
      <c r="H299">
        <v>92</v>
      </c>
      <c r="I299">
        <v>-0.57999999999999996</v>
      </c>
      <c r="J299">
        <f>West2004[[#This Row],[SRS]]-MIN($I$273:$I$303)</f>
        <v>6.67</v>
      </c>
      <c r="L299" t="s">
        <v>157</v>
      </c>
      <c r="M299">
        <v>40</v>
      </c>
      <c r="N299">
        <v>42</v>
      </c>
      <c r="O299">
        <v>0.48799999999999999</v>
      </c>
      <c r="P299">
        <v>19</v>
      </c>
      <c r="Q299">
        <v>92.1</v>
      </c>
      <c r="R299">
        <v>92.3</v>
      </c>
      <c r="S299">
        <v>0.37</v>
      </c>
      <c r="T299">
        <f>West2003[[#This Row],[SRS]]-MIN($S$273:$S$303)</f>
        <v>9.9599999999999991</v>
      </c>
    </row>
    <row r="300" spans="2:20" x14ac:dyDescent="0.25">
      <c r="B300" t="s">
        <v>173</v>
      </c>
      <c r="C300">
        <v>37</v>
      </c>
      <c r="D300">
        <v>45</v>
      </c>
      <c r="E300">
        <v>0.45100000000000001</v>
      </c>
      <c r="F300">
        <v>19</v>
      </c>
      <c r="G300">
        <v>93.3</v>
      </c>
      <c r="H300">
        <v>94</v>
      </c>
      <c r="I300">
        <v>-7.0000000000000007E-2</v>
      </c>
      <c r="J300">
        <f>West2004[[#This Row],[SRS]]-MIN($I$273:$I$303)</f>
        <v>7.18</v>
      </c>
      <c r="L300" t="s">
        <v>173</v>
      </c>
      <c r="M300">
        <v>38</v>
      </c>
      <c r="N300">
        <v>44</v>
      </c>
      <c r="O300">
        <v>0.46300000000000002</v>
      </c>
      <c r="P300">
        <v>21</v>
      </c>
      <c r="Q300">
        <v>102.4</v>
      </c>
      <c r="R300">
        <v>103.6</v>
      </c>
      <c r="S300">
        <v>-0.6</v>
      </c>
      <c r="T300">
        <f>West2003[[#This Row],[SRS]]-MIN($S$273:$S$303)</f>
        <v>8.99</v>
      </c>
    </row>
    <row r="301" spans="2:20" x14ac:dyDescent="0.25">
      <c r="B301" t="s">
        <v>157</v>
      </c>
      <c r="C301">
        <v>37</v>
      </c>
      <c r="D301">
        <v>45</v>
      </c>
      <c r="E301">
        <v>0.45100000000000001</v>
      </c>
      <c r="F301">
        <v>19</v>
      </c>
      <c r="G301">
        <v>97.1</v>
      </c>
      <c r="H301">
        <v>97.8</v>
      </c>
      <c r="I301">
        <v>0.02</v>
      </c>
      <c r="J301">
        <f>West2004[[#This Row],[SRS]]-MIN($I$273:$I$303)</f>
        <v>7.27</v>
      </c>
      <c r="L301" t="s">
        <v>162</v>
      </c>
      <c r="M301">
        <v>28</v>
      </c>
      <c r="N301">
        <v>54</v>
      </c>
      <c r="O301">
        <v>0.34100000000000003</v>
      </c>
      <c r="P301">
        <v>32</v>
      </c>
      <c r="Q301">
        <v>97.5</v>
      </c>
      <c r="R301">
        <v>100.7</v>
      </c>
      <c r="S301">
        <v>-2.6</v>
      </c>
      <c r="T301">
        <f>West2003[[#This Row],[SRS]]-MIN($S$273:$S$303)</f>
        <v>6.99</v>
      </c>
    </row>
    <row r="302" spans="2:20" x14ac:dyDescent="0.25">
      <c r="B302" t="s">
        <v>164</v>
      </c>
      <c r="C302">
        <v>29</v>
      </c>
      <c r="D302">
        <v>53</v>
      </c>
      <c r="E302">
        <v>0.35399999999999998</v>
      </c>
      <c r="F302">
        <v>27</v>
      </c>
      <c r="G302">
        <v>94.2</v>
      </c>
      <c r="H302">
        <v>97.9</v>
      </c>
      <c r="I302">
        <v>-2.94</v>
      </c>
      <c r="J302">
        <f>West2004[[#This Row],[SRS]]-MIN($I$273:$I$303)</f>
        <v>4.3100000000000005</v>
      </c>
      <c r="L302" t="s">
        <v>154</v>
      </c>
      <c r="M302">
        <v>27</v>
      </c>
      <c r="N302">
        <v>55</v>
      </c>
      <c r="O302">
        <v>0.32900000000000001</v>
      </c>
      <c r="P302">
        <v>32</v>
      </c>
      <c r="Q302">
        <v>93.8</v>
      </c>
      <c r="R302">
        <v>97.9</v>
      </c>
      <c r="S302">
        <v>-3.45</v>
      </c>
      <c r="T302">
        <f>West2003[[#This Row],[SRS]]-MIN($S$273:$S$303)</f>
        <v>6.14</v>
      </c>
    </row>
    <row r="303" spans="2:20" x14ac:dyDescent="0.25">
      <c r="B303" t="s">
        <v>154</v>
      </c>
      <c r="C303">
        <v>28</v>
      </c>
      <c r="D303">
        <v>54</v>
      </c>
      <c r="E303">
        <v>0.34100000000000003</v>
      </c>
      <c r="F303">
        <v>28</v>
      </c>
      <c r="G303">
        <v>94.8</v>
      </c>
      <c r="H303">
        <v>99.4</v>
      </c>
      <c r="I303">
        <v>-3.74</v>
      </c>
      <c r="J303">
        <f>West2004[[#This Row],[SRS]]-MIN($I$273:$I$303)</f>
        <v>3.51</v>
      </c>
      <c r="L303" t="s">
        <v>155</v>
      </c>
      <c r="M303">
        <v>17</v>
      </c>
      <c r="N303">
        <v>65</v>
      </c>
      <c r="O303">
        <v>0.20699999999999999</v>
      </c>
      <c r="P303">
        <v>43</v>
      </c>
      <c r="Q303">
        <v>84.2</v>
      </c>
      <c r="R303">
        <v>92.4</v>
      </c>
      <c r="S303">
        <v>-7.41</v>
      </c>
      <c r="T303">
        <f>West2003[[#This Row],[SRS]]-MIN($S$273:$S$303)</f>
        <v>2.1799999999999997</v>
      </c>
    </row>
  </sheetData>
  <phoneticPr fontId="3" type="noConversion"/>
  <hyperlinks>
    <hyperlink ref="L2" r:id="rId1" display="https://www.basketball-reference.com/teams/MIL/2019.html" xr:uid="{663C2504-FB17-477F-B4A6-F511F6330680}"/>
    <hyperlink ref="L3" r:id="rId2" display="https://www.basketball-reference.com/teams/TOR/2019.html" xr:uid="{BCC135C6-0B29-4252-8460-73DD18B9109B}"/>
    <hyperlink ref="L4" r:id="rId3" display="https://www.basketball-reference.com/teams/PHI/2019.html" xr:uid="{62785E23-7D8A-4884-BA91-42BE75E0FF25}"/>
    <hyperlink ref="L5" r:id="rId4" display="https://www.basketball-reference.com/teams/BOS/2019.html" xr:uid="{99FA6FDB-912F-41EF-A883-66DAA0CA3225}"/>
    <hyperlink ref="L6" r:id="rId5" display="https://www.basketball-reference.com/teams/IND/2019.html" xr:uid="{8FA62661-CDAE-4459-B116-46B75B314CA3}"/>
    <hyperlink ref="L7" r:id="rId6" display="https://www.basketball-reference.com/teams/BRK/2019.html" xr:uid="{1681B2C3-574E-4F81-A7B6-C13A717A41EE}"/>
    <hyperlink ref="L8" r:id="rId7" display="https://www.basketball-reference.com/teams/ORL/2019.html" xr:uid="{8F2294E2-18FB-485D-8E7F-92B77C244E96}"/>
    <hyperlink ref="L9" r:id="rId8" display="https://www.basketball-reference.com/teams/DET/2019.html" xr:uid="{F232F8D8-9915-4A49-B6C1-3944F7ABE0B7}"/>
    <hyperlink ref="L10" r:id="rId9" display="https://www.basketball-reference.com/teams/CHO/2019.html" xr:uid="{542A1089-EA3F-4DDA-9B00-587048C6BACF}"/>
    <hyperlink ref="L11" r:id="rId10" display="https://www.basketball-reference.com/teams/MIA/2019.html" xr:uid="{41E065C5-122D-4949-8D52-AF8CD59B3CB5}"/>
    <hyperlink ref="L12" r:id="rId11" display="https://www.basketball-reference.com/teams/WAS/2019.html" xr:uid="{311BC7B8-239F-4467-81C2-F3BCBC732C95}"/>
    <hyperlink ref="L13" r:id="rId12" display="https://www.basketball-reference.com/teams/ATL/2019.html" xr:uid="{D85575C8-2BDC-4772-A9E6-CACD81C42B39}"/>
    <hyperlink ref="L14" r:id="rId13" display="https://www.basketball-reference.com/teams/CHI/2019.html" xr:uid="{7B6C90D9-E3BC-4FD6-9C68-87D3D6CA5232}"/>
    <hyperlink ref="L15" r:id="rId14" display="https://www.basketball-reference.com/teams/CLE/2019.html" xr:uid="{1ABB109F-C38B-4050-BF1F-B90D2B74181D}"/>
    <hyperlink ref="L16" r:id="rId15" display="https://www.basketball-reference.com/teams/NYK/2019.html" xr:uid="{88C553F9-D709-4D92-9D06-5CCC207163C4}"/>
  </hyperlinks>
  <pageMargins left="0.7" right="0.7" top="0.75" bottom="0.75" header="0.3" footer="0.3"/>
  <tableParts count="36"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E09EC6-F906-4EEB-BB3A-A3161A54DD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Table of Contents</vt:lpstr>
      <vt:lpstr>Standings</vt:lpstr>
      <vt:lpstr>Gamma Prediction</vt:lpstr>
      <vt:lpstr>Playoff Probabilties</vt:lpstr>
      <vt:lpstr>Historical Snapshot</vt:lpstr>
      <vt:lpstr>Historical Bracket</vt:lpstr>
      <vt:lpstr>Historical Luck</vt:lpstr>
      <vt:lpstr>East</vt:lpstr>
      <vt:lpstr>West</vt:lpstr>
      <vt:lpstr>Tracker</vt:lpstr>
      <vt:lpstr>Historical Standings</vt:lpstr>
      <vt:lpstr>Gamma</vt:lpstr>
      <vt:lpstr>GammaFactor</vt:lpstr>
      <vt:lpstr>GammaPower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heather</dc:creator>
  <cp:lastModifiedBy>heather</cp:lastModifiedBy>
  <dcterms:created xsi:type="dcterms:W3CDTF">2021-02-16T16:52:12Z</dcterms:created>
  <dcterms:modified xsi:type="dcterms:W3CDTF">2021-03-11T15:23:24Z</dcterms:modified>
</cp:coreProperties>
</file>